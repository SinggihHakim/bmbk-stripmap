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LAPORAN\2025\3. Inspeksi Kondisi Jalan Koridor 12 s.d 16\0. PKRMS FINAL\2. Tablet DB\3. Back Up Data\"/>
    </mc:Choice>
  </mc:AlternateContent>
  <xr:revisionPtr revIDLastSave="0" documentId="13_ncr:1_{294254EA-3D5F-4487-8FF4-7A08E6F57273}" xr6:coauthVersionLast="45" xr6:coauthVersionMax="47" xr10:uidLastSave="{00000000-0000-0000-0000-000000000000}"/>
  <bookViews>
    <workbookView xWindow="-108" yWindow="-108" windowWidth="23256" windowHeight="12456" tabRatio="860" firstSheet="1" activeTab="4" xr2:uid="{00000000-000D-0000-FFFF-FFFF00000000}"/>
  </bookViews>
  <sheets>
    <sheet name="Link List" sheetId="7" r:id="rId1"/>
    <sheet name="1. Rekap Back Up Aspal" sheetId="8" r:id="rId2"/>
    <sheet name="1. Back Up Aspal" sheetId="2" r:id="rId3"/>
    <sheet name="2. Rekap Back Up Beton" sheetId="10" r:id="rId4"/>
    <sheet name="2. Back Up Beton" sheetId="9" r:id="rId5"/>
    <sheet name="3. Rekap Back Up Non Aspal " sheetId="13" r:id="rId6"/>
    <sheet name="3. Back Up Non Aspal" sheetId="12" r:id="rId7"/>
    <sheet name="NOTE" sheetId="15" r:id="rId8"/>
    <sheet name="Back Up Rekap" sheetId="6" state="hidden" r:id="rId9"/>
  </sheets>
  <definedNames>
    <definedName name="_xlnm.Print_Area" localSheetId="2">'1. Back Up Aspal'!$A$1:$AO$190</definedName>
    <definedName name="_xlnm.Print_Area" localSheetId="1">'1. Rekap Back Up Aspal'!$A$1:$U$99</definedName>
    <definedName name="_xlnm.Print_Area" localSheetId="4">'2. Back Up Beton'!$A$1:$AA$1126</definedName>
    <definedName name="_xlnm.Print_Area" localSheetId="3">'2. Rekap Back Up Beton'!$A$1:$O$198</definedName>
    <definedName name="_xlnm.Print_Area" localSheetId="6">'3. Back Up Non Aspal'!$A$1:$AK$918</definedName>
    <definedName name="_xlnm.Print_Area" localSheetId="5">'3. Rekap Back Up Non Aspal '!$A$1:$W$165</definedName>
    <definedName name="_xlnm.Print_Area" localSheetId="8">'Back Up Rekap'!$A$1:$CP$82</definedName>
    <definedName name="_xlnm.Print_Area" localSheetId="7">NOTE!$A$2:$S$35</definedName>
    <definedName name="_xlnm.Print_Titles" localSheetId="2">'1. Back Up Aspal'!$18:$19</definedName>
    <definedName name="_xlnm.Print_Titles" localSheetId="1">'1. Rekap Back Up Aspal'!$18:$19</definedName>
    <definedName name="_xlnm.Print_Titles" localSheetId="4">'2. Back Up Beton'!$18:$19</definedName>
    <definedName name="_xlnm.Print_Titles" localSheetId="3">'2. Rekap Back Up Beton'!$18:$19</definedName>
    <definedName name="_xlnm.Print_Titles" localSheetId="6">'3. Back Up Non Aspal'!$18:$19</definedName>
    <definedName name="_xlnm.Print_Titles" localSheetId="5">'3. Rekap Back Up Non Aspal '!$18:$19</definedName>
    <definedName name="_xlnm.Print_Titles" localSheetId="7">NOTE!$6:$7</definedName>
    <definedName name="QTemp">'Link List'!$B$1:$M$23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0" i="10" l="1"/>
  <c r="L23" i="13"/>
  <c r="K23" i="13"/>
  <c r="J23" i="13"/>
  <c r="I23" i="13"/>
  <c r="H23" i="13"/>
  <c r="U22" i="13"/>
  <c r="U21" i="13"/>
  <c r="T21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E37" i="12"/>
  <c r="D37" i="12"/>
  <c r="C37" i="12"/>
  <c r="E29" i="12"/>
  <c r="D29" i="12"/>
  <c r="C29" i="12"/>
  <c r="E21" i="12"/>
  <c r="D21" i="12"/>
  <c r="C21" i="12"/>
  <c r="AH43" i="12"/>
  <c r="AE43" i="12"/>
  <c r="Y43" i="12"/>
  <c r="T43" i="12"/>
  <c r="Q43" i="12"/>
  <c r="N43" i="12"/>
  <c r="K43" i="12"/>
  <c r="AH42" i="12"/>
  <c r="AE42" i="12"/>
  <c r="Y42" i="12"/>
  <c r="T42" i="12"/>
  <c r="Q42" i="12"/>
  <c r="N42" i="12"/>
  <c r="K42" i="12"/>
  <c r="AH41" i="12"/>
  <c r="AE41" i="12"/>
  <c r="Y41" i="12"/>
  <c r="T41" i="12"/>
  <c r="Q41" i="12"/>
  <c r="N41" i="12"/>
  <c r="K41" i="12"/>
  <c r="AH40" i="12"/>
  <c r="AE40" i="12"/>
  <c r="Y40" i="12"/>
  <c r="T40" i="12"/>
  <c r="Q40" i="12"/>
  <c r="N40" i="12"/>
  <c r="K40" i="12"/>
  <c r="AH39" i="12"/>
  <c r="AE39" i="12"/>
  <c r="Y39" i="12"/>
  <c r="T39" i="12"/>
  <c r="Q39" i="12"/>
  <c r="N39" i="12"/>
  <c r="K39" i="12"/>
  <c r="AH38" i="12"/>
  <c r="AE38" i="12"/>
  <c r="Y38" i="12"/>
  <c r="Y44" i="12" s="1"/>
  <c r="T38" i="12"/>
  <c r="Q38" i="12"/>
  <c r="N38" i="12"/>
  <c r="K38" i="12"/>
  <c r="AH37" i="12"/>
  <c r="AH44" i="12" s="1"/>
  <c r="AE37" i="12"/>
  <c r="AE44" i="12" s="1"/>
  <c r="Y37" i="12"/>
  <c r="T37" i="12"/>
  <c r="T44" i="12" s="1"/>
  <c r="Q37" i="12"/>
  <c r="Q44" i="12" s="1"/>
  <c r="N37" i="12"/>
  <c r="N44" i="12" s="1"/>
  <c r="K37" i="12"/>
  <c r="K44" i="12" s="1"/>
  <c r="AH35" i="12"/>
  <c r="AE35" i="12"/>
  <c r="Y35" i="12"/>
  <c r="T35" i="12"/>
  <c r="Q35" i="12"/>
  <c r="N35" i="12"/>
  <c r="K35" i="12"/>
  <c r="AH34" i="12"/>
  <c r="AE34" i="12"/>
  <c r="Y34" i="12"/>
  <c r="T34" i="12"/>
  <c r="Q34" i="12"/>
  <c r="N34" i="12"/>
  <c r="K34" i="12"/>
  <c r="AH33" i="12"/>
  <c r="AE33" i="12"/>
  <c r="Y33" i="12"/>
  <c r="T33" i="12"/>
  <c r="Q33" i="12"/>
  <c r="N33" i="12"/>
  <c r="K33" i="12"/>
  <c r="AH32" i="12"/>
  <c r="AE32" i="12"/>
  <c r="Y32" i="12"/>
  <c r="T32" i="12"/>
  <c r="Q32" i="12"/>
  <c r="N32" i="12"/>
  <c r="K32" i="12"/>
  <c r="AH31" i="12"/>
  <c r="AE31" i="12"/>
  <c r="Y31" i="12"/>
  <c r="T31" i="12"/>
  <c r="Q31" i="12"/>
  <c r="N31" i="12"/>
  <c r="K31" i="12"/>
  <c r="AH30" i="12"/>
  <c r="AE30" i="12"/>
  <c r="Y30" i="12"/>
  <c r="T30" i="12"/>
  <c r="Q30" i="12"/>
  <c r="N30" i="12"/>
  <c r="K30" i="12"/>
  <c r="AH29" i="12"/>
  <c r="AH36" i="12" s="1"/>
  <c r="AE29" i="12"/>
  <c r="AE36" i="12" s="1"/>
  <c r="Y29" i="12"/>
  <c r="Y36" i="12" s="1"/>
  <c r="T29" i="12"/>
  <c r="T36" i="12" s="1"/>
  <c r="Q29" i="12"/>
  <c r="Q36" i="12" s="1"/>
  <c r="N29" i="12"/>
  <c r="N36" i="12" s="1"/>
  <c r="K29" i="12"/>
  <c r="K36" i="12" s="1"/>
  <c r="AH27" i="12"/>
  <c r="AE27" i="12"/>
  <c r="Y27" i="12"/>
  <c r="T27" i="12"/>
  <c r="Q27" i="12"/>
  <c r="N27" i="12"/>
  <c r="K27" i="12"/>
  <c r="AH26" i="12"/>
  <c r="AE26" i="12"/>
  <c r="Y26" i="12"/>
  <c r="T26" i="12"/>
  <c r="Q26" i="12"/>
  <c r="N26" i="12"/>
  <c r="K26" i="12"/>
  <c r="AH25" i="12"/>
  <c r="AE25" i="12"/>
  <c r="Y25" i="12"/>
  <c r="T25" i="12"/>
  <c r="Q25" i="12"/>
  <c r="N25" i="12"/>
  <c r="K25" i="12"/>
  <c r="AH24" i="12"/>
  <c r="AE24" i="12"/>
  <c r="Y24" i="12"/>
  <c r="T24" i="12"/>
  <c r="Q24" i="12"/>
  <c r="N24" i="12"/>
  <c r="K24" i="12"/>
  <c r="AH23" i="12"/>
  <c r="AE23" i="12"/>
  <c r="Y23" i="12"/>
  <c r="T23" i="12"/>
  <c r="Q23" i="12"/>
  <c r="N23" i="12"/>
  <c r="K23" i="12"/>
  <c r="AH22" i="12"/>
  <c r="AE22" i="12"/>
  <c r="Y22" i="12"/>
  <c r="T22" i="12"/>
  <c r="Q22" i="12"/>
  <c r="N22" i="12"/>
  <c r="N28" i="12" s="1"/>
  <c r="K22" i="12"/>
  <c r="AH21" i="12"/>
  <c r="AH28" i="12" s="1"/>
  <c r="AE21" i="12"/>
  <c r="AE28" i="12" s="1"/>
  <c r="Y21" i="12"/>
  <c r="Y28" i="12" s="1"/>
  <c r="T21" i="12"/>
  <c r="T28" i="12" s="1"/>
  <c r="Q21" i="12"/>
  <c r="Q28" i="12" s="1"/>
  <c r="N21" i="12"/>
  <c r="K21" i="12"/>
  <c r="K28" i="12" s="1"/>
  <c r="C24" i="13"/>
  <c r="D24" i="13"/>
  <c r="C21" i="13"/>
  <c r="D21" i="13" s="1"/>
  <c r="U23" i="13"/>
  <c r="R23" i="13"/>
  <c r="Q23" i="13"/>
  <c r="P23" i="13"/>
  <c r="N23" i="13"/>
  <c r="M23" i="13"/>
  <c r="F37" i="12" l="1"/>
  <c r="G37" i="12" s="1"/>
  <c r="F29" i="12"/>
  <c r="G29" i="12" s="1"/>
  <c r="F21" i="12"/>
  <c r="G21" i="12" s="1"/>
  <c r="C22" i="13"/>
  <c r="D22" i="13" s="1"/>
  <c r="C23" i="13"/>
  <c r="D23" i="13" s="1"/>
  <c r="J20" i="15" l="1"/>
  <c r="I20" i="15" s="1"/>
  <c r="E621" i="9"/>
  <c r="Y627" i="9"/>
  <c r="V627" i="9"/>
  <c r="S627" i="9"/>
  <c r="P627" i="9"/>
  <c r="M627" i="9"/>
  <c r="J627" i="9"/>
  <c r="Y626" i="9"/>
  <c r="V626" i="9"/>
  <c r="S626" i="9"/>
  <c r="P626" i="9"/>
  <c r="M626" i="9"/>
  <c r="J626" i="9"/>
  <c r="Y625" i="9"/>
  <c r="V625" i="9"/>
  <c r="S625" i="9"/>
  <c r="P625" i="9"/>
  <c r="M625" i="9"/>
  <c r="J625" i="9"/>
  <c r="Y624" i="9"/>
  <c r="V624" i="9"/>
  <c r="S624" i="9"/>
  <c r="P624" i="9"/>
  <c r="M624" i="9"/>
  <c r="J624" i="9"/>
  <c r="Y623" i="9"/>
  <c r="V623" i="9"/>
  <c r="S623" i="9"/>
  <c r="P623" i="9"/>
  <c r="M623" i="9"/>
  <c r="J623" i="9"/>
  <c r="Y622" i="9"/>
  <c r="V622" i="9"/>
  <c r="S622" i="9"/>
  <c r="P622" i="9"/>
  <c r="M622" i="9"/>
  <c r="J622" i="9"/>
  <c r="Y621" i="9"/>
  <c r="Y628" i="9" s="1"/>
  <c r="M96" i="10" s="1"/>
  <c r="V621" i="9"/>
  <c r="S621" i="9"/>
  <c r="P621" i="9"/>
  <c r="M621" i="9"/>
  <c r="J621" i="9"/>
  <c r="E613" i="9"/>
  <c r="Y619" i="9"/>
  <c r="V619" i="9"/>
  <c r="S619" i="9"/>
  <c r="P619" i="9"/>
  <c r="M619" i="9"/>
  <c r="J619" i="9"/>
  <c r="Y618" i="9"/>
  <c r="V618" i="9"/>
  <c r="S618" i="9"/>
  <c r="P618" i="9"/>
  <c r="M618" i="9"/>
  <c r="J618" i="9"/>
  <c r="Y617" i="9"/>
  <c r="V617" i="9"/>
  <c r="S617" i="9"/>
  <c r="P617" i="9"/>
  <c r="M617" i="9"/>
  <c r="J617" i="9"/>
  <c r="Y616" i="9"/>
  <c r="V616" i="9"/>
  <c r="S616" i="9"/>
  <c r="P616" i="9"/>
  <c r="M616" i="9"/>
  <c r="J616" i="9"/>
  <c r="Y615" i="9"/>
  <c r="V615" i="9"/>
  <c r="S615" i="9"/>
  <c r="P615" i="9"/>
  <c r="M615" i="9"/>
  <c r="J615" i="9"/>
  <c r="Y614" i="9"/>
  <c r="V614" i="9"/>
  <c r="S614" i="9"/>
  <c r="P614" i="9"/>
  <c r="M614" i="9"/>
  <c r="J614" i="9"/>
  <c r="Y613" i="9"/>
  <c r="V613" i="9"/>
  <c r="S613" i="9"/>
  <c r="P613" i="9"/>
  <c r="M613" i="9"/>
  <c r="J613" i="9"/>
  <c r="J620" i="9" s="1"/>
  <c r="H95" i="10" s="1"/>
  <c r="E605" i="9"/>
  <c r="E597" i="9"/>
  <c r="E589" i="9"/>
  <c r="E581" i="9"/>
  <c r="E573" i="9"/>
  <c r="E565" i="9"/>
  <c r="Y611" i="9"/>
  <c r="V611" i="9"/>
  <c r="S611" i="9"/>
  <c r="P611" i="9"/>
  <c r="M611" i="9"/>
  <c r="J611" i="9"/>
  <c r="Y610" i="9"/>
  <c r="V610" i="9"/>
  <c r="S610" i="9"/>
  <c r="P610" i="9"/>
  <c r="M610" i="9"/>
  <c r="J610" i="9"/>
  <c r="Y609" i="9"/>
  <c r="V609" i="9"/>
  <c r="S609" i="9"/>
  <c r="P609" i="9"/>
  <c r="M609" i="9"/>
  <c r="J609" i="9"/>
  <c r="Y608" i="9"/>
  <c r="V608" i="9"/>
  <c r="S608" i="9"/>
  <c r="P608" i="9"/>
  <c r="M608" i="9"/>
  <c r="J608" i="9"/>
  <c r="Y607" i="9"/>
  <c r="V607" i="9"/>
  <c r="S607" i="9"/>
  <c r="P607" i="9"/>
  <c r="M607" i="9"/>
  <c r="J607" i="9"/>
  <c r="Y606" i="9"/>
  <c r="V606" i="9"/>
  <c r="S606" i="9"/>
  <c r="P606" i="9"/>
  <c r="M606" i="9"/>
  <c r="J606" i="9"/>
  <c r="Y605" i="9"/>
  <c r="V605" i="9"/>
  <c r="S605" i="9"/>
  <c r="P605" i="9"/>
  <c r="M605" i="9"/>
  <c r="J605" i="9"/>
  <c r="J612" i="9" s="1"/>
  <c r="H94" i="10" s="1"/>
  <c r="Y603" i="9"/>
  <c r="V603" i="9"/>
  <c r="S603" i="9"/>
  <c r="P603" i="9"/>
  <c r="M603" i="9"/>
  <c r="J603" i="9"/>
  <c r="Y602" i="9"/>
  <c r="V602" i="9"/>
  <c r="S602" i="9"/>
  <c r="P602" i="9"/>
  <c r="M602" i="9"/>
  <c r="J602" i="9"/>
  <c r="Y601" i="9"/>
  <c r="V601" i="9"/>
  <c r="S601" i="9"/>
  <c r="P601" i="9"/>
  <c r="M601" i="9"/>
  <c r="J601" i="9"/>
  <c r="Y600" i="9"/>
  <c r="V600" i="9"/>
  <c r="S600" i="9"/>
  <c r="P600" i="9"/>
  <c r="M600" i="9"/>
  <c r="J600" i="9"/>
  <c r="Y599" i="9"/>
  <c r="V599" i="9"/>
  <c r="S599" i="9"/>
  <c r="P599" i="9"/>
  <c r="M599" i="9"/>
  <c r="J599" i="9"/>
  <c r="Y598" i="9"/>
  <c r="V598" i="9"/>
  <c r="S598" i="9"/>
  <c r="P598" i="9"/>
  <c r="M598" i="9"/>
  <c r="J598" i="9"/>
  <c r="Y597" i="9"/>
  <c r="V597" i="9"/>
  <c r="S597" i="9"/>
  <c r="P597" i="9"/>
  <c r="M597" i="9"/>
  <c r="J597" i="9"/>
  <c r="Y595" i="9"/>
  <c r="V595" i="9"/>
  <c r="S595" i="9"/>
  <c r="P595" i="9"/>
  <c r="M595" i="9"/>
  <c r="J595" i="9"/>
  <c r="Y594" i="9"/>
  <c r="V594" i="9"/>
  <c r="S594" i="9"/>
  <c r="P594" i="9"/>
  <c r="M594" i="9"/>
  <c r="J594" i="9"/>
  <c r="Y593" i="9"/>
  <c r="V593" i="9"/>
  <c r="S593" i="9"/>
  <c r="P593" i="9"/>
  <c r="M593" i="9"/>
  <c r="J593" i="9"/>
  <c r="Y592" i="9"/>
  <c r="V592" i="9"/>
  <c r="S592" i="9"/>
  <c r="P592" i="9"/>
  <c r="M592" i="9"/>
  <c r="J592" i="9"/>
  <c r="Y591" i="9"/>
  <c r="V591" i="9"/>
  <c r="S591" i="9"/>
  <c r="P591" i="9"/>
  <c r="M591" i="9"/>
  <c r="J591" i="9"/>
  <c r="Y590" i="9"/>
  <c r="V590" i="9"/>
  <c r="S590" i="9"/>
  <c r="P590" i="9"/>
  <c r="M590" i="9"/>
  <c r="J590" i="9"/>
  <c r="Y589" i="9"/>
  <c r="V589" i="9"/>
  <c r="S589" i="9"/>
  <c r="P589" i="9"/>
  <c r="M589" i="9"/>
  <c r="J589" i="9"/>
  <c r="Y587" i="9"/>
  <c r="V587" i="9"/>
  <c r="S587" i="9"/>
  <c r="P587" i="9"/>
  <c r="M587" i="9"/>
  <c r="J587" i="9"/>
  <c r="Y586" i="9"/>
  <c r="V586" i="9"/>
  <c r="S586" i="9"/>
  <c r="P586" i="9"/>
  <c r="M586" i="9"/>
  <c r="J586" i="9"/>
  <c r="Y585" i="9"/>
  <c r="V585" i="9"/>
  <c r="S585" i="9"/>
  <c r="P585" i="9"/>
  <c r="M585" i="9"/>
  <c r="J585" i="9"/>
  <c r="Y584" i="9"/>
  <c r="V584" i="9"/>
  <c r="S584" i="9"/>
  <c r="P584" i="9"/>
  <c r="M584" i="9"/>
  <c r="J584" i="9"/>
  <c r="Y583" i="9"/>
  <c r="V583" i="9"/>
  <c r="S583" i="9"/>
  <c r="P583" i="9"/>
  <c r="M583" i="9"/>
  <c r="J583" i="9"/>
  <c r="Y582" i="9"/>
  <c r="V582" i="9"/>
  <c r="S582" i="9"/>
  <c r="P582" i="9"/>
  <c r="P588" i="9" s="1"/>
  <c r="J91" i="10" s="1"/>
  <c r="M582" i="9"/>
  <c r="M588" i="9" s="1"/>
  <c r="I91" i="10" s="1"/>
  <c r="J582" i="9"/>
  <c r="Y581" i="9"/>
  <c r="V581" i="9"/>
  <c r="S581" i="9"/>
  <c r="P581" i="9"/>
  <c r="M581" i="9"/>
  <c r="J581" i="9"/>
  <c r="Y579" i="9"/>
  <c r="V579" i="9"/>
  <c r="S579" i="9"/>
  <c r="P579" i="9"/>
  <c r="M579" i="9"/>
  <c r="J579" i="9"/>
  <c r="Y578" i="9"/>
  <c r="V578" i="9"/>
  <c r="S578" i="9"/>
  <c r="P578" i="9"/>
  <c r="M578" i="9"/>
  <c r="J578" i="9"/>
  <c r="Y577" i="9"/>
  <c r="V577" i="9"/>
  <c r="S577" i="9"/>
  <c r="P577" i="9"/>
  <c r="M577" i="9"/>
  <c r="J577" i="9"/>
  <c r="Y576" i="9"/>
  <c r="V576" i="9"/>
  <c r="S576" i="9"/>
  <c r="P576" i="9"/>
  <c r="M576" i="9"/>
  <c r="J576" i="9"/>
  <c r="Y575" i="9"/>
  <c r="V575" i="9"/>
  <c r="S575" i="9"/>
  <c r="P575" i="9"/>
  <c r="M575" i="9"/>
  <c r="J575" i="9"/>
  <c r="Y574" i="9"/>
  <c r="V574" i="9"/>
  <c r="S574" i="9"/>
  <c r="P574" i="9"/>
  <c r="M574" i="9"/>
  <c r="J574" i="9"/>
  <c r="Y573" i="9"/>
  <c r="V573" i="9"/>
  <c r="S573" i="9"/>
  <c r="P573" i="9"/>
  <c r="P580" i="9" s="1"/>
  <c r="J90" i="10" s="1"/>
  <c r="M573" i="9"/>
  <c r="M580" i="9" s="1"/>
  <c r="I90" i="10" s="1"/>
  <c r="J573" i="9"/>
  <c r="Y571" i="9"/>
  <c r="V571" i="9"/>
  <c r="S571" i="9"/>
  <c r="P571" i="9"/>
  <c r="M571" i="9"/>
  <c r="J571" i="9"/>
  <c r="Y570" i="9"/>
  <c r="V570" i="9"/>
  <c r="S570" i="9"/>
  <c r="P570" i="9"/>
  <c r="M570" i="9"/>
  <c r="J570" i="9"/>
  <c r="Y569" i="9"/>
  <c r="V569" i="9"/>
  <c r="S569" i="9"/>
  <c r="P569" i="9"/>
  <c r="M569" i="9"/>
  <c r="J569" i="9"/>
  <c r="Y568" i="9"/>
  <c r="V568" i="9"/>
  <c r="S568" i="9"/>
  <c r="P568" i="9"/>
  <c r="M568" i="9"/>
  <c r="J568" i="9"/>
  <c r="Y567" i="9"/>
  <c r="V567" i="9"/>
  <c r="S567" i="9"/>
  <c r="P567" i="9"/>
  <c r="M567" i="9"/>
  <c r="J567" i="9"/>
  <c r="Y566" i="9"/>
  <c r="V566" i="9"/>
  <c r="S566" i="9"/>
  <c r="P566" i="9"/>
  <c r="M566" i="9"/>
  <c r="J566" i="9"/>
  <c r="Y565" i="9"/>
  <c r="V565" i="9"/>
  <c r="S565" i="9"/>
  <c r="P565" i="9"/>
  <c r="M565" i="9"/>
  <c r="J565" i="9"/>
  <c r="E357" i="9"/>
  <c r="Y363" i="9"/>
  <c r="V363" i="9"/>
  <c r="S363" i="9"/>
  <c r="P363" i="9"/>
  <c r="M363" i="9"/>
  <c r="J363" i="9"/>
  <c r="Y362" i="9"/>
  <c r="V362" i="9"/>
  <c r="S362" i="9"/>
  <c r="P362" i="9"/>
  <c r="M362" i="9"/>
  <c r="J362" i="9"/>
  <c r="Y361" i="9"/>
  <c r="V361" i="9"/>
  <c r="S361" i="9"/>
  <c r="P361" i="9"/>
  <c r="M361" i="9"/>
  <c r="J361" i="9"/>
  <c r="Y360" i="9"/>
  <c r="V360" i="9"/>
  <c r="S360" i="9"/>
  <c r="P360" i="9"/>
  <c r="M360" i="9"/>
  <c r="J360" i="9"/>
  <c r="Y359" i="9"/>
  <c r="V359" i="9"/>
  <c r="S359" i="9"/>
  <c r="P359" i="9"/>
  <c r="M359" i="9"/>
  <c r="J359" i="9"/>
  <c r="Y358" i="9"/>
  <c r="V358" i="9"/>
  <c r="S358" i="9"/>
  <c r="P358" i="9"/>
  <c r="M358" i="9"/>
  <c r="J358" i="9"/>
  <c r="Y357" i="9"/>
  <c r="V357" i="9"/>
  <c r="S357" i="9"/>
  <c r="P357" i="9"/>
  <c r="M357" i="9"/>
  <c r="J357" i="9"/>
  <c r="D63" i="10"/>
  <c r="D357" i="9" s="1"/>
  <c r="D81" i="13"/>
  <c r="V588" i="9" l="1"/>
  <c r="L91" i="10" s="1"/>
  <c r="J596" i="9"/>
  <c r="H92" i="10" s="1"/>
  <c r="J604" i="9"/>
  <c r="H93" i="10" s="1"/>
  <c r="M628" i="9"/>
  <c r="I96" i="10" s="1"/>
  <c r="M596" i="9"/>
  <c r="I92" i="10" s="1"/>
  <c r="M604" i="9"/>
  <c r="I93" i="10" s="1"/>
  <c r="P628" i="9"/>
  <c r="J96" i="10" s="1"/>
  <c r="J628" i="9"/>
  <c r="H96" i="10" s="1"/>
  <c r="P596" i="9"/>
  <c r="J92" i="10" s="1"/>
  <c r="P604" i="9"/>
  <c r="J93" i="10" s="1"/>
  <c r="S628" i="9"/>
  <c r="K96" i="10" s="1"/>
  <c r="Y580" i="9"/>
  <c r="M90" i="10" s="1"/>
  <c r="S604" i="9"/>
  <c r="K93" i="10" s="1"/>
  <c r="V628" i="9"/>
  <c r="L96" i="10" s="1"/>
  <c r="Y604" i="9"/>
  <c r="M93" i="10" s="1"/>
  <c r="Y596" i="9"/>
  <c r="M92" i="10" s="1"/>
  <c r="M612" i="9"/>
  <c r="I94" i="10" s="1"/>
  <c r="M620" i="9"/>
  <c r="I95" i="10" s="1"/>
  <c r="M364" i="9"/>
  <c r="I63" i="10" s="1"/>
  <c r="V364" i="9"/>
  <c r="L63" i="10" s="1"/>
  <c r="Y364" i="9"/>
  <c r="M63" i="10" s="1"/>
  <c r="P612" i="9"/>
  <c r="J94" i="10" s="1"/>
  <c r="P620" i="9"/>
  <c r="J95" i="10" s="1"/>
  <c r="P364" i="9"/>
  <c r="J63" i="10" s="1"/>
  <c r="S596" i="9"/>
  <c r="K92" i="10" s="1"/>
  <c r="V604" i="9"/>
  <c r="L93" i="10" s="1"/>
  <c r="S620" i="9"/>
  <c r="K95" i="10" s="1"/>
  <c r="V596" i="9"/>
  <c r="L92" i="10" s="1"/>
  <c r="Y572" i="9"/>
  <c r="M89" i="10" s="1"/>
  <c r="J572" i="9"/>
  <c r="H89" i="10" s="1"/>
  <c r="V612" i="9"/>
  <c r="L94" i="10" s="1"/>
  <c r="V620" i="9"/>
  <c r="L95" i="10" s="1"/>
  <c r="J364" i="9"/>
  <c r="H63" i="10" s="1"/>
  <c r="S612" i="9"/>
  <c r="K94" i="10" s="1"/>
  <c r="M572" i="9"/>
  <c r="I89" i="10" s="1"/>
  <c r="Y612" i="9"/>
  <c r="M94" i="10" s="1"/>
  <c r="Y620" i="9"/>
  <c r="M95" i="10" s="1"/>
  <c r="P572" i="9"/>
  <c r="J89" i="10" s="1"/>
  <c r="S588" i="9"/>
  <c r="K91" i="10" s="1"/>
  <c r="S572" i="9"/>
  <c r="K89" i="10" s="1"/>
  <c r="Y588" i="9"/>
  <c r="M91" i="10" s="1"/>
  <c r="S580" i="9"/>
  <c r="K90" i="10" s="1"/>
  <c r="V580" i="9"/>
  <c r="L90" i="10" s="1"/>
  <c r="S364" i="9"/>
  <c r="K63" i="10" s="1"/>
  <c r="V572" i="9"/>
  <c r="L89" i="10" s="1"/>
  <c r="J580" i="9"/>
  <c r="H90" i="10" s="1"/>
  <c r="J588" i="9"/>
  <c r="H91" i="10" s="1"/>
  <c r="E245" i="9"/>
  <c r="E237" i="9"/>
  <c r="E229" i="9"/>
  <c r="D229" i="9"/>
  <c r="Y251" i="9"/>
  <c r="V251" i="9"/>
  <c r="S251" i="9"/>
  <c r="P251" i="9"/>
  <c r="M251" i="9"/>
  <c r="J251" i="9"/>
  <c r="Y250" i="9"/>
  <c r="V250" i="9"/>
  <c r="S250" i="9"/>
  <c r="P250" i="9"/>
  <c r="M250" i="9"/>
  <c r="J250" i="9"/>
  <c r="Y249" i="9"/>
  <c r="V249" i="9"/>
  <c r="S249" i="9"/>
  <c r="P249" i="9"/>
  <c r="M249" i="9"/>
  <c r="J249" i="9"/>
  <c r="Y248" i="9"/>
  <c r="V248" i="9"/>
  <c r="S248" i="9"/>
  <c r="P248" i="9"/>
  <c r="M248" i="9"/>
  <c r="J248" i="9"/>
  <c r="Y247" i="9"/>
  <c r="V247" i="9"/>
  <c r="S247" i="9"/>
  <c r="P247" i="9"/>
  <c r="M247" i="9"/>
  <c r="J247" i="9"/>
  <c r="Y246" i="9"/>
  <c r="V246" i="9"/>
  <c r="S246" i="9"/>
  <c r="P246" i="9"/>
  <c r="M246" i="9"/>
  <c r="J246" i="9"/>
  <c r="Y245" i="9"/>
  <c r="V245" i="9"/>
  <c r="S245" i="9"/>
  <c r="P245" i="9"/>
  <c r="M245" i="9"/>
  <c r="J245" i="9"/>
  <c r="Y243" i="9"/>
  <c r="V243" i="9"/>
  <c r="S243" i="9"/>
  <c r="P243" i="9"/>
  <c r="M243" i="9"/>
  <c r="J243" i="9"/>
  <c r="Y242" i="9"/>
  <c r="V242" i="9"/>
  <c r="S242" i="9"/>
  <c r="P242" i="9"/>
  <c r="M242" i="9"/>
  <c r="J242" i="9"/>
  <c r="Y241" i="9"/>
  <c r="V241" i="9"/>
  <c r="S241" i="9"/>
  <c r="P241" i="9"/>
  <c r="M241" i="9"/>
  <c r="J241" i="9"/>
  <c r="Y240" i="9"/>
  <c r="V240" i="9"/>
  <c r="S240" i="9"/>
  <c r="P240" i="9"/>
  <c r="M240" i="9"/>
  <c r="J240" i="9"/>
  <c r="Y239" i="9"/>
  <c r="V239" i="9"/>
  <c r="S239" i="9"/>
  <c r="P239" i="9"/>
  <c r="M239" i="9"/>
  <c r="J239" i="9"/>
  <c r="Y238" i="9"/>
  <c r="V238" i="9"/>
  <c r="S238" i="9"/>
  <c r="P238" i="9"/>
  <c r="P244" i="9" s="1"/>
  <c r="J48" i="10" s="1"/>
  <c r="M238" i="9"/>
  <c r="J238" i="9"/>
  <c r="Y237" i="9"/>
  <c r="V237" i="9"/>
  <c r="S237" i="9"/>
  <c r="P237" i="9"/>
  <c r="M237" i="9"/>
  <c r="J237" i="9"/>
  <c r="Y235" i="9"/>
  <c r="V235" i="9"/>
  <c r="S235" i="9"/>
  <c r="P235" i="9"/>
  <c r="M235" i="9"/>
  <c r="J235" i="9"/>
  <c r="Y234" i="9"/>
  <c r="V234" i="9"/>
  <c r="S234" i="9"/>
  <c r="P234" i="9"/>
  <c r="M234" i="9"/>
  <c r="J234" i="9"/>
  <c r="Y233" i="9"/>
  <c r="V233" i="9"/>
  <c r="S233" i="9"/>
  <c r="P233" i="9"/>
  <c r="M233" i="9"/>
  <c r="J233" i="9"/>
  <c r="Y232" i="9"/>
  <c r="V232" i="9"/>
  <c r="S232" i="9"/>
  <c r="P232" i="9"/>
  <c r="M232" i="9"/>
  <c r="J232" i="9"/>
  <c r="Y231" i="9"/>
  <c r="V231" i="9"/>
  <c r="S231" i="9"/>
  <c r="P231" i="9"/>
  <c r="M231" i="9"/>
  <c r="J231" i="9"/>
  <c r="Y230" i="9"/>
  <c r="V230" i="9"/>
  <c r="S230" i="9"/>
  <c r="P230" i="9"/>
  <c r="M230" i="9"/>
  <c r="J230" i="9"/>
  <c r="Y229" i="9"/>
  <c r="V229" i="9"/>
  <c r="S229" i="9"/>
  <c r="P229" i="9"/>
  <c r="M229" i="9"/>
  <c r="J229" i="9"/>
  <c r="C48" i="10"/>
  <c r="D48" i="10" s="1"/>
  <c r="C47" i="10"/>
  <c r="C229" i="9" s="1"/>
  <c r="M236" i="9" l="1"/>
  <c r="I47" i="10" s="1"/>
  <c r="S244" i="9"/>
  <c r="K48" i="10" s="1"/>
  <c r="V244" i="9"/>
  <c r="L48" i="10" s="1"/>
  <c r="S252" i="9"/>
  <c r="K49" i="10" s="1"/>
  <c r="V236" i="9"/>
  <c r="L47" i="10" s="1"/>
  <c r="Y236" i="9"/>
  <c r="M47" i="10" s="1"/>
  <c r="Y252" i="9"/>
  <c r="M49" i="10" s="1"/>
  <c r="S236" i="9"/>
  <c r="K47" i="10" s="1"/>
  <c r="J252" i="9"/>
  <c r="H49" i="10" s="1"/>
  <c r="M252" i="9"/>
  <c r="I49" i="10" s="1"/>
  <c r="P252" i="9"/>
  <c r="J49" i="10" s="1"/>
  <c r="V252" i="9"/>
  <c r="L49" i="10" s="1"/>
  <c r="P236" i="9"/>
  <c r="J47" i="10" s="1"/>
  <c r="J236" i="9"/>
  <c r="H47" i="10" s="1"/>
  <c r="F47" i="10" s="1"/>
  <c r="G47" i="10" s="1"/>
  <c r="Y244" i="9"/>
  <c r="M48" i="10" s="1"/>
  <c r="D237" i="9"/>
  <c r="C49" i="10"/>
  <c r="C237" i="9"/>
  <c r="M244" i="9"/>
  <c r="I48" i="10" s="1"/>
  <c r="J244" i="9"/>
  <c r="H48" i="10" s="1"/>
  <c r="S40" i="8"/>
  <c r="R40" i="8"/>
  <c r="Q40" i="8"/>
  <c r="P40" i="8"/>
  <c r="O40" i="8"/>
  <c r="N40" i="8"/>
  <c r="M40" i="8"/>
  <c r="L40" i="8"/>
  <c r="K40" i="8"/>
  <c r="J40" i="8"/>
  <c r="I40" i="8"/>
  <c r="H40" i="8"/>
  <c r="S39" i="8"/>
  <c r="R39" i="8"/>
  <c r="Q39" i="8"/>
  <c r="P39" i="8"/>
  <c r="O39" i="8"/>
  <c r="N39" i="8"/>
  <c r="M39" i="8"/>
  <c r="L39" i="8"/>
  <c r="K39" i="8"/>
  <c r="J39" i="8"/>
  <c r="I39" i="8"/>
  <c r="H39" i="8"/>
  <c r="S38" i="8"/>
  <c r="R38" i="8"/>
  <c r="Q38" i="8"/>
  <c r="P38" i="8"/>
  <c r="O38" i="8"/>
  <c r="N38" i="8"/>
  <c r="M38" i="8"/>
  <c r="L38" i="8"/>
  <c r="K38" i="8"/>
  <c r="J38" i="8"/>
  <c r="I38" i="8"/>
  <c r="H38" i="8"/>
  <c r="S37" i="8"/>
  <c r="R37" i="8"/>
  <c r="Q37" i="8"/>
  <c r="P37" i="8"/>
  <c r="O37" i="8"/>
  <c r="N37" i="8"/>
  <c r="M37" i="8"/>
  <c r="L37" i="8"/>
  <c r="K37" i="8"/>
  <c r="J37" i="8"/>
  <c r="I37" i="8"/>
  <c r="H37" i="8"/>
  <c r="C40" i="8"/>
  <c r="C173" i="2" s="1"/>
  <c r="E173" i="2"/>
  <c r="AM179" i="2"/>
  <c r="AJ179" i="2"/>
  <c r="AG179" i="2"/>
  <c r="AC179" i="2"/>
  <c r="Y179" i="2"/>
  <c r="V179" i="2"/>
  <c r="S179" i="2"/>
  <c r="P179" i="2"/>
  <c r="M179" i="2"/>
  <c r="J179" i="2"/>
  <c r="AM178" i="2"/>
  <c r="AJ178" i="2"/>
  <c r="AG178" i="2"/>
  <c r="AC178" i="2"/>
  <c r="Y178" i="2"/>
  <c r="V178" i="2"/>
  <c r="S178" i="2"/>
  <c r="P178" i="2"/>
  <c r="M178" i="2"/>
  <c r="J178" i="2"/>
  <c r="AM177" i="2"/>
  <c r="AJ177" i="2"/>
  <c r="AG177" i="2"/>
  <c r="AC177" i="2"/>
  <c r="Y177" i="2"/>
  <c r="V177" i="2"/>
  <c r="S177" i="2"/>
  <c r="P177" i="2"/>
  <c r="M177" i="2"/>
  <c r="J177" i="2"/>
  <c r="AM176" i="2"/>
  <c r="AJ176" i="2"/>
  <c r="AG176" i="2"/>
  <c r="AC176" i="2"/>
  <c r="Y176" i="2"/>
  <c r="V176" i="2"/>
  <c r="S176" i="2"/>
  <c r="P176" i="2"/>
  <c r="M176" i="2"/>
  <c r="J176" i="2"/>
  <c r="AM175" i="2"/>
  <c r="AJ175" i="2"/>
  <c r="AG175" i="2"/>
  <c r="AC175" i="2"/>
  <c r="Y175" i="2"/>
  <c r="V175" i="2"/>
  <c r="S175" i="2"/>
  <c r="P175" i="2"/>
  <c r="M175" i="2"/>
  <c r="J175" i="2"/>
  <c r="AM174" i="2"/>
  <c r="AJ174" i="2"/>
  <c r="AG174" i="2"/>
  <c r="AC174" i="2"/>
  <c r="Y174" i="2"/>
  <c r="V174" i="2"/>
  <c r="S174" i="2"/>
  <c r="P174" i="2"/>
  <c r="M174" i="2"/>
  <c r="J174" i="2"/>
  <c r="AM173" i="2"/>
  <c r="AM180" i="2" s="1"/>
  <c r="AJ173" i="2"/>
  <c r="AJ180" i="2" s="1"/>
  <c r="AG173" i="2"/>
  <c r="AG180" i="2" s="1"/>
  <c r="AC173" i="2"/>
  <c r="AC180" i="2" s="1"/>
  <c r="Y173" i="2"/>
  <c r="Y180" i="2" s="1"/>
  <c r="V173" i="2"/>
  <c r="V180" i="2" s="1"/>
  <c r="S173" i="2"/>
  <c r="S180" i="2" s="1"/>
  <c r="P173" i="2"/>
  <c r="P180" i="2" s="1"/>
  <c r="M173" i="2"/>
  <c r="M180" i="2" s="1"/>
  <c r="J173" i="2"/>
  <c r="J180" i="2" s="1"/>
  <c r="E165" i="2"/>
  <c r="D165" i="2"/>
  <c r="C165" i="2"/>
  <c r="D157" i="2"/>
  <c r="C157" i="2"/>
  <c r="E157" i="2"/>
  <c r="E149" i="2"/>
  <c r="D149" i="2"/>
  <c r="C149" i="2"/>
  <c r="AM171" i="2"/>
  <c r="AJ171" i="2"/>
  <c r="AG171" i="2"/>
  <c r="AC171" i="2"/>
  <c r="Y171" i="2"/>
  <c r="V171" i="2"/>
  <c r="S171" i="2"/>
  <c r="P171" i="2"/>
  <c r="M171" i="2"/>
  <c r="J171" i="2"/>
  <c r="AM170" i="2"/>
  <c r="AJ170" i="2"/>
  <c r="AG170" i="2"/>
  <c r="AC170" i="2"/>
  <c r="Y170" i="2"/>
  <c r="V170" i="2"/>
  <c r="S170" i="2"/>
  <c r="P170" i="2"/>
  <c r="M170" i="2"/>
  <c r="J170" i="2"/>
  <c r="AM169" i="2"/>
  <c r="AJ169" i="2"/>
  <c r="AG169" i="2"/>
  <c r="AC169" i="2"/>
  <c r="Y169" i="2"/>
  <c r="V169" i="2"/>
  <c r="S169" i="2"/>
  <c r="P169" i="2"/>
  <c r="M169" i="2"/>
  <c r="J169" i="2"/>
  <c r="AM168" i="2"/>
  <c r="AJ168" i="2"/>
  <c r="AG168" i="2"/>
  <c r="AC168" i="2"/>
  <c r="Y168" i="2"/>
  <c r="V168" i="2"/>
  <c r="S168" i="2"/>
  <c r="P168" i="2"/>
  <c r="M168" i="2"/>
  <c r="J168" i="2"/>
  <c r="AM167" i="2"/>
  <c r="AJ167" i="2"/>
  <c r="AG167" i="2"/>
  <c r="AC167" i="2"/>
  <c r="Y167" i="2"/>
  <c r="V167" i="2"/>
  <c r="S167" i="2"/>
  <c r="P167" i="2"/>
  <c r="M167" i="2"/>
  <c r="J167" i="2"/>
  <c r="AM166" i="2"/>
  <c r="AJ166" i="2"/>
  <c r="AG166" i="2"/>
  <c r="AC166" i="2"/>
  <c r="Y166" i="2"/>
  <c r="V166" i="2"/>
  <c r="S166" i="2"/>
  <c r="P166" i="2"/>
  <c r="M166" i="2"/>
  <c r="J166" i="2"/>
  <c r="AM165" i="2"/>
  <c r="AM172" i="2" s="1"/>
  <c r="AJ165" i="2"/>
  <c r="AJ172" i="2" s="1"/>
  <c r="AG165" i="2"/>
  <c r="AG172" i="2" s="1"/>
  <c r="AC165" i="2"/>
  <c r="AC172" i="2" s="1"/>
  <c r="Y165" i="2"/>
  <c r="Y172" i="2" s="1"/>
  <c r="V165" i="2"/>
  <c r="V172" i="2" s="1"/>
  <c r="S165" i="2"/>
  <c r="S172" i="2" s="1"/>
  <c r="P165" i="2"/>
  <c r="P172" i="2" s="1"/>
  <c r="M165" i="2"/>
  <c r="M172" i="2" s="1"/>
  <c r="J165" i="2"/>
  <c r="J172" i="2" s="1"/>
  <c r="AM163" i="2"/>
  <c r="AJ163" i="2"/>
  <c r="AG163" i="2"/>
  <c r="AC163" i="2"/>
  <c r="Y163" i="2"/>
  <c r="V163" i="2"/>
  <c r="S163" i="2"/>
  <c r="P163" i="2"/>
  <c r="M163" i="2"/>
  <c r="J163" i="2"/>
  <c r="AM162" i="2"/>
  <c r="AJ162" i="2"/>
  <c r="AG162" i="2"/>
  <c r="AC162" i="2"/>
  <c r="Y162" i="2"/>
  <c r="V162" i="2"/>
  <c r="S162" i="2"/>
  <c r="P162" i="2"/>
  <c r="M162" i="2"/>
  <c r="J162" i="2"/>
  <c r="AM161" i="2"/>
  <c r="AJ161" i="2"/>
  <c r="AG161" i="2"/>
  <c r="AC161" i="2"/>
  <c r="Y161" i="2"/>
  <c r="V161" i="2"/>
  <c r="S161" i="2"/>
  <c r="P161" i="2"/>
  <c r="M161" i="2"/>
  <c r="J161" i="2"/>
  <c r="AM160" i="2"/>
  <c r="AJ160" i="2"/>
  <c r="AG160" i="2"/>
  <c r="AC160" i="2"/>
  <c r="Y160" i="2"/>
  <c r="V160" i="2"/>
  <c r="S160" i="2"/>
  <c r="P160" i="2"/>
  <c r="M160" i="2"/>
  <c r="J160" i="2"/>
  <c r="AM159" i="2"/>
  <c r="AJ159" i="2"/>
  <c r="AG159" i="2"/>
  <c r="AC159" i="2"/>
  <c r="Y159" i="2"/>
  <c r="V159" i="2"/>
  <c r="S159" i="2"/>
  <c r="P159" i="2"/>
  <c r="M159" i="2"/>
  <c r="J159" i="2"/>
  <c r="AM158" i="2"/>
  <c r="AJ158" i="2"/>
  <c r="AG158" i="2"/>
  <c r="AC158" i="2"/>
  <c r="Y158" i="2"/>
  <c r="V158" i="2"/>
  <c r="S158" i="2"/>
  <c r="P158" i="2"/>
  <c r="M158" i="2"/>
  <c r="J158" i="2"/>
  <c r="AM157" i="2"/>
  <c r="AM164" i="2" s="1"/>
  <c r="AJ157" i="2"/>
  <c r="AJ164" i="2" s="1"/>
  <c r="AG157" i="2"/>
  <c r="AG164" i="2" s="1"/>
  <c r="AC157" i="2"/>
  <c r="AC164" i="2" s="1"/>
  <c r="Y157" i="2"/>
  <c r="Y164" i="2" s="1"/>
  <c r="V157" i="2"/>
  <c r="V164" i="2" s="1"/>
  <c r="S157" i="2"/>
  <c r="S164" i="2" s="1"/>
  <c r="P157" i="2"/>
  <c r="P164" i="2" s="1"/>
  <c r="M157" i="2"/>
  <c r="M164" i="2" s="1"/>
  <c r="J157" i="2"/>
  <c r="J164" i="2" s="1"/>
  <c r="AM155" i="2"/>
  <c r="AJ155" i="2"/>
  <c r="AG155" i="2"/>
  <c r="AC155" i="2"/>
  <c r="Y155" i="2"/>
  <c r="V155" i="2"/>
  <c r="S155" i="2"/>
  <c r="P155" i="2"/>
  <c r="M155" i="2"/>
  <c r="J155" i="2"/>
  <c r="AM154" i="2"/>
  <c r="AJ154" i="2"/>
  <c r="AG154" i="2"/>
  <c r="AC154" i="2"/>
  <c r="Y154" i="2"/>
  <c r="V154" i="2"/>
  <c r="S154" i="2"/>
  <c r="P154" i="2"/>
  <c r="M154" i="2"/>
  <c r="J154" i="2"/>
  <c r="AM153" i="2"/>
  <c r="AJ153" i="2"/>
  <c r="AG153" i="2"/>
  <c r="AC153" i="2"/>
  <c r="Y153" i="2"/>
  <c r="V153" i="2"/>
  <c r="S153" i="2"/>
  <c r="P153" i="2"/>
  <c r="M153" i="2"/>
  <c r="J153" i="2"/>
  <c r="AM152" i="2"/>
  <c r="AJ152" i="2"/>
  <c r="AG152" i="2"/>
  <c r="AC152" i="2"/>
  <c r="Y152" i="2"/>
  <c r="V152" i="2"/>
  <c r="S152" i="2"/>
  <c r="P152" i="2"/>
  <c r="M152" i="2"/>
  <c r="J152" i="2"/>
  <c r="AM151" i="2"/>
  <c r="AJ151" i="2"/>
  <c r="AG151" i="2"/>
  <c r="AC151" i="2"/>
  <c r="Y151" i="2"/>
  <c r="V151" i="2"/>
  <c r="S151" i="2"/>
  <c r="P151" i="2"/>
  <c r="M151" i="2"/>
  <c r="J151" i="2"/>
  <c r="AM150" i="2"/>
  <c r="AJ150" i="2"/>
  <c r="AG150" i="2"/>
  <c r="AC150" i="2"/>
  <c r="Y150" i="2"/>
  <c r="V150" i="2"/>
  <c r="S150" i="2"/>
  <c r="P150" i="2"/>
  <c r="M150" i="2"/>
  <c r="J150" i="2"/>
  <c r="AM149" i="2"/>
  <c r="AM156" i="2" s="1"/>
  <c r="AJ149" i="2"/>
  <c r="AJ156" i="2" s="1"/>
  <c r="AG149" i="2"/>
  <c r="AC149" i="2"/>
  <c r="AC156" i="2" s="1"/>
  <c r="Y149" i="2"/>
  <c r="Y156" i="2" s="1"/>
  <c r="V149" i="2"/>
  <c r="V156" i="2" s="1"/>
  <c r="S149" i="2"/>
  <c r="S156" i="2" s="1"/>
  <c r="P149" i="2"/>
  <c r="P156" i="2" s="1"/>
  <c r="M149" i="2"/>
  <c r="J149" i="2"/>
  <c r="J156" i="2" s="1"/>
  <c r="C39" i="8"/>
  <c r="D39" i="8" s="1"/>
  <c r="C37" i="8"/>
  <c r="D37" i="8" s="1"/>
  <c r="D36" i="8"/>
  <c r="C29" i="8"/>
  <c r="C144" i="10"/>
  <c r="D28" i="8"/>
  <c r="D26" i="8"/>
  <c r="C26" i="8"/>
  <c r="E989" i="9"/>
  <c r="D143" i="10"/>
  <c r="Y995" i="9"/>
  <c r="V995" i="9"/>
  <c r="S995" i="9"/>
  <c r="P995" i="9"/>
  <c r="M995" i="9"/>
  <c r="J995" i="9"/>
  <c r="Y994" i="9"/>
  <c r="V994" i="9"/>
  <c r="S994" i="9"/>
  <c r="P994" i="9"/>
  <c r="M994" i="9"/>
  <c r="J994" i="9"/>
  <c r="Y993" i="9"/>
  <c r="V993" i="9"/>
  <c r="S993" i="9"/>
  <c r="P993" i="9"/>
  <c r="M993" i="9"/>
  <c r="J993" i="9"/>
  <c r="Y992" i="9"/>
  <c r="V992" i="9"/>
  <c r="S992" i="9"/>
  <c r="P992" i="9"/>
  <c r="M992" i="9"/>
  <c r="J992" i="9"/>
  <c r="Y991" i="9"/>
  <c r="V991" i="9"/>
  <c r="S991" i="9"/>
  <c r="P991" i="9"/>
  <c r="M991" i="9"/>
  <c r="J991" i="9"/>
  <c r="Y990" i="9"/>
  <c r="V990" i="9"/>
  <c r="S990" i="9"/>
  <c r="P990" i="9"/>
  <c r="M990" i="9"/>
  <c r="J990" i="9"/>
  <c r="Y989" i="9"/>
  <c r="V989" i="9"/>
  <c r="S989" i="9"/>
  <c r="P989" i="9"/>
  <c r="M989" i="9"/>
  <c r="J989" i="9"/>
  <c r="C141" i="10"/>
  <c r="D141" i="10" s="1"/>
  <c r="C142" i="10" s="1"/>
  <c r="S24" i="8"/>
  <c r="R24" i="8"/>
  <c r="Q24" i="8"/>
  <c r="P24" i="8"/>
  <c r="O24" i="8"/>
  <c r="N24" i="8"/>
  <c r="M24" i="8"/>
  <c r="L24" i="8"/>
  <c r="K24" i="8"/>
  <c r="J24" i="8"/>
  <c r="I24" i="8"/>
  <c r="H24" i="8"/>
  <c r="E45" i="2"/>
  <c r="D45" i="2"/>
  <c r="C45" i="2"/>
  <c r="AM51" i="2"/>
  <c r="AJ51" i="2"/>
  <c r="AG51" i="2"/>
  <c r="AC51" i="2"/>
  <c r="Y51" i="2"/>
  <c r="V51" i="2"/>
  <c r="S51" i="2"/>
  <c r="P51" i="2"/>
  <c r="M51" i="2"/>
  <c r="J51" i="2"/>
  <c r="AM50" i="2"/>
  <c r="AJ50" i="2"/>
  <c r="AG50" i="2"/>
  <c r="AC50" i="2"/>
  <c r="Y50" i="2"/>
  <c r="V50" i="2"/>
  <c r="S50" i="2"/>
  <c r="P50" i="2"/>
  <c r="M50" i="2"/>
  <c r="J50" i="2"/>
  <c r="AM49" i="2"/>
  <c r="AJ49" i="2"/>
  <c r="AG49" i="2"/>
  <c r="AC49" i="2"/>
  <c r="Y49" i="2"/>
  <c r="V49" i="2"/>
  <c r="S49" i="2"/>
  <c r="P49" i="2"/>
  <c r="M49" i="2"/>
  <c r="J49" i="2"/>
  <c r="AM48" i="2"/>
  <c r="AJ48" i="2"/>
  <c r="AG48" i="2"/>
  <c r="AC48" i="2"/>
  <c r="Y48" i="2"/>
  <c r="V48" i="2"/>
  <c r="S48" i="2"/>
  <c r="P48" i="2"/>
  <c r="M48" i="2"/>
  <c r="J48" i="2"/>
  <c r="AM47" i="2"/>
  <c r="AJ47" i="2"/>
  <c r="AG47" i="2"/>
  <c r="AC47" i="2"/>
  <c r="Y47" i="2"/>
  <c r="V47" i="2"/>
  <c r="S47" i="2"/>
  <c r="P47" i="2"/>
  <c r="M47" i="2"/>
  <c r="J47" i="2"/>
  <c r="AM46" i="2"/>
  <c r="AJ46" i="2"/>
  <c r="AG46" i="2"/>
  <c r="AC46" i="2"/>
  <c r="Y46" i="2"/>
  <c r="V46" i="2"/>
  <c r="S46" i="2"/>
  <c r="P46" i="2"/>
  <c r="M46" i="2"/>
  <c r="J46" i="2"/>
  <c r="AM45" i="2"/>
  <c r="AM52" i="2" s="1"/>
  <c r="AJ45" i="2"/>
  <c r="AJ52" i="2" s="1"/>
  <c r="AG45" i="2"/>
  <c r="AG52" i="2" s="1"/>
  <c r="AC45" i="2"/>
  <c r="AC52" i="2" s="1"/>
  <c r="Y45" i="2"/>
  <c r="Y52" i="2" s="1"/>
  <c r="V45" i="2"/>
  <c r="V52" i="2" s="1"/>
  <c r="S45" i="2"/>
  <c r="S52" i="2" s="1"/>
  <c r="P45" i="2"/>
  <c r="P52" i="2" s="1"/>
  <c r="M45" i="2"/>
  <c r="M52" i="2" s="1"/>
  <c r="J45" i="2"/>
  <c r="J52" i="2" s="1"/>
  <c r="D25" i="8"/>
  <c r="C25" i="8"/>
  <c r="C21" i="8"/>
  <c r="E965" i="9"/>
  <c r="Y971" i="9"/>
  <c r="V971" i="9"/>
  <c r="S971" i="9"/>
  <c r="P971" i="9"/>
  <c r="M971" i="9"/>
  <c r="J971" i="9"/>
  <c r="Y970" i="9"/>
  <c r="V970" i="9"/>
  <c r="S970" i="9"/>
  <c r="P970" i="9"/>
  <c r="M970" i="9"/>
  <c r="J970" i="9"/>
  <c r="Y969" i="9"/>
  <c r="V969" i="9"/>
  <c r="S969" i="9"/>
  <c r="P969" i="9"/>
  <c r="M969" i="9"/>
  <c r="J969" i="9"/>
  <c r="Y968" i="9"/>
  <c r="V968" i="9"/>
  <c r="S968" i="9"/>
  <c r="P968" i="9"/>
  <c r="M968" i="9"/>
  <c r="J968" i="9"/>
  <c r="Y967" i="9"/>
  <c r="V967" i="9"/>
  <c r="S967" i="9"/>
  <c r="P967" i="9"/>
  <c r="M967" i="9"/>
  <c r="J967" i="9"/>
  <c r="Y966" i="9"/>
  <c r="V966" i="9"/>
  <c r="S966" i="9"/>
  <c r="P966" i="9"/>
  <c r="M966" i="9"/>
  <c r="J966" i="9"/>
  <c r="Y965" i="9"/>
  <c r="V965" i="9"/>
  <c r="S965" i="9"/>
  <c r="P965" i="9"/>
  <c r="M965" i="9"/>
  <c r="J965" i="9"/>
  <c r="E957" i="9"/>
  <c r="Y963" i="9"/>
  <c r="V963" i="9"/>
  <c r="S963" i="9"/>
  <c r="P963" i="9"/>
  <c r="M963" i="9"/>
  <c r="J963" i="9"/>
  <c r="Y962" i="9"/>
  <c r="V962" i="9"/>
  <c r="S962" i="9"/>
  <c r="P962" i="9"/>
  <c r="M962" i="9"/>
  <c r="J962" i="9"/>
  <c r="Y961" i="9"/>
  <c r="V961" i="9"/>
  <c r="S961" i="9"/>
  <c r="P961" i="9"/>
  <c r="M961" i="9"/>
  <c r="J961" i="9"/>
  <c r="Y960" i="9"/>
  <c r="V960" i="9"/>
  <c r="S960" i="9"/>
  <c r="P960" i="9"/>
  <c r="M960" i="9"/>
  <c r="J960" i="9"/>
  <c r="Y959" i="9"/>
  <c r="V959" i="9"/>
  <c r="S959" i="9"/>
  <c r="P959" i="9"/>
  <c r="M959" i="9"/>
  <c r="J959" i="9"/>
  <c r="Y958" i="9"/>
  <c r="V958" i="9"/>
  <c r="S958" i="9"/>
  <c r="P958" i="9"/>
  <c r="M958" i="9"/>
  <c r="J958" i="9"/>
  <c r="Y957" i="9"/>
  <c r="V957" i="9"/>
  <c r="S957" i="9"/>
  <c r="P957" i="9"/>
  <c r="M957" i="9"/>
  <c r="J957" i="9"/>
  <c r="E949" i="9"/>
  <c r="E941" i="9"/>
  <c r="Y955" i="9"/>
  <c r="V955" i="9"/>
  <c r="S955" i="9"/>
  <c r="P955" i="9"/>
  <c r="M955" i="9"/>
  <c r="J955" i="9"/>
  <c r="Y954" i="9"/>
  <c r="V954" i="9"/>
  <c r="S954" i="9"/>
  <c r="P954" i="9"/>
  <c r="M954" i="9"/>
  <c r="J954" i="9"/>
  <c r="Y953" i="9"/>
  <c r="V953" i="9"/>
  <c r="S953" i="9"/>
  <c r="P953" i="9"/>
  <c r="M953" i="9"/>
  <c r="J953" i="9"/>
  <c r="Y952" i="9"/>
  <c r="V952" i="9"/>
  <c r="S952" i="9"/>
  <c r="P952" i="9"/>
  <c r="M952" i="9"/>
  <c r="J952" i="9"/>
  <c r="Y951" i="9"/>
  <c r="V951" i="9"/>
  <c r="S951" i="9"/>
  <c r="P951" i="9"/>
  <c r="M951" i="9"/>
  <c r="J951" i="9"/>
  <c r="Y950" i="9"/>
  <c r="V950" i="9"/>
  <c r="S950" i="9"/>
  <c r="P950" i="9"/>
  <c r="M950" i="9"/>
  <c r="J950" i="9"/>
  <c r="Y949" i="9"/>
  <c r="V949" i="9"/>
  <c r="S949" i="9"/>
  <c r="P949" i="9"/>
  <c r="M949" i="9"/>
  <c r="J949" i="9"/>
  <c r="Y947" i="9"/>
  <c r="V947" i="9"/>
  <c r="S947" i="9"/>
  <c r="P947" i="9"/>
  <c r="M947" i="9"/>
  <c r="J947" i="9"/>
  <c r="Y946" i="9"/>
  <c r="V946" i="9"/>
  <c r="S946" i="9"/>
  <c r="P946" i="9"/>
  <c r="M946" i="9"/>
  <c r="J946" i="9"/>
  <c r="Y945" i="9"/>
  <c r="V945" i="9"/>
  <c r="S945" i="9"/>
  <c r="P945" i="9"/>
  <c r="M945" i="9"/>
  <c r="J945" i="9"/>
  <c r="Y944" i="9"/>
  <c r="V944" i="9"/>
  <c r="S944" i="9"/>
  <c r="P944" i="9"/>
  <c r="M944" i="9"/>
  <c r="J944" i="9"/>
  <c r="Y943" i="9"/>
  <c r="V943" i="9"/>
  <c r="S943" i="9"/>
  <c r="P943" i="9"/>
  <c r="M943" i="9"/>
  <c r="J943" i="9"/>
  <c r="Y942" i="9"/>
  <c r="V942" i="9"/>
  <c r="S942" i="9"/>
  <c r="P942" i="9"/>
  <c r="M942" i="9"/>
  <c r="J942" i="9"/>
  <c r="Y941" i="9"/>
  <c r="V941" i="9"/>
  <c r="S941" i="9"/>
  <c r="P941" i="9"/>
  <c r="M941" i="9"/>
  <c r="J941" i="9"/>
  <c r="C48" i="13"/>
  <c r="U49" i="13"/>
  <c r="R49" i="13"/>
  <c r="Q49" i="13"/>
  <c r="P49" i="13"/>
  <c r="N49" i="13"/>
  <c r="M49" i="13"/>
  <c r="H49" i="13"/>
  <c r="U48" i="13"/>
  <c r="R48" i="13"/>
  <c r="Q48" i="13"/>
  <c r="P48" i="13"/>
  <c r="N48" i="13"/>
  <c r="M48" i="13"/>
  <c r="H48" i="13"/>
  <c r="D48" i="13"/>
  <c r="D117" i="9"/>
  <c r="E109" i="9"/>
  <c r="Y123" i="9"/>
  <c r="V123" i="9"/>
  <c r="S123" i="9"/>
  <c r="P123" i="9"/>
  <c r="M123" i="9"/>
  <c r="J123" i="9"/>
  <c r="Y122" i="9"/>
  <c r="V122" i="9"/>
  <c r="S122" i="9"/>
  <c r="P122" i="9"/>
  <c r="M122" i="9"/>
  <c r="J122" i="9"/>
  <c r="Y121" i="9"/>
  <c r="V121" i="9"/>
  <c r="S121" i="9"/>
  <c r="P121" i="9"/>
  <c r="M121" i="9"/>
  <c r="J121" i="9"/>
  <c r="Y120" i="9"/>
  <c r="V120" i="9"/>
  <c r="S120" i="9"/>
  <c r="P120" i="9"/>
  <c r="M120" i="9"/>
  <c r="J120" i="9"/>
  <c r="Y119" i="9"/>
  <c r="V119" i="9"/>
  <c r="S119" i="9"/>
  <c r="P119" i="9"/>
  <c r="M119" i="9"/>
  <c r="J119" i="9"/>
  <c r="Y118" i="9"/>
  <c r="V118" i="9"/>
  <c r="S118" i="9"/>
  <c r="P118" i="9"/>
  <c r="M118" i="9"/>
  <c r="J118" i="9"/>
  <c r="Y117" i="9"/>
  <c r="V117" i="9"/>
  <c r="S117" i="9"/>
  <c r="P117" i="9"/>
  <c r="M117" i="9"/>
  <c r="J117" i="9"/>
  <c r="E117" i="9"/>
  <c r="Y115" i="9"/>
  <c r="V115" i="9"/>
  <c r="S115" i="9"/>
  <c r="P115" i="9"/>
  <c r="M115" i="9"/>
  <c r="J115" i="9"/>
  <c r="Y114" i="9"/>
  <c r="V114" i="9"/>
  <c r="S114" i="9"/>
  <c r="P114" i="9"/>
  <c r="M114" i="9"/>
  <c r="J114" i="9"/>
  <c r="Y113" i="9"/>
  <c r="V113" i="9"/>
  <c r="S113" i="9"/>
  <c r="P113" i="9"/>
  <c r="M113" i="9"/>
  <c r="J113" i="9"/>
  <c r="Y112" i="9"/>
  <c r="V112" i="9"/>
  <c r="S112" i="9"/>
  <c r="P112" i="9"/>
  <c r="M112" i="9"/>
  <c r="J112" i="9"/>
  <c r="Y111" i="9"/>
  <c r="V111" i="9"/>
  <c r="S111" i="9"/>
  <c r="P111" i="9"/>
  <c r="M111" i="9"/>
  <c r="J111" i="9"/>
  <c r="Y110" i="9"/>
  <c r="V110" i="9"/>
  <c r="S110" i="9"/>
  <c r="P110" i="9"/>
  <c r="M110" i="9"/>
  <c r="J110" i="9"/>
  <c r="Y109" i="9"/>
  <c r="V109" i="9"/>
  <c r="S109" i="9"/>
  <c r="P109" i="9"/>
  <c r="M109" i="9"/>
  <c r="J109" i="9"/>
  <c r="C34" i="10"/>
  <c r="C32" i="10"/>
  <c r="C109" i="9" s="1"/>
  <c r="E93" i="9"/>
  <c r="Y99" i="9"/>
  <c r="V99" i="9"/>
  <c r="S99" i="9"/>
  <c r="P99" i="9"/>
  <c r="M99" i="9"/>
  <c r="J99" i="9"/>
  <c r="Y98" i="9"/>
  <c r="V98" i="9"/>
  <c r="S98" i="9"/>
  <c r="P98" i="9"/>
  <c r="M98" i="9"/>
  <c r="J98" i="9"/>
  <c r="Y97" i="9"/>
  <c r="V97" i="9"/>
  <c r="S97" i="9"/>
  <c r="P97" i="9"/>
  <c r="M97" i="9"/>
  <c r="J97" i="9"/>
  <c r="Y96" i="9"/>
  <c r="V96" i="9"/>
  <c r="S96" i="9"/>
  <c r="P96" i="9"/>
  <c r="M96" i="9"/>
  <c r="J96" i="9"/>
  <c r="Y95" i="9"/>
  <c r="V95" i="9"/>
  <c r="S95" i="9"/>
  <c r="P95" i="9"/>
  <c r="M95" i="9"/>
  <c r="J95" i="9"/>
  <c r="Y94" i="9"/>
  <c r="V94" i="9"/>
  <c r="S94" i="9"/>
  <c r="P94" i="9"/>
  <c r="M94" i="9"/>
  <c r="J94" i="9"/>
  <c r="Y93" i="9"/>
  <c r="V93" i="9"/>
  <c r="S93" i="9"/>
  <c r="P93" i="9"/>
  <c r="M93" i="9"/>
  <c r="J93" i="9"/>
  <c r="F237" i="9" l="1"/>
  <c r="G237" i="9" s="1"/>
  <c r="F229" i="9"/>
  <c r="G229" i="9" s="1"/>
  <c r="C245" i="9"/>
  <c r="D49" i="10"/>
  <c r="F48" i="10"/>
  <c r="G48" i="10" s="1"/>
  <c r="D142" i="10"/>
  <c r="C989" i="9"/>
  <c r="F165" i="2"/>
  <c r="G165" i="2" s="1"/>
  <c r="F157" i="2"/>
  <c r="G157" i="2" s="1"/>
  <c r="M156" i="2"/>
  <c r="F149" i="2" s="1"/>
  <c r="G149" i="2" s="1"/>
  <c r="AG156" i="2"/>
  <c r="F39" i="8"/>
  <c r="G39" i="8" s="1"/>
  <c r="C38" i="8"/>
  <c r="D38" i="8" s="1"/>
  <c r="F38" i="8" s="1"/>
  <c r="G38" i="8" s="1"/>
  <c r="F37" i="8"/>
  <c r="G37" i="8" s="1"/>
  <c r="M996" i="9"/>
  <c r="I142" i="10" s="1"/>
  <c r="S996" i="9"/>
  <c r="K142" i="10" s="1"/>
  <c r="V996" i="9"/>
  <c r="L142" i="10" s="1"/>
  <c r="Y996" i="9"/>
  <c r="M142" i="10" s="1"/>
  <c r="P996" i="9"/>
  <c r="J142" i="10" s="1"/>
  <c r="J996" i="9"/>
  <c r="H142" i="10" s="1"/>
  <c r="Y948" i="9"/>
  <c r="M136" i="10" s="1"/>
  <c r="F45" i="2"/>
  <c r="G45" i="2" s="1"/>
  <c r="M972" i="9"/>
  <c r="I139" i="10" s="1"/>
  <c r="J964" i="9"/>
  <c r="H138" i="10" s="1"/>
  <c r="P972" i="9"/>
  <c r="J139" i="10" s="1"/>
  <c r="J956" i="9"/>
  <c r="H137" i="10" s="1"/>
  <c r="P964" i="9"/>
  <c r="J138" i="10" s="1"/>
  <c r="V972" i="9"/>
  <c r="L139" i="10" s="1"/>
  <c r="M964" i="9"/>
  <c r="I138" i="10" s="1"/>
  <c r="S956" i="9"/>
  <c r="K137" i="10" s="1"/>
  <c r="S964" i="9"/>
  <c r="K138" i="10" s="1"/>
  <c r="Y972" i="9"/>
  <c r="M139" i="10" s="1"/>
  <c r="P956" i="9"/>
  <c r="J137" i="10" s="1"/>
  <c r="V956" i="9"/>
  <c r="L137" i="10" s="1"/>
  <c r="V964" i="9"/>
  <c r="L138" i="10" s="1"/>
  <c r="J972" i="9"/>
  <c r="H139" i="10" s="1"/>
  <c r="S972" i="9"/>
  <c r="K139" i="10" s="1"/>
  <c r="Y956" i="9"/>
  <c r="M137" i="10" s="1"/>
  <c r="Y964" i="9"/>
  <c r="M138" i="10" s="1"/>
  <c r="M956" i="9"/>
  <c r="I137" i="10" s="1"/>
  <c r="J948" i="9"/>
  <c r="H136" i="10" s="1"/>
  <c r="M948" i="9"/>
  <c r="I136" i="10" s="1"/>
  <c r="P948" i="9"/>
  <c r="J136" i="10" s="1"/>
  <c r="S948" i="9"/>
  <c r="K136" i="10" s="1"/>
  <c r="V948" i="9"/>
  <c r="L136" i="10" s="1"/>
  <c r="C49" i="13"/>
  <c r="D49" i="13" s="1"/>
  <c r="D32" i="10"/>
  <c r="J100" i="9"/>
  <c r="H30" i="10" s="1"/>
  <c r="M100" i="9"/>
  <c r="I30" i="10" s="1"/>
  <c r="Y100" i="9"/>
  <c r="M30" i="10" s="1"/>
  <c r="J124" i="9"/>
  <c r="H33" i="10" s="1"/>
  <c r="P100" i="9"/>
  <c r="J30" i="10" s="1"/>
  <c r="M124" i="9"/>
  <c r="I33" i="10" s="1"/>
  <c r="S100" i="9"/>
  <c r="K30" i="10" s="1"/>
  <c r="V124" i="9"/>
  <c r="L33" i="10" s="1"/>
  <c r="P124" i="9"/>
  <c r="J33" i="10" s="1"/>
  <c r="M116" i="9"/>
  <c r="I32" i="10" s="1"/>
  <c r="V116" i="9"/>
  <c r="L32" i="10" s="1"/>
  <c r="S124" i="9"/>
  <c r="K33" i="10" s="1"/>
  <c r="S116" i="9"/>
  <c r="K32" i="10" s="1"/>
  <c r="Y116" i="9"/>
  <c r="M32" i="10" s="1"/>
  <c r="V100" i="9"/>
  <c r="L30" i="10" s="1"/>
  <c r="J116" i="9"/>
  <c r="H32" i="10" s="1"/>
  <c r="Y124" i="9"/>
  <c r="M33" i="10" s="1"/>
  <c r="P116" i="9"/>
  <c r="J32" i="10" s="1"/>
  <c r="J26" i="15"/>
  <c r="J25" i="15"/>
  <c r="J24" i="15"/>
  <c r="J23" i="15"/>
  <c r="J22" i="15"/>
  <c r="J21" i="15"/>
  <c r="J19" i="15"/>
  <c r="J18" i="15"/>
  <c r="J17" i="15"/>
  <c r="J16" i="15"/>
  <c r="J15" i="15"/>
  <c r="J14" i="15"/>
  <c r="J13" i="15"/>
  <c r="J11" i="15"/>
  <c r="J10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 s="1"/>
  <c r="E19" i="15"/>
  <c r="D19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 s="1"/>
  <c r="E11" i="15"/>
  <c r="D11" i="15"/>
  <c r="E10" i="15"/>
  <c r="D10" i="15"/>
  <c r="D9" i="15"/>
  <c r="AM147" i="2"/>
  <c r="AJ147" i="2"/>
  <c r="AG147" i="2"/>
  <c r="AC147" i="2"/>
  <c r="Y147" i="2"/>
  <c r="V147" i="2"/>
  <c r="S147" i="2"/>
  <c r="P147" i="2"/>
  <c r="M147" i="2"/>
  <c r="J147" i="2"/>
  <c r="AM146" i="2"/>
  <c r="AJ146" i="2"/>
  <c r="AG146" i="2"/>
  <c r="AC146" i="2"/>
  <c r="Y146" i="2"/>
  <c r="V146" i="2"/>
  <c r="S146" i="2"/>
  <c r="P146" i="2"/>
  <c r="M146" i="2"/>
  <c r="J146" i="2"/>
  <c r="AM145" i="2"/>
  <c r="AJ145" i="2"/>
  <c r="AG145" i="2"/>
  <c r="AC145" i="2"/>
  <c r="Y145" i="2"/>
  <c r="V145" i="2"/>
  <c r="S145" i="2"/>
  <c r="P145" i="2"/>
  <c r="M145" i="2"/>
  <c r="J145" i="2"/>
  <c r="AM144" i="2"/>
  <c r="AJ144" i="2"/>
  <c r="AG144" i="2"/>
  <c r="AC144" i="2"/>
  <c r="Y144" i="2"/>
  <c r="V144" i="2"/>
  <c r="S144" i="2"/>
  <c r="P144" i="2"/>
  <c r="M144" i="2"/>
  <c r="J144" i="2"/>
  <c r="AM143" i="2"/>
  <c r="AJ143" i="2"/>
  <c r="AG143" i="2"/>
  <c r="AC143" i="2"/>
  <c r="Y143" i="2"/>
  <c r="V143" i="2"/>
  <c r="S143" i="2"/>
  <c r="P143" i="2"/>
  <c r="M143" i="2"/>
  <c r="J143" i="2"/>
  <c r="AM142" i="2"/>
  <c r="AM148" i="2" s="1"/>
  <c r="AJ142" i="2"/>
  <c r="AJ148" i="2" s="1"/>
  <c r="AG142" i="2"/>
  <c r="AG148" i="2" s="1"/>
  <c r="AC142" i="2"/>
  <c r="Y142" i="2"/>
  <c r="Y148" i="2" s="1"/>
  <c r="V142" i="2"/>
  <c r="V148" i="2" s="1"/>
  <c r="S142" i="2"/>
  <c r="S148" i="2" s="1"/>
  <c r="P142" i="2"/>
  <c r="M142" i="2"/>
  <c r="J142" i="2"/>
  <c r="J148" i="2" s="1"/>
  <c r="D92" i="13"/>
  <c r="D77" i="13"/>
  <c r="D47" i="13"/>
  <c r="D140" i="10"/>
  <c r="D67" i="10"/>
  <c r="D55" i="10"/>
  <c r="F142" i="10" l="1"/>
  <c r="G142" i="10" s="1"/>
  <c r="D245" i="9"/>
  <c r="F245" i="9" s="1"/>
  <c r="G245" i="9" s="1"/>
  <c r="C50" i="10"/>
  <c r="F49" i="10"/>
  <c r="G49" i="10" s="1"/>
  <c r="D989" i="9"/>
  <c r="C143" i="10"/>
  <c r="C50" i="13"/>
  <c r="D173" i="2"/>
  <c r="F173" i="2" s="1"/>
  <c r="G173" i="2" s="1"/>
  <c r="F40" i="8"/>
  <c r="G40" i="8" s="1"/>
  <c r="F32" i="10"/>
  <c r="G32" i="10" s="1"/>
  <c r="D109" i="9"/>
  <c r="F109" i="9" s="1"/>
  <c r="G109" i="9" s="1"/>
  <c r="C33" i="10"/>
  <c r="C117" i="9" s="1"/>
  <c r="F33" i="10"/>
  <c r="G33" i="10" s="1"/>
  <c r="F117" i="9"/>
  <c r="G117" i="9" s="1"/>
  <c r="C9" i="15" l="1"/>
  <c r="F15" i="12"/>
  <c r="F12" i="12"/>
  <c r="F9" i="12"/>
  <c r="F15" i="13"/>
  <c r="F12" i="13"/>
  <c r="F9" i="13"/>
  <c r="F15" i="9"/>
  <c r="F12" i="9"/>
  <c r="F9" i="9"/>
  <c r="F15" i="10"/>
  <c r="F12" i="10"/>
  <c r="F9" i="10"/>
  <c r="F15" i="2"/>
  <c r="F12" i="2"/>
  <c r="F9" i="2"/>
  <c r="F15" i="8"/>
  <c r="F12" i="8"/>
  <c r="F9" i="8"/>
  <c r="H28" i="15"/>
  <c r="C68" i="10"/>
  <c r="C82" i="13"/>
  <c r="C78" i="13"/>
  <c r="I14" i="15"/>
  <c r="H30" i="15"/>
  <c r="I9" i="15"/>
  <c r="Q4" i="15"/>
  <c r="L4" i="15"/>
  <c r="G4" i="15"/>
  <c r="Q3" i="15"/>
  <c r="L3" i="15"/>
  <c r="G3" i="15"/>
  <c r="E829" i="12"/>
  <c r="E821" i="12"/>
  <c r="E813" i="12"/>
  <c r="E805" i="12"/>
  <c r="E797" i="12"/>
  <c r="E789" i="12"/>
  <c r="E781" i="12"/>
  <c r="E773" i="12"/>
  <c r="E765" i="12"/>
  <c r="E757" i="12"/>
  <c r="E749" i="12"/>
  <c r="E741" i="12"/>
  <c r="E733" i="12"/>
  <c r="E725" i="12"/>
  <c r="E717" i="12"/>
  <c r="E709" i="12"/>
  <c r="E701" i="12"/>
  <c r="E693" i="12"/>
  <c r="E685" i="12"/>
  <c r="E677" i="12"/>
  <c r="E669" i="12"/>
  <c r="E661" i="12"/>
  <c r="E653" i="12"/>
  <c r="E645" i="12"/>
  <c r="E637" i="12"/>
  <c r="E629" i="12"/>
  <c r="E621" i="12"/>
  <c r="E613" i="12"/>
  <c r="E605" i="12"/>
  <c r="E597" i="12"/>
  <c r="E589" i="12"/>
  <c r="E581" i="12"/>
  <c r="E573" i="12"/>
  <c r="E565" i="12"/>
  <c r="E557" i="12"/>
  <c r="E549" i="12"/>
  <c r="E541" i="12"/>
  <c r="E533" i="12"/>
  <c r="E525" i="12"/>
  <c r="E517" i="12"/>
  <c r="E509" i="12"/>
  <c r="E501" i="12"/>
  <c r="E493" i="12"/>
  <c r="E485" i="12"/>
  <c r="E477" i="12"/>
  <c r="E469" i="12"/>
  <c r="E461" i="12"/>
  <c r="E453" i="12"/>
  <c r="E445" i="12"/>
  <c r="E437" i="12"/>
  <c r="E429" i="12"/>
  <c r="E421" i="12"/>
  <c r="E413" i="12"/>
  <c r="E405" i="12"/>
  <c r="E397" i="12"/>
  <c r="E389" i="12"/>
  <c r="E381" i="12"/>
  <c r="E373" i="12"/>
  <c r="E365" i="12"/>
  <c r="E357" i="12"/>
  <c r="E349" i="12"/>
  <c r="E341" i="12"/>
  <c r="E333" i="12"/>
  <c r="E325" i="12"/>
  <c r="E317" i="12"/>
  <c r="E309" i="12"/>
  <c r="E301" i="12"/>
  <c r="E293" i="12"/>
  <c r="E285" i="12"/>
  <c r="E277" i="12"/>
  <c r="E269" i="12"/>
  <c r="E261" i="12"/>
  <c r="E253" i="12"/>
  <c r="E245" i="12"/>
  <c r="E237" i="12"/>
  <c r="E229" i="12"/>
  <c r="E221" i="12"/>
  <c r="E213" i="12"/>
  <c r="E205" i="12"/>
  <c r="E197" i="12"/>
  <c r="E189" i="12"/>
  <c r="E181" i="12"/>
  <c r="E173" i="12"/>
  <c r="E165" i="12"/>
  <c r="E157" i="12"/>
  <c r="E149" i="12"/>
  <c r="E141" i="12"/>
  <c r="E133" i="12"/>
  <c r="E125" i="12"/>
  <c r="E117" i="12"/>
  <c r="E109" i="12"/>
  <c r="E101" i="12"/>
  <c r="E93" i="12"/>
  <c r="E85" i="12"/>
  <c r="E77" i="12"/>
  <c r="E69" i="12"/>
  <c r="E61" i="12"/>
  <c r="E53" i="12"/>
  <c r="E45" i="12"/>
  <c r="U124" i="13"/>
  <c r="R124" i="13"/>
  <c r="Q124" i="13"/>
  <c r="P124" i="13"/>
  <c r="N124" i="13"/>
  <c r="M124" i="13"/>
  <c r="H124" i="13"/>
  <c r="U123" i="13"/>
  <c r="R123" i="13"/>
  <c r="Q123" i="13"/>
  <c r="P123" i="13"/>
  <c r="N123" i="13"/>
  <c r="M123" i="13"/>
  <c r="H123" i="13"/>
  <c r="U122" i="13"/>
  <c r="R122" i="13"/>
  <c r="Q122" i="13"/>
  <c r="P122" i="13"/>
  <c r="N122" i="13"/>
  <c r="M122" i="13"/>
  <c r="H122" i="13"/>
  <c r="U121" i="13"/>
  <c r="R121" i="13"/>
  <c r="Q121" i="13"/>
  <c r="P121" i="13"/>
  <c r="N121" i="13"/>
  <c r="M121" i="13"/>
  <c r="H121" i="13"/>
  <c r="U120" i="13"/>
  <c r="R120" i="13"/>
  <c r="Q120" i="13"/>
  <c r="P120" i="13"/>
  <c r="N120" i="13"/>
  <c r="M120" i="13"/>
  <c r="H120" i="13"/>
  <c r="U119" i="13"/>
  <c r="R119" i="13"/>
  <c r="Q119" i="13"/>
  <c r="P119" i="13"/>
  <c r="N119" i="13"/>
  <c r="M119" i="13"/>
  <c r="H119" i="13"/>
  <c r="U118" i="13"/>
  <c r="R118" i="13"/>
  <c r="Q118" i="13"/>
  <c r="P118" i="13"/>
  <c r="N118" i="13"/>
  <c r="M118" i="13"/>
  <c r="H118" i="13"/>
  <c r="U117" i="13"/>
  <c r="R117" i="13"/>
  <c r="Q117" i="13"/>
  <c r="P117" i="13"/>
  <c r="N117" i="13"/>
  <c r="M117" i="13"/>
  <c r="H117" i="13"/>
  <c r="U116" i="13"/>
  <c r="R116" i="13"/>
  <c r="Q116" i="13"/>
  <c r="P116" i="13"/>
  <c r="N116" i="13"/>
  <c r="M116" i="13"/>
  <c r="H116" i="13"/>
  <c r="U115" i="13"/>
  <c r="R115" i="13"/>
  <c r="Q115" i="13"/>
  <c r="P115" i="13"/>
  <c r="N115" i="13"/>
  <c r="M115" i="13"/>
  <c r="H115" i="13"/>
  <c r="U114" i="13"/>
  <c r="R114" i="13"/>
  <c r="Q114" i="13"/>
  <c r="P114" i="13"/>
  <c r="N114" i="13"/>
  <c r="M114" i="13"/>
  <c r="H114" i="13"/>
  <c r="U113" i="13"/>
  <c r="R113" i="13"/>
  <c r="Q113" i="13"/>
  <c r="P113" i="13"/>
  <c r="N113" i="13"/>
  <c r="M113" i="13"/>
  <c r="H113" i="13"/>
  <c r="U112" i="13"/>
  <c r="R112" i="13"/>
  <c r="Q112" i="13"/>
  <c r="P112" i="13"/>
  <c r="N112" i="13"/>
  <c r="M112" i="13"/>
  <c r="H112" i="13"/>
  <c r="U111" i="13"/>
  <c r="R111" i="13"/>
  <c r="Q111" i="13"/>
  <c r="P111" i="13"/>
  <c r="N111" i="13"/>
  <c r="M111" i="13"/>
  <c r="H111" i="13"/>
  <c r="U110" i="13"/>
  <c r="R110" i="13"/>
  <c r="Q110" i="13"/>
  <c r="P110" i="13"/>
  <c r="N110" i="13"/>
  <c r="M110" i="13"/>
  <c r="H110" i="13"/>
  <c r="U109" i="13"/>
  <c r="R109" i="13"/>
  <c r="Q109" i="13"/>
  <c r="P109" i="13"/>
  <c r="N109" i="13"/>
  <c r="M109" i="13"/>
  <c r="H109" i="13"/>
  <c r="U108" i="13"/>
  <c r="R108" i="13"/>
  <c r="Q108" i="13"/>
  <c r="P108" i="13"/>
  <c r="N108" i="13"/>
  <c r="M108" i="13"/>
  <c r="H108" i="13"/>
  <c r="U107" i="13"/>
  <c r="R107" i="13"/>
  <c r="Q107" i="13"/>
  <c r="P107" i="13"/>
  <c r="N107" i="13"/>
  <c r="M107" i="13"/>
  <c r="H107" i="13"/>
  <c r="U106" i="13"/>
  <c r="R106" i="13"/>
  <c r="Q106" i="13"/>
  <c r="P106" i="13"/>
  <c r="N106" i="13"/>
  <c r="M106" i="13"/>
  <c r="H106" i="13"/>
  <c r="U105" i="13"/>
  <c r="R105" i="13"/>
  <c r="Q105" i="13"/>
  <c r="P105" i="13"/>
  <c r="N105" i="13"/>
  <c r="M105" i="13"/>
  <c r="H105" i="13"/>
  <c r="U104" i="13"/>
  <c r="R104" i="13"/>
  <c r="Q104" i="13"/>
  <c r="P104" i="13"/>
  <c r="N104" i="13"/>
  <c r="M104" i="13"/>
  <c r="H104" i="13"/>
  <c r="U103" i="13"/>
  <c r="R103" i="13"/>
  <c r="Q103" i="13"/>
  <c r="P103" i="13"/>
  <c r="N103" i="13"/>
  <c r="M103" i="13"/>
  <c r="H103" i="13"/>
  <c r="U102" i="13"/>
  <c r="R102" i="13"/>
  <c r="Q102" i="13"/>
  <c r="P102" i="13"/>
  <c r="N102" i="13"/>
  <c r="M102" i="13"/>
  <c r="H102" i="13"/>
  <c r="U101" i="13"/>
  <c r="R101" i="13"/>
  <c r="Q101" i="13"/>
  <c r="P101" i="13"/>
  <c r="N101" i="13"/>
  <c r="M101" i="13"/>
  <c r="H101" i="13"/>
  <c r="U100" i="13"/>
  <c r="R100" i="13"/>
  <c r="Q100" i="13"/>
  <c r="P100" i="13"/>
  <c r="N100" i="13"/>
  <c r="M100" i="13"/>
  <c r="H100" i="13"/>
  <c r="U99" i="13"/>
  <c r="R99" i="13"/>
  <c r="Q99" i="13"/>
  <c r="P99" i="13"/>
  <c r="N99" i="13"/>
  <c r="M99" i="13"/>
  <c r="H99" i="13"/>
  <c r="U98" i="13"/>
  <c r="R98" i="13"/>
  <c r="Q98" i="13"/>
  <c r="P98" i="13"/>
  <c r="N98" i="13"/>
  <c r="M98" i="13"/>
  <c r="H98" i="13"/>
  <c r="U97" i="13"/>
  <c r="R97" i="13"/>
  <c r="Q97" i="13"/>
  <c r="P97" i="13"/>
  <c r="N97" i="13"/>
  <c r="M97" i="13"/>
  <c r="H97" i="13"/>
  <c r="U96" i="13"/>
  <c r="R96" i="13"/>
  <c r="Q96" i="13"/>
  <c r="P96" i="13"/>
  <c r="N96" i="13"/>
  <c r="M96" i="13"/>
  <c r="H96" i="13"/>
  <c r="U95" i="13"/>
  <c r="R95" i="13"/>
  <c r="Q95" i="13"/>
  <c r="P95" i="13"/>
  <c r="N95" i="13"/>
  <c r="M95" i="13"/>
  <c r="H95" i="13"/>
  <c r="U94" i="13"/>
  <c r="R94" i="13"/>
  <c r="Q94" i="13"/>
  <c r="P94" i="13"/>
  <c r="N94" i="13"/>
  <c r="M94" i="13"/>
  <c r="H94" i="13"/>
  <c r="U93" i="13"/>
  <c r="R93" i="13"/>
  <c r="Q93" i="13"/>
  <c r="P93" i="13"/>
  <c r="N93" i="13"/>
  <c r="M93" i="13"/>
  <c r="H93" i="13"/>
  <c r="U92" i="13"/>
  <c r="R92" i="13"/>
  <c r="Q92" i="13"/>
  <c r="P92" i="13"/>
  <c r="N92" i="13"/>
  <c r="M92" i="13"/>
  <c r="H92" i="13"/>
  <c r="U91" i="13"/>
  <c r="R91" i="13"/>
  <c r="Q91" i="13"/>
  <c r="P91" i="13"/>
  <c r="N91" i="13"/>
  <c r="M91" i="13"/>
  <c r="H91" i="13"/>
  <c r="U90" i="13"/>
  <c r="R90" i="13"/>
  <c r="Q90" i="13"/>
  <c r="P90" i="13"/>
  <c r="N90" i="13"/>
  <c r="M90" i="13"/>
  <c r="H90" i="13"/>
  <c r="U89" i="13"/>
  <c r="R89" i="13"/>
  <c r="Q89" i="13"/>
  <c r="P89" i="13"/>
  <c r="N89" i="13"/>
  <c r="M89" i="13"/>
  <c r="H89" i="13"/>
  <c r="U88" i="13"/>
  <c r="R88" i="13"/>
  <c r="Q88" i="13"/>
  <c r="P88" i="13"/>
  <c r="N88" i="13"/>
  <c r="M88" i="13"/>
  <c r="H88" i="13"/>
  <c r="U87" i="13"/>
  <c r="R87" i="13"/>
  <c r="Q87" i="13"/>
  <c r="P87" i="13"/>
  <c r="N87" i="13"/>
  <c r="M87" i="13"/>
  <c r="H87" i="13"/>
  <c r="U86" i="13"/>
  <c r="R86" i="13"/>
  <c r="Q86" i="13"/>
  <c r="P86" i="13"/>
  <c r="N86" i="13"/>
  <c r="M86" i="13"/>
  <c r="H86" i="13"/>
  <c r="U85" i="13"/>
  <c r="R85" i="13"/>
  <c r="Q85" i="13"/>
  <c r="P85" i="13"/>
  <c r="N85" i="13"/>
  <c r="M85" i="13"/>
  <c r="H85" i="13"/>
  <c r="U84" i="13"/>
  <c r="R84" i="13"/>
  <c r="Q84" i="13"/>
  <c r="P84" i="13"/>
  <c r="N84" i="13"/>
  <c r="M84" i="13"/>
  <c r="H84" i="13"/>
  <c r="U83" i="13"/>
  <c r="R83" i="13"/>
  <c r="Q83" i="13"/>
  <c r="P83" i="13"/>
  <c r="N83" i="13"/>
  <c r="M83" i="13"/>
  <c r="H83" i="13"/>
  <c r="U82" i="13"/>
  <c r="R82" i="13"/>
  <c r="Q82" i="13"/>
  <c r="P82" i="13"/>
  <c r="N82" i="13"/>
  <c r="M82" i="13"/>
  <c r="H82" i="13"/>
  <c r="U81" i="13"/>
  <c r="R81" i="13"/>
  <c r="Q81" i="13"/>
  <c r="P81" i="13"/>
  <c r="N81" i="13"/>
  <c r="M81" i="13"/>
  <c r="H81" i="13"/>
  <c r="U80" i="13"/>
  <c r="R80" i="13"/>
  <c r="Q80" i="13"/>
  <c r="P80" i="13"/>
  <c r="N80" i="13"/>
  <c r="M80" i="13"/>
  <c r="H80" i="13"/>
  <c r="U79" i="13"/>
  <c r="R79" i="13"/>
  <c r="Q79" i="13"/>
  <c r="P79" i="13"/>
  <c r="N79" i="13"/>
  <c r="M79" i="13"/>
  <c r="H79" i="13"/>
  <c r="U78" i="13"/>
  <c r="R78" i="13"/>
  <c r="Q78" i="13"/>
  <c r="P78" i="13"/>
  <c r="N78" i="13"/>
  <c r="M78" i="13"/>
  <c r="H78" i="13"/>
  <c r="U77" i="13"/>
  <c r="R77" i="13"/>
  <c r="Q77" i="13"/>
  <c r="P77" i="13"/>
  <c r="N77" i="13"/>
  <c r="M77" i="13"/>
  <c r="H77" i="13"/>
  <c r="U76" i="13"/>
  <c r="R76" i="13"/>
  <c r="Q76" i="13"/>
  <c r="P76" i="13"/>
  <c r="N76" i="13"/>
  <c r="M76" i="13"/>
  <c r="H76" i="13"/>
  <c r="U75" i="13"/>
  <c r="R75" i="13"/>
  <c r="Q75" i="13"/>
  <c r="P75" i="13"/>
  <c r="N75" i="13"/>
  <c r="M75" i="13"/>
  <c r="H75" i="13"/>
  <c r="U74" i="13"/>
  <c r="R74" i="13"/>
  <c r="Q74" i="13"/>
  <c r="P74" i="13"/>
  <c r="N74" i="13"/>
  <c r="M74" i="13"/>
  <c r="H74" i="13"/>
  <c r="U73" i="13"/>
  <c r="R73" i="13"/>
  <c r="Q73" i="13"/>
  <c r="P73" i="13"/>
  <c r="N73" i="13"/>
  <c r="M73" i="13"/>
  <c r="H73" i="13"/>
  <c r="U72" i="13"/>
  <c r="R72" i="13"/>
  <c r="Q72" i="13"/>
  <c r="P72" i="13"/>
  <c r="N72" i="13"/>
  <c r="M72" i="13"/>
  <c r="H72" i="13"/>
  <c r="U71" i="13"/>
  <c r="R71" i="13"/>
  <c r="Q71" i="13"/>
  <c r="P71" i="13"/>
  <c r="N71" i="13"/>
  <c r="M71" i="13"/>
  <c r="H71" i="13"/>
  <c r="U70" i="13"/>
  <c r="R70" i="13"/>
  <c r="Q70" i="13"/>
  <c r="P70" i="13"/>
  <c r="N70" i="13"/>
  <c r="M70" i="13"/>
  <c r="H70" i="13"/>
  <c r="U69" i="13"/>
  <c r="R69" i="13"/>
  <c r="Q69" i="13"/>
  <c r="P69" i="13"/>
  <c r="N69" i="13"/>
  <c r="M69" i="13"/>
  <c r="H69" i="13"/>
  <c r="U68" i="13"/>
  <c r="R68" i="13"/>
  <c r="Q68" i="13"/>
  <c r="P68" i="13"/>
  <c r="N68" i="13"/>
  <c r="M68" i="13"/>
  <c r="H68" i="13"/>
  <c r="U67" i="13"/>
  <c r="R67" i="13"/>
  <c r="Q67" i="13"/>
  <c r="P67" i="13"/>
  <c r="N67" i="13"/>
  <c r="M67" i="13"/>
  <c r="H67" i="13"/>
  <c r="U66" i="13"/>
  <c r="R66" i="13"/>
  <c r="Q66" i="13"/>
  <c r="P66" i="13"/>
  <c r="N66" i="13"/>
  <c r="M66" i="13"/>
  <c r="H66" i="13"/>
  <c r="U65" i="13"/>
  <c r="R65" i="13"/>
  <c r="Q65" i="13"/>
  <c r="P65" i="13"/>
  <c r="N65" i="13"/>
  <c r="M65" i="13"/>
  <c r="H65" i="13"/>
  <c r="U64" i="13"/>
  <c r="R64" i="13"/>
  <c r="Q64" i="13"/>
  <c r="P64" i="13"/>
  <c r="N64" i="13"/>
  <c r="M64" i="13"/>
  <c r="H64" i="13"/>
  <c r="U63" i="13"/>
  <c r="R63" i="13"/>
  <c r="Q63" i="13"/>
  <c r="P63" i="13"/>
  <c r="N63" i="13"/>
  <c r="M63" i="13"/>
  <c r="H63" i="13"/>
  <c r="U62" i="13"/>
  <c r="R62" i="13"/>
  <c r="Q62" i="13"/>
  <c r="P62" i="13"/>
  <c r="N62" i="13"/>
  <c r="M62" i="13"/>
  <c r="H62" i="13"/>
  <c r="U61" i="13"/>
  <c r="R61" i="13"/>
  <c r="Q61" i="13"/>
  <c r="P61" i="13"/>
  <c r="N61" i="13"/>
  <c r="M61" i="13"/>
  <c r="H61" i="13"/>
  <c r="U60" i="13"/>
  <c r="R60" i="13"/>
  <c r="Q60" i="13"/>
  <c r="P60" i="13"/>
  <c r="N60" i="13"/>
  <c r="M60" i="13"/>
  <c r="H60" i="13"/>
  <c r="U59" i="13"/>
  <c r="R59" i="13"/>
  <c r="Q59" i="13"/>
  <c r="P59" i="13"/>
  <c r="N59" i="13"/>
  <c r="M59" i="13"/>
  <c r="H59" i="13"/>
  <c r="U58" i="13"/>
  <c r="R58" i="13"/>
  <c r="Q58" i="13"/>
  <c r="P58" i="13"/>
  <c r="N58" i="13"/>
  <c r="M58" i="13"/>
  <c r="H58" i="13"/>
  <c r="U57" i="13"/>
  <c r="R57" i="13"/>
  <c r="Q57" i="13"/>
  <c r="P57" i="13"/>
  <c r="N57" i="13"/>
  <c r="M57" i="13"/>
  <c r="H57" i="13"/>
  <c r="U56" i="13"/>
  <c r="R56" i="13"/>
  <c r="Q56" i="13"/>
  <c r="P56" i="13"/>
  <c r="N56" i="13"/>
  <c r="M56" i="13"/>
  <c r="H56" i="13"/>
  <c r="U55" i="13"/>
  <c r="R55" i="13"/>
  <c r="Q55" i="13"/>
  <c r="P55" i="13"/>
  <c r="N55" i="13"/>
  <c r="M55" i="13"/>
  <c r="H55" i="13"/>
  <c r="U54" i="13"/>
  <c r="R54" i="13"/>
  <c r="Q54" i="13"/>
  <c r="P54" i="13"/>
  <c r="N54" i="13"/>
  <c r="M54" i="13"/>
  <c r="H54" i="13"/>
  <c r="U53" i="13"/>
  <c r="R53" i="13"/>
  <c r="Q53" i="13"/>
  <c r="P53" i="13"/>
  <c r="N53" i="13"/>
  <c r="M53" i="13"/>
  <c r="H53" i="13"/>
  <c r="U52" i="13"/>
  <c r="R52" i="13"/>
  <c r="Q52" i="13"/>
  <c r="P52" i="13"/>
  <c r="N52" i="13"/>
  <c r="M52" i="13"/>
  <c r="H52" i="13"/>
  <c r="U51" i="13"/>
  <c r="R51" i="13"/>
  <c r="Q51" i="13"/>
  <c r="P51" i="13"/>
  <c r="N51" i="13"/>
  <c r="M51" i="13"/>
  <c r="H51" i="13"/>
  <c r="U50" i="13"/>
  <c r="R50" i="13"/>
  <c r="Q50" i="13"/>
  <c r="P50" i="13"/>
  <c r="N50" i="13"/>
  <c r="M50" i="13"/>
  <c r="H50" i="13"/>
  <c r="U47" i="13"/>
  <c r="R47" i="13"/>
  <c r="Q47" i="13"/>
  <c r="P47" i="13"/>
  <c r="N47" i="13"/>
  <c r="M47" i="13"/>
  <c r="H47" i="13"/>
  <c r="U46" i="13"/>
  <c r="R46" i="13"/>
  <c r="Q46" i="13"/>
  <c r="P46" i="13"/>
  <c r="N46" i="13"/>
  <c r="M46" i="13"/>
  <c r="H46" i="13"/>
  <c r="U45" i="13"/>
  <c r="R45" i="13"/>
  <c r="Q45" i="13"/>
  <c r="P45" i="13"/>
  <c r="N45" i="13"/>
  <c r="M45" i="13"/>
  <c r="H45" i="13"/>
  <c r="U44" i="13"/>
  <c r="R44" i="13"/>
  <c r="Q44" i="13"/>
  <c r="P44" i="13"/>
  <c r="N44" i="13"/>
  <c r="M44" i="13"/>
  <c r="H44" i="13"/>
  <c r="U43" i="13"/>
  <c r="R43" i="13"/>
  <c r="Q43" i="13"/>
  <c r="P43" i="13"/>
  <c r="N43" i="13"/>
  <c r="M43" i="13"/>
  <c r="H43" i="13"/>
  <c r="U42" i="13"/>
  <c r="R42" i="13"/>
  <c r="Q42" i="13"/>
  <c r="P42" i="13"/>
  <c r="N42" i="13"/>
  <c r="M42" i="13"/>
  <c r="H42" i="13"/>
  <c r="U41" i="13"/>
  <c r="R41" i="13"/>
  <c r="Q41" i="13"/>
  <c r="P41" i="13"/>
  <c r="N41" i="13"/>
  <c r="M41" i="13"/>
  <c r="H41" i="13"/>
  <c r="U40" i="13"/>
  <c r="R40" i="13"/>
  <c r="Q40" i="13"/>
  <c r="P40" i="13"/>
  <c r="N40" i="13"/>
  <c r="M40" i="13"/>
  <c r="H40" i="13"/>
  <c r="U39" i="13"/>
  <c r="R39" i="13"/>
  <c r="Q39" i="13"/>
  <c r="P39" i="13"/>
  <c r="N39" i="13"/>
  <c r="M39" i="13"/>
  <c r="H39" i="13"/>
  <c r="U38" i="13"/>
  <c r="R38" i="13"/>
  <c r="Q38" i="13"/>
  <c r="P38" i="13"/>
  <c r="N38" i="13"/>
  <c r="M38" i="13"/>
  <c r="H38" i="13"/>
  <c r="U37" i="13"/>
  <c r="R37" i="13"/>
  <c r="Q37" i="13"/>
  <c r="P37" i="13"/>
  <c r="N37" i="13"/>
  <c r="M37" i="13"/>
  <c r="H37" i="13"/>
  <c r="U36" i="13"/>
  <c r="R36" i="13"/>
  <c r="Q36" i="13"/>
  <c r="P36" i="13"/>
  <c r="N36" i="13"/>
  <c r="M36" i="13"/>
  <c r="H36" i="13"/>
  <c r="U35" i="13"/>
  <c r="R35" i="13"/>
  <c r="Q35" i="13"/>
  <c r="P35" i="13"/>
  <c r="N35" i="13"/>
  <c r="M35" i="13"/>
  <c r="H35" i="13"/>
  <c r="U34" i="13"/>
  <c r="R34" i="13"/>
  <c r="Q34" i="13"/>
  <c r="P34" i="13"/>
  <c r="N34" i="13"/>
  <c r="M34" i="13"/>
  <c r="H34" i="13"/>
  <c r="U33" i="13"/>
  <c r="R33" i="13"/>
  <c r="Q33" i="13"/>
  <c r="P33" i="13"/>
  <c r="N33" i="13"/>
  <c r="M33" i="13"/>
  <c r="H33" i="13"/>
  <c r="U32" i="13"/>
  <c r="R32" i="13"/>
  <c r="Q32" i="13"/>
  <c r="P32" i="13"/>
  <c r="N32" i="13"/>
  <c r="M32" i="13"/>
  <c r="H32" i="13"/>
  <c r="U31" i="13"/>
  <c r="R31" i="13"/>
  <c r="Q31" i="13"/>
  <c r="P31" i="13"/>
  <c r="N31" i="13"/>
  <c r="M31" i="13"/>
  <c r="H31" i="13"/>
  <c r="U30" i="13"/>
  <c r="R30" i="13"/>
  <c r="Q30" i="13"/>
  <c r="P30" i="13"/>
  <c r="N30" i="13"/>
  <c r="M30" i="13"/>
  <c r="H30" i="13"/>
  <c r="U29" i="13"/>
  <c r="R29" i="13"/>
  <c r="Q29" i="13"/>
  <c r="P29" i="13"/>
  <c r="N29" i="13"/>
  <c r="M29" i="13"/>
  <c r="H29" i="13"/>
  <c r="U28" i="13"/>
  <c r="R28" i="13"/>
  <c r="Q28" i="13"/>
  <c r="P28" i="13"/>
  <c r="N28" i="13"/>
  <c r="M28" i="13"/>
  <c r="H28" i="13"/>
  <c r="U27" i="13"/>
  <c r="R27" i="13"/>
  <c r="Q27" i="13"/>
  <c r="P27" i="13"/>
  <c r="N27" i="13"/>
  <c r="M27" i="13"/>
  <c r="H27" i="13"/>
  <c r="U26" i="13"/>
  <c r="R26" i="13"/>
  <c r="Q26" i="13"/>
  <c r="P26" i="13"/>
  <c r="N26" i="13"/>
  <c r="M26" i="13"/>
  <c r="H26" i="13"/>
  <c r="U25" i="13"/>
  <c r="R25" i="13"/>
  <c r="Q25" i="13"/>
  <c r="P25" i="13"/>
  <c r="N25" i="13"/>
  <c r="M25" i="13"/>
  <c r="H25" i="13"/>
  <c r="U24" i="13"/>
  <c r="R24" i="13"/>
  <c r="Q24" i="13"/>
  <c r="P24" i="13"/>
  <c r="N24" i="13"/>
  <c r="M24" i="13"/>
  <c r="H24" i="13"/>
  <c r="C25" i="13"/>
  <c r="D25" i="13" s="1"/>
  <c r="C26" i="13" s="1"/>
  <c r="D26" i="13" s="1"/>
  <c r="C27" i="13" s="1"/>
  <c r="D27" i="13" s="1"/>
  <c r="C28" i="13" s="1"/>
  <c r="D28" i="13" s="1"/>
  <c r="C29" i="13" s="1"/>
  <c r="D29" i="13" s="1"/>
  <c r="C30" i="13" s="1"/>
  <c r="D30" i="13" s="1"/>
  <c r="C31" i="13" s="1"/>
  <c r="D31" i="13" s="1"/>
  <c r="C32" i="13" s="1"/>
  <c r="D32" i="13" s="1"/>
  <c r="C33" i="13" s="1"/>
  <c r="D33" i="13" s="1"/>
  <c r="C34" i="13" s="1"/>
  <c r="D34" i="13" s="1"/>
  <c r="C35" i="13" s="1"/>
  <c r="D35" i="13" s="1"/>
  <c r="C36" i="13" s="1"/>
  <c r="D36" i="13" s="1"/>
  <c r="C37" i="13" s="1"/>
  <c r="D37" i="13" s="1"/>
  <c r="C38" i="13" s="1"/>
  <c r="D38" i="13" s="1"/>
  <c r="C39" i="13" s="1"/>
  <c r="D39" i="13" s="1"/>
  <c r="C40" i="13" s="1"/>
  <c r="D40" i="13" s="1"/>
  <c r="C41" i="13" s="1"/>
  <c r="D41" i="13" s="1"/>
  <c r="C42" i="13" s="1"/>
  <c r="D42" i="13" s="1"/>
  <c r="C43" i="13" s="1"/>
  <c r="D43" i="13" s="1"/>
  <c r="C44" i="13" s="1"/>
  <c r="D44" i="13" s="1"/>
  <c r="C45" i="13" s="1"/>
  <c r="D45" i="13" s="1"/>
  <c r="C46" i="13" s="1"/>
  <c r="D46" i="13" s="1"/>
  <c r="C47" i="13" s="1"/>
  <c r="AH835" i="12"/>
  <c r="AE835" i="12"/>
  <c r="Y835" i="12"/>
  <c r="T835" i="12"/>
  <c r="Q835" i="12"/>
  <c r="N835" i="12"/>
  <c r="K835" i="12"/>
  <c r="AH834" i="12"/>
  <c r="AE834" i="12"/>
  <c r="Y834" i="12"/>
  <c r="T834" i="12"/>
  <c r="Q834" i="12"/>
  <c r="N834" i="12"/>
  <c r="K834" i="12"/>
  <c r="AH833" i="12"/>
  <c r="AE833" i="12"/>
  <c r="Y833" i="12"/>
  <c r="T833" i="12"/>
  <c r="Q833" i="12"/>
  <c r="N833" i="12"/>
  <c r="K833" i="12"/>
  <c r="AH832" i="12"/>
  <c r="AE832" i="12"/>
  <c r="Y832" i="12"/>
  <c r="T832" i="12"/>
  <c r="Q832" i="12"/>
  <c r="N832" i="12"/>
  <c r="K832" i="12"/>
  <c r="AH831" i="12"/>
  <c r="AE831" i="12"/>
  <c r="Y831" i="12"/>
  <c r="T831" i="12"/>
  <c r="Q831" i="12"/>
  <c r="N831" i="12"/>
  <c r="K831" i="12"/>
  <c r="AH830" i="12"/>
  <c r="AE830" i="12"/>
  <c r="Y830" i="12"/>
  <c r="T830" i="12"/>
  <c r="Q830" i="12"/>
  <c r="N830" i="12"/>
  <c r="K830" i="12"/>
  <c r="AH829" i="12"/>
  <c r="AE829" i="12"/>
  <c r="Y829" i="12"/>
  <c r="T829" i="12"/>
  <c r="Q829" i="12"/>
  <c r="N829" i="12"/>
  <c r="K829" i="12"/>
  <c r="AH827" i="12"/>
  <c r="AE827" i="12"/>
  <c r="Y827" i="12"/>
  <c r="T827" i="12"/>
  <c r="Q827" i="12"/>
  <c r="N827" i="12"/>
  <c r="K827" i="12"/>
  <c r="AH826" i="12"/>
  <c r="AE826" i="12"/>
  <c r="Y826" i="12"/>
  <c r="T826" i="12"/>
  <c r="Q826" i="12"/>
  <c r="N826" i="12"/>
  <c r="K826" i="12"/>
  <c r="AH825" i="12"/>
  <c r="AE825" i="12"/>
  <c r="Y825" i="12"/>
  <c r="T825" i="12"/>
  <c r="Q825" i="12"/>
  <c r="N825" i="12"/>
  <c r="K825" i="12"/>
  <c r="AH824" i="12"/>
  <c r="AE824" i="12"/>
  <c r="Y824" i="12"/>
  <c r="T824" i="12"/>
  <c r="Q824" i="12"/>
  <c r="N824" i="12"/>
  <c r="K824" i="12"/>
  <c r="AH823" i="12"/>
  <c r="AE823" i="12"/>
  <c r="Y823" i="12"/>
  <c r="T823" i="12"/>
  <c r="Q823" i="12"/>
  <c r="N823" i="12"/>
  <c r="K823" i="12"/>
  <c r="AH822" i="12"/>
  <c r="AE822" i="12"/>
  <c r="Y822" i="12"/>
  <c r="T822" i="12"/>
  <c r="Q822" i="12"/>
  <c r="N822" i="12"/>
  <c r="K822" i="12"/>
  <c r="AH821" i="12"/>
  <c r="AE821" i="12"/>
  <c r="Y821" i="12"/>
  <c r="T821" i="12"/>
  <c r="Q821" i="12"/>
  <c r="N821" i="12"/>
  <c r="K821" i="12"/>
  <c r="AH819" i="12"/>
  <c r="AE819" i="12"/>
  <c r="Y819" i="12"/>
  <c r="T819" i="12"/>
  <c r="Q819" i="12"/>
  <c r="N819" i="12"/>
  <c r="K819" i="12"/>
  <c r="AH818" i="12"/>
  <c r="AE818" i="12"/>
  <c r="Y818" i="12"/>
  <c r="T818" i="12"/>
  <c r="Q818" i="12"/>
  <c r="N818" i="12"/>
  <c r="K818" i="12"/>
  <c r="AH817" i="12"/>
  <c r="AE817" i="12"/>
  <c r="Y817" i="12"/>
  <c r="T817" i="12"/>
  <c r="Q817" i="12"/>
  <c r="N817" i="12"/>
  <c r="K817" i="12"/>
  <c r="AH816" i="12"/>
  <c r="AE816" i="12"/>
  <c r="Y816" i="12"/>
  <c r="T816" i="12"/>
  <c r="Q816" i="12"/>
  <c r="N816" i="12"/>
  <c r="K816" i="12"/>
  <c r="AH815" i="12"/>
  <c r="AE815" i="12"/>
  <c r="Y815" i="12"/>
  <c r="T815" i="12"/>
  <c r="Q815" i="12"/>
  <c r="N815" i="12"/>
  <c r="K815" i="12"/>
  <c r="AH814" i="12"/>
  <c r="AE814" i="12"/>
  <c r="Y814" i="12"/>
  <c r="T814" i="12"/>
  <c r="Q814" i="12"/>
  <c r="N814" i="12"/>
  <c r="K814" i="12"/>
  <c r="AH813" i="12"/>
  <c r="AE813" i="12"/>
  <c r="Y813" i="12"/>
  <c r="T813" i="12"/>
  <c r="Q813" i="12"/>
  <c r="N813" i="12"/>
  <c r="K813" i="12"/>
  <c r="AH811" i="12"/>
  <c r="AE811" i="12"/>
  <c r="Y811" i="12"/>
  <c r="T811" i="12"/>
  <c r="Q811" i="12"/>
  <c r="N811" i="12"/>
  <c r="K811" i="12"/>
  <c r="AH810" i="12"/>
  <c r="AE810" i="12"/>
  <c r="Y810" i="12"/>
  <c r="T810" i="12"/>
  <c r="Q810" i="12"/>
  <c r="N810" i="12"/>
  <c r="K810" i="12"/>
  <c r="AH809" i="12"/>
  <c r="AE809" i="12"/>
  <c r="Y809" i="12"/>
  <c r="T809" i="12"/>
  <c r="Q809" i="12"/>
  <c r="N809" i="12"/>
  <c r="K809" i="12"/>
  <c r="AH808" i="12"/>
  <c r="AE808" i="12"/>
  <c r="Y808" i="12"/>
  <c r="T808" i="12"/>
  <c r="Q808" i="12"/>
  <c r="N808" i="12"/>
  <c r="K808" i="12"/>
  <c r="AH807" i="12"/>
  <c r="AE807" i="12"/>
  <c r="Y807" i="12"/>
  <c r="T807" i="12"/>
  <c r="Q807" i="12"/>
  <c r="N807" i="12"/>
  <c r="K807" i="12"/>
  <c r="AH806" i="12"/>
  <c r="AE806" i="12"/>
  <c r="Y806" i="12"/>
  <c r="T806" i="12"/>
  <c r="Q806" i="12"/>
  <c r="N806" i="12"/>
  <c r="K806" i="12"/>
  <c r="AH805" i="12"/>
  <c r="AE805" i="12"/>
  <c r="Y805" i="12"/>
  <c r="T805" i="12"/>
  <c r="Q805" i="12"/>
  <c r="N805" i="12"/>
  <c r="K805" i="12"/>
  <c r="AH803" i="12"/>
  <c r="AE803" i="12"/>
  <c r="Y803" i="12"/>
  <c r="T803" i="12"/>
  <c r="Q803" i="12"/>
  <c r="N803" i="12"/>
  <c r="K803" i="12"/>
  <c r="AH802" i="12"/>
  <c r="AE802" i="12"/>
  <c r="Y802" i="12"/>
  <c r="T802" i="12"/>
  <c r="Q802" i="12"/>
  <c r="N802" i="12"/>
  <c r="K802" i="12"/>
  <c r="AH801" i="12"/>
  <c r="AE801" i="12"/>
  <c r="Y801" i="12"/>
  <c r="T801" i="12"/>
  <c r="Q801" i="12"/>
  <c r="N801" i="12"/>
  <c r="K801" i="12"/>
  <c r="AH800" i="12"/>
  <c r="AE800" i="12"/>
  <c r="Y800" i="12"/>
  <c r="T800" i="12"/>
  <c r="Q800" i="12"/>
  <c r="N800" i="12"/>
  <c r="K800" i="12"/>
  <c r="AH799" i="12"/>
  <c r="AE799" i="12"/>
  <c r="Y799" i="12"/>
  <c r="T799" i="12"/>
  <c r="Q799" i="12"/>
  <c r="N799" i="12"/>
  <c r="K799" i="12"/>
  <c r="AH798" i="12"/>
  <c r="AE798" i="12"/>
  <c r="Y798" i="12"/>
  <c r="T798" i="12"/>
  <c r="Q798" i="12"/>
  <c r="N798" i="12"/>
  <c r="K798" i="12"/>
  <c r="AH797" i="12"/>
  <c r="AE797" i="12"/>
  <c r="Y797" i="12"/>
  <c r="T797" i="12"/>
  <c r="Q797" i="12"/>
  <c r="N797" i="12"/>
  <c r="K797" i="12"/>
  <c r="AH795" i="12"/>
  <c r="AE795" i="12"/>
  <c r="Y795" i="12"/>
  <c r="T795" i="12"/>
  <c r="Q795" i="12"/>
  <c r="N795" i="12"/>
  <c r="K795" i="12"/>
  <c r="AH794" i="12"/>
  <c r="AE794" i="12"/>
  <c r="Y794" i="12"/>
  <c r="T794" i="12"/>
  <c r="Q794" i="12"/>
  <c r="N794" i="12"/>
  <c r="K794" i="12"/>
  <c r="AH793" i="12"/>
  <c r="AE793" i="12"/>
  <c r="Y793" i="12"/>
  <c r="T793" i="12"/>
  <c r="Q793" i="12"/>
  <c r="N793" i="12"/>
  <c r="K793" i="12"/>
  <c r="AH792" i="12"/>
  <c r="AE792" i="12"/>
  <c r="Y792" i="12"/>
  <c r="T792" i="12"/>
  <c r="Q792" i="12"/>
  <c r="N792" i="12"/>
  <c r="K792" i="12"/>
  <c r="AH791" i="12"/>
  <c r="AE791" i="12"/>
  <c r="Y791" i="12"/>
  <c r="T791" i="12"/>
  <c r="Q791" i="12"/>
  <c r="N791" i="12"/>
  <c r="K791" i="12"/>
  <c r="AH790" i="12"/>
  <c r="AE790" i="12"/>
  <c r="Y790" i="12"/>
  <c r="T790" i="12"/>
  <c r="Q790" i="12"/>
  <c r="N790" i="12"/>
  <c r="K790" i="12"/>
  <c r="AH789" i="12"/>
  <c r="AE789" i="12"/>
  <c r="Y789" i="12"/>
  <c r="T789" i="12"/>
  <c r="Q789" i="12"/>
  <c r="N789" i="12"/>
  <c r="K789" i="12"/>
  <c r="AH787" i="12"/>
  <c r="AE787" i="12"/>
  <c r="Y787" i="12"/>
  <c r="T787" i="12"/>
  <c r="Q787" i="12"/>
  <c r="N787" i="12"/>
  <c r="K787" i="12"/>
  <c r="AH786" i="12"/>
  <c r="AE786" i="12"/>
  <c r="Y786" i="12"/>
  <c r="T786" i="12"/>
  <c r="Q786" i="12"/>
  <c r="N786" i="12"/>
  <c r="K786" i="12"/>
  <c r="AH785" i="12"/>
  <c r="AE785" i="12"/>
  <c r="Y785" i="12"/>
  <c r="T785" i="12"/>
  <c r="Q785" i="12"/>
  <c r="N785" i="12"/>
  <c r="K785" i="12"/>
  <c r="AH784" i="12"/>
  <c r="AE784" i="12"/>
  <c r="Y784" i="12"/>
  <c r="T784" i="12"/>
  <c r="Q784" i="12"/>
  <c r="N784" i="12"/>
  <c r="K784" i="12"/>
  <c r="AH783" i="12"/>
  <c r="AE783" i="12"/>
  <c r="Y783" i="12"/>
  <c r="T783" i="12"/>
  <c r="Q783" i="12"/>
  <c r="N783" i="12"/>
  <c r="K783" i="12"/>
  <c r="AH782" i="12"/>
  <c r="AE782" i="12"/>
  <c r="Y782" i="12"/>
  <c r="T782" i="12"/>
  <c r="Q782" i="12"/>
  <c r="N782" i="12"/>
  <c r="K782" i="12"/>
  <c r="AH781" i="12"/>
  <c r="AE781" i="12"/>
  <c r="Y781" i="12"/>
  <c r="T781" i="12"/>
  <c r="Q781" i="12"/>
  <c r="N781" i="12"/>
  <c r="K781" i="12"/>
  <c r="AH779" i="12"/>
  <c r="AE779" i="12"/>
  <c r="Y779" i="12"/>
  <c r="T779" i="12"/>
  <c r="Q779" i="12"/>
  <c r="N779" i="12"/>
  <c r="K779" i="12"/>
  <c r="AH778" i="12"/>
  <c r="AE778" i="12"/>
  <c r="Y778" i="12"/>
  <c r="T778" i="12"/>
  <c r="Q778" i="12"/>
  <c r="N778" i="12"/>
  <c r="K778" i="12"/>
  <c r="AH777" i="12"/>
  <c r="AE777" i="12"/>
  <c r="Y777" i="12"/>
  <c r="T777" i="12"/>
  <c r="Q777" i="12"/>
  <c r="N777" i="12"/>
  <c r="K777" i="12"/>
  <c r="AH776" i="12"/>
  <c r="AE776" i="12"/>
  <c r="Y776" i="12"/>
  <c r="T776" i="12"/>
  <c r="Q776" i="12"/>
  <c r="N776" i="12"/>
  <c r="K776" i="12"/>
  <c r="AH775" i="12"/>
  <c r="AE775" i="12"/>
  <c r="Y775" i="12"/>
  <c r="T775" i="12"/>
  <c r="Q775" i="12"/>
  <c r="N775" i="12"/>
  <c r="K775" i="12"/>
  <c r="AH774" i="12"/>
  <c r="AE774" i="12"/>
  <c r="Y774" i="12"/>
  <c r="T774" i="12"/>
  <c r="Q774" i="12"/>
  <c r="N774" i="12"/>
  <c r="K774" i="12"/>
  <c r="AH773" i="12"/>
  <c r="AE773" i="12"/>
  <c r="Y773" i="12"/>
  <c r="T773" i="12"/>
  <c r="Q773" i="12"/>
  <c r="N773" i="12"/>
  <c r="K773" i="12"/>
  <c r="AH771" i="12"/>
  <c r="AE771" i="12"/>
  <c r="Y771" i="12"/>
  <c r="T771" i="12"/>
  <c r="Q771" i="12"/>
  <c r="N771" i="12"/>
  <c r="K771" i="12"/>
  <c r="AH770" i="12"/>
  <c r="AE770" i="12"/>
  <c r="Y770" i="12"/>
  <c r="T770" i="12"/>
  <c r="Q770" i="12"/>
  <c r="N770" i="12"/>
  <c r="K770" i="12"/>
  <c r="AH769" i="12"/>
  <c r="AE769" i="12"/>
  <c r="Y769" i="12"/>
  <c r="T769" i="12"/>
  <c r="Q769" i="12"/>
  <c r="N769" i="12"/>
  <c r="K769" i="12"/>
  <c r="AH768" i="12"/>
  <c r="AE768" i="12"/>
  <c r="Y768" i="12"/>
  <c r="T768" i="12"/>
  <c r="Q768" i="12"/>
  <c r="N768" i="12"/>
  <c r="K768" i="12"/>
  <c r="AH767" i="12"/>
  <c r="AE767" i="12"/>
  <c r="Y767" i="12"/>
  <c r="T767" i="12"/>
  <c r="Q767" i="12"/>
  <c r="N767" i="12"/>
  <c r="K767" i="12"/>
  <c r="AH766" i="12"/>
  <c r="AE766" i="12"/>
  <c r="Y766" i="12"/>
  <c r="T766" i="12"/>
  <c r="Q766" i="12"/>
  <c r="N766" i="12"/>
  <c r="K766" i="12"/>
  <c r="AH765" i="12"/>
  <c r="AE765" i="12"/>
  <c r="Y765" i="12"/>
  <c r="T765" i="12"/>
  <c r="Q765" i="12"/>
  <c r="N765" i="12"/>
  <c r="K765" i="12"/>
  <c r="AH763" i="12"/>
  <c r="AE763" i="12"/>
  <c r="Y763" i="12"/>
  <c r="T763" i="12"/>
  <c r="Q763" i="12"/>
  <c r="N763" i="12"/>
  <c r="K763" i="12"/>
  <c r="AH762" i="12"/>
  <c r="AE762" i="12"/>
  <c r="Y762" i="12"/>
  <c r="T762" i="12"/>
  <c r="Q762" i="12"/>
  <c r="N762" i="12"/>
  <c r="K762" i="12"/>
  <c r="AH761" i="12"/>
  <c r="AE761" i="12"/>
  <c r="Y761" i="12"/>
  <c r="T761" i="12"/>
  <c r="Q761" i="12"/>
  <c r="N761" i="12"/>
  <c r="K761" i="12"/>
  <c r="AH760" i="12"/>
  <c r="AE760" i="12"/>
  <c r="Y760" i="12"/>
  <c r="T760" i="12"/>
  <c r="Q760" i="12"/>
  <c r="N760" i="12"/>
  <c r="K760" i="12"/>
  <c r="AH759" i="12"/>
  <c r="AE759" i="12"/>
  <c r="Y759" i="12"/>
  <c r="T759" i="12"/>
  <c r="Q759" i="12"/>
  <c r="N759" i="12"/>
  <c r="K759" i="12"/>
  <c r="AH758" i="12"/>
  <c r="AE758" i="12"/>
  <c r="Y758" i="12"/>
  <c r="T758" i="12"/>
  <c r="Q758" i="12"/>
  <c r="N758" i="12"/>
  <c r="K758" i="12"/>
  <c r="AH757" i="12"/>
  <c r="AE757" i="12"/>
  <c r="Y757" i="12"/>
  <c r="T757" i="12"/>
  <c r="Q757" i="12"/>
  <c r="N757" i="12"/>
  <c r="K757" i="12"/>
  <c r="AH755" i="12"/>
  <c r="AE755" i="12"/>
  <c r="Y755" i="12"/>
  <c r="T755" i="12"/>
  <c r="Q755" i="12"/>
  <c r="N755" i="12"/>
  <c r="K755" i="12"/>
  <c r="AH754" i="12"/>
  <c r="AE754" i="12"/>
  <c r="Y754" i="12"/>
  <c r="T754" i="12"/>
  <c r="Q754" i="12"/>
  <c r="N754" i="12"/>
  <c r="K754" i="12"/>
  <c r="AH753" i="12"/>
  <c r="AE753" i="12"/>
  <c r="Y753" i="12"/>
  <c r="T753" i="12"/>
  <c r="Q753" i="12"/>
  <c r="N753" i="12"/>
  <c r="K753" i="12"/>
  <c r="AH752" i="12"/>
  <c r="AE752" i="12"/>
  <c r="Y752" i="12"/>
  <c r="T752" i="12"/>
  <c r="Q752" i="12"/>
  <c r="N752" i="12"/>
  <c r="K752" i="12"/>
  <c r="AH751" i="12"/>
  <c r="AE751" i="12"/>
  <c r="Y751" i="12"/>
  <c r="T751" i="12"/>
  <c r="Q751" i="12"/>
  <c r="N751" i="12"/>
  <c r="K751" i="12"/>
  <c r="AH750" i="12"/>
  <c r="AE750" i="12"/>
  <c r="Y750" i="12"/>
  <c r="T750" i="12"/>
  <c r="Q750" i="12"/>
  <c r="N750" i="12"/>
  <c r="K750" i="12"/>
  <c r="AH749" i="12"/>
  <c r="AE749" i="12"/>
  <c r="Y749" i="12"/>
  <c r="T749" i="12"/>
  <c r="Q749" i="12"/>
  <c r="N749" i="12"/>
  <c r="K749" i="12"/>
  <c r="AH747" i="12"/>
  <c r="AE747" i="12"/>
  <c r="Y747" i="12"/>
  <c r="T747" i="12"/>
  <c r="Q747" i="12"/>
  <c r="N747" i="12"/>
  <c r="K747" i="12"/>
  <c r="AH746" i="12"/>
  <c r="AE746" i="12"/>
  <c r="Y746" i="12"/>
  <c r="T746" i="12"/>
  <c r="Q746" i="12"/>
  <c r="N746" i="12"/>
  <c r="K746" i="12"/>
  <c r="AH745" i="12"/>
  <c r="AE745" i="12"/>
  <c r="Y745" i="12"/>
  <c r="T745" i="12"/>
  <c r="Q745" i="12"/>
  <c r="N745" i="12"/>
  <c r="K745" i="12"/>
  <c r="AH744" i="12"/>
  <c r="AE744" i="12"/>
  <c r="Y744" i="12"/>
  <c r="T744" i="12"/>
  <c r="Q744" i="12"/>
  <c r="N744" i="12"/>
  <c r="K744" i="12"/>
  <c r="AH743" i="12"/>
  <c r="AE743" i="12"/>
  <c r="Y743" i="12"/>
  <c r="T743" i="12"/>
  <c r="Q743" i="12"/>
  <c r="N743" i="12"/>
  <c r="K743" i="12"/>
  <c r="AH742" i="12"/>
  <c r="AE742" i="12"/>
  <c r="Y742" i="12"/>
  <c r="T742" i="12"/>
  <c r="Q742" i="12"/>
  <c r="N742" i="12"/>
  <c r="K742" i="12"/>
  <c r="AH741" i="12"/>
  <c r="AE741" i="12"/>
  <c r="Y741" i="12"/>
  <c r="T741" i="12"/>
  <c r="Q741" i="12"/>
  <c r="N741" i="12"/>
  <c r="K741" i="12"/>
  <c r="AH739" i="12"/>
  <c r="AE739" i="12"/>
  <c r="Y739" i="12"/>
  <c r="T739" i="12"/>
  <c r="Q739" i="12"/>
  <c r="N739" i="12"/>
  <c r="K739" i="12"/>
  <c r="AH738" i="12"/>
  <c r="AE738" i="12"/>
  <c r="Y738" i="12"/>
  <c r="T738" i="12"/>
  <c r="Q738" i="12"/>
  <c r="N738" i="12"/>
  <c r="K738" i="12"/>
  <c r="AH737" i="12"/>
  <c r="AE737" i="12"/>
  <c r="Y737" i="12"/>
  <c r="T737" i="12"/>
  <c r="Q737" i="12"/>
  <c r="N737" i="12"/>
  <c r="K737" i="12"/>
  <c r="AH736" i="12"/>
  <c r="AE736" i="12"/>
  <c r="Y736" i="12"/>
  <c r="T736" i="12"/>
  <c r="Q736" i="12"/>
  <c r="N736" i="12"/>
  <c r="K736" i="12"/>
  <c r="AH735" i="12"/>
  <c r="AE735" i="12"/>
  <c r="Y735" i="12"/>
  <c r="T735" i="12"/>
  <c r="Q735" i="12"/>
  <c r="N735" i="12"/>
  <c r="K735" i="12"/>
  <c r="AH734" i="12"/>
  <c r="AE734" i="12"/>
  <c r="Y734" i="12"/>
  <c r="T734" i="12"/>
  <c r="Q734" i="12"/>
  <c r="N734" i="12"/>
  <c r="K734" i="12"/>
  <c r="AH733" i="12"/>
  <c r="AE733" i="12"/>
  <c r="Y733" i="12"/>
  <c r="T733" i="12"/>
  <c r="Q733" i="12"/>
  <c r="N733" i="12"/>
  <c r="K733" i="12"/>
  <c r="AH731" i="12"/>
  <c r="AE731" i="12"/>
  <c r="Y731" i="12"/>
  <c r="T731" i="12"/>
  <c r="Q731" i="12"/>
  <c r="N731" i="12"/>
  <c r="K731" i="12"/>
  <c r="AH730" i="12"/>
  <c r="AE730" i="12"/>
  <c r="Y730" i="12"/>
  <c r="T730" i="12"/>
  <c r="Q730" i="12"/>
  <c r="N730" i="12"/>
  <c r="K730" i="12"/>
  <c r="AH729" i="12"/>
  <c r="AE729" i="12"/>
  <c r="Y729" i="12"/>
  <c r="T729" i="12"/>
  <c r="Q729" i="12"/>
  <c r="N729" i="12"/>
  <c r="K729" i="12"/>
  <c r="AH728" i="12"/>
  <c r="AE728" i="12"/>
  <c r="Y728" i="12"/>
  <c r="T728" i="12"/>
  <c r="Q728" i="12"/>
  <c r="N728" i="12"/>
  <c r="K728" i="12"/>
  <c r="AH727" i="12"/>
  <c r="AE727" i="12"/>
  <c r="Y727" i="12"/>
  <c r="T727" i="12"/>
  <c r="Q727" i="12"/>
  <c r="N727" i="12"/>
  <c r="K727" i="12"/>
  <c r="AH726" i="12"/>
  <c r="AE726" i="12"/>
  <c r="Y726" i="12"/>
  <c r="T726" i="12"/>
  <c r="Q726" i="12"/>
  <c r="N726" i="12"/>
  <c r="K726" i="12"/>
  <c r="AH725" i="12"/>
  <c r="AE725" i="12"/>
  <c r="Y725" i="12"/>
  <c r="T725" i="12"/>
  <c r="Q725" i="12"/>
  <c r="N725" i="12"/>
  <c r="K725" i="12"/>
  <c r="AH723" i="12"/>
  <c r="AE723" i="12"/>
  <c r="Y723" i="12"/>
  <c r="T723" i="12"/>
  <c r="Q723" i="12"/>
  <c r="N723" i="12"/>
  <c r="K723" i="12"/>
  <c r="AH722" i="12"/>
  <c r="AE722" i="12"/>
  <c r="Y722" i="12"/>
  <c r="T722" i="12"/>
  <c r="Q722" i="12"/>
  <c r="N722" i="12"/>
  <c r="K722" i="12"/>
  <c r="AH721" i="12"/>
  <c r="AE721" i="12"/>
  <c r="Y721" i="12"/>
  <c r="T721" i="12"/>
  <c r="Q721" i="12"/>
  <c r="N721" i="12"/>
  <c r="K721" i="12"/>
  <c r="AH720" i="12"/>
  <c r="AE720" i="12"/>
  <c r="Y720" i="12"/>
  <c r="T720" i="12"/>
  <c r="Q720" i="12"/>
  <c r="N720" i="12"/>
  <c r="K720" i="12"/>
  <c r="AH719" i="12"/>
  <c r="AE719" i="12"/>
  <c r="Y719" i="12"/>
  <c r="T719" i="12"/>
  <c r="Q719" i="12"/>
  <c r="N719" i="12"/>
  <c r="K719" i="12"/>
  <c r="AH718" i="12"/>
  <c r="AE718" i="12"/>
  <c r="Y718" i="12"/>
  <c r="T718" i="12"/>
  <c r="Q718" i="12"/>
  <c r="N718" i="12"/>
  <c r="K718" i="12"/>
  <c r="AH717" i="12"/>
  <c r="AE717" i="12"/>
  <c r="Y717" i="12"/>
  <c r="T717" i="12"/>
  <c r="Q717" i="12"/>
  <c r="N717" i="12"/>
  <c r="K717" i="12"/>
  <c r="AH715" i="12"/>
  <c r="AE715" i="12"/>
  <c r="Y715" i="12"/>
  <c r="T715" i="12"/>
  <c r="Q715" i="12"/>
  <c r="N715" i="12"/>
  <c r="K715" i="12"/>
  <c r="AH714" i="12"/>
  <c r="AE714" i="12"/>
  <c r="Y714" i="12"/>
  <c r="T714" i="12"/>
  <c r="Q714" i="12"/>
  <c r="N714" i="12"/>
  <c r="K714" i="12"/>
  <c r="AH713" i="12"/>
  <c r="AE713" i="12"/>
  <c r="Y713" i="12"/>
  <c r="T713" i="12"/>
  <c r="Q713" i="12"/>
  <c r="N713" i="12"/>
  <c r="K713" i="12"/>
  <c r="AH712" i="12"/>
  <c r="AE712" i="12"/>
  <c r="Y712" i="12"/>
  <c r="T712" i="12"/>
  <c r="Q712" i="12"/>
  <c r="N712" i="12"/>
  <c r="K712" i="12"/>
  <c r="AH711" i="12"/>
  <c r="AE711" i="12"/>
  <c r="Y711" i="12"/>
  <c r="T711" i="12"/>
  <c r="Q711" i="12"/>
  <c r="N711" i="12"/>
  <c r="K711" i="12"/>
  <c r="AH710" i="12"/>
  <c r="AE710" i="12"/>
  <c r="Y710" i="12"/>
  <c r="T710" i="12"/>
  <c r="Q710" i="12"/>
  <c r="N710" i="12"/>
  <c r="K710" i="12"/>
  <c r="AH709" i="12"/>
  <c r="AE709" i="12"/>
  <c r="Y709" i="12"/>
  <c r="T709" i="12"/>
  <c r="Q709" i="12"/>
  <c r="N709" i="12"/>
  <c r="K709" i="12"/>
  <c r="AH707" i="12"/>
  <c r="AE707" i="12"/>
  <c r="Y707" i="12"/>
  <c r="T707" i="12"/>
  <c r="Q707" i="12"/>
  <c r="N707" i="12"/>
  <c r="K707" i="12"/>
  <c r="AH706" i="12"/>
  <c r="AE706" i="12"/>
  <c r="Y706" i="12"/>
  <c r="T706" i="12"/>
  <c r="Q706" i="12"/>
  <c r="N706" i="12"/>
  <c r="K706" i="12"/>
  <c r="AH705" i="12"/>
  <c r="AE705" i="12"/>
  <c r="Y705" i="12"/>
  <c r="T705" i="12"/>
  <c r="Q705" i="12"/>
  <c r="N705" i="12"/>
  <c r="K705" i="12"/>
  <c r="AH704" i="12"/>
  <c r="AE704" i="12"/>
  <c r="Y704" i="12"/>
  <c r="T704" i="12"/>
  <c r="Q704" i="12"/>
  <c r="N704" i="12"/>
  <c r="K704" i="12"/>
  <c r="AH703" i="12"/>
  <c r="AE703" i="12"/>
  <c r="Y703" i="12"/>
  <c r="T703" i="12"/>
  <c r="Q703" i="12"/>
  <c r="N703" i="12"/>
  <c r="K703" i="12"/>
  <c r="AH702" i="12"/>
  <c r="AE702" i="12"/>
  <c r="Y702" i="12"/>
  <c r="T702" i="12"/>
  <c r="Q702" i="12"/>
  <c r="N702" i="12"/>
  <c r="K702" i="12"/>
  <c r="AH701" i="12"/>
  <c r="AE701" i="12"/>
  <c r="Y701" i="12"/>
  <c r="T701" i="12"/>
  <c r="Q701" i="12"/>
  <c r="N701" i="12"/>
  <c r="K701" i="12"/>
  <c r="AH699" i="12"/>
  <c r="AE699" i="12"/>
  <c r="Y699" i="12"/>
  <c r="T699" i="12"/>
  <c r="Q699" i="12"/>
  <c r="N699" i="12"/>
  <c r="K699" i="12"/>
  <c r="AH698" i="12"/>
  <c r="AE698" i="12"/>
  <c r="Y698" i="12"/>
  <c r="T698" i="12"/>
  <c r="Q698" i="12"/>
  <c r="N698" i="12"/>
  <c r="K698" i="12"/>
  <c r="AH697" i="12"/>
  <c r="AE697" i="12"/>
  <c r="Y697" i="12"/>
  <c r="T697" i="12"/>
  <c r="Q697" i="12"/>
  <c r="N697" i="12"/>
  <c r="K697" i="12"/>
  <c r="AH696" i="12"/>
  <c r="AE696" i="12"/>
  <c r="Y696" i="12"/>
  <c r="T696" i="12"/>
  <c r="Q696" i="12"/>
  <c r="N696" i="12"/>
  <c r="K696" i="12"/>
  <c r="AH695" i="12"/>
  <c r="AE695" i="12"/>
  <c r="Y695" i="12"/>
  <c r="T695" i="12"/>
  <c r="Q695" i="12"/>
  <c r="N695" i="12"/>
  <c r="K695" i="12"/>
  <c r="AH694" i="12"/>
  <c r="AE694" i="12"/>
  <c r="Y694" i="12"/>
  <c r="T694" i="12"/>
  <c r="Q694" i="12"/>
  <c r="N694" i="12"/>
  <c r="K694" i="12"/>
  <c r="AH693" i="12"/>
  <c r="AE693" i="12"/>
  <c r="Y693" i="12"/>
  <c r="T693" i="12"/>
  <c r="Q693" i="12"/>
  <c r="N693" i="12"/>
  <c r="K693" i="12"/>
  <c r="AH691" i="12"/>
  <c r="AE691" i="12"/>
  <c r="Y691" i="12"/>
  <c r="T691" i="12"/>
  <c r="Q691" i="12"/>
  <c r="N691" i="12"/>
  <c r="K691" i="12"/>
  <c r="AH690" i="12"/>
  <c r="AE690" i="12"/>
  <c r="Y690" i="12"/>
  <c r="T690" i="12"/>
  <c r="Q690" i="12"/>
  <c r="N690" i="12"/>
  <c r="K690" i="12"/>
  <c r="AH689" i="12"/>
  <c r="AE689" i="12"/>
  <c r="Y689" i="12"/>
  <c r="T689" i="12"/>
  <c r="Q689" i="12"/>
  <c r="N689" i="12"/>
  <c r="K689" i="12"/>
  <c r="AH688" i="12"/>
  <c r="AE688" i="12"/>
  <c r="Y688" i="12"/>
  <c r="T688" i="12"/>
  <c r="Q688" i="12"/>
  <c r="N688" i="12"/>
  <c r="K688" i="12"/>
  <c r="AH687" i="12"/>
  <c r="AE687" i="12"/>
  <c r="Y687" i="12"/>
  <c r="T687" i="12"/>
  <c r="Q687" i="12"/>
  <c r="N687" i="12"/>
  <c r="K687" i="12"/>
  <c r="AH686" i="12"/>
  <c r="AE686" i="12"/>
  <c r="Y686" i="12"/>
  <c r="T686" i="12"/>
  <c r="Q686" i="12"/>
  <c r="N686" i="12"/>
  <c r="K686" i="12"/>
  <c r="AH685" i="12"/>
  <c r="AE685" i="12"/>
  <c r="Y685" i="12"/>
  <c r="T685" i="12"/>
  <c r="Q685" i="12"/>
  <c r="N685" i="12"/>
  <c r="K685" i="12"/>
  <c r="AH683" i="12"/>
  <c r="AE683" i="12"/>
  <c r="Y683" i="12"/>
  <c r="T683" i="12"/>
  <c r="Q683" i="12"/>
  <c r="N683" i="12"/>
  <c r="K683" i="12"/>
  <c r="AH682" i="12"/>
  <c r="AE682" i="12"/>
  <c r="Y682" i="12"/>
  <c r="T682" i="12"/>
  <c r="Q682" i="12"/>
  <c r="N682" i="12"/>
  <c r="K682" i="12"/>
  <c r="AH681" i="12"/>
  <c r="AE681" i="12"/>
  <c r="Y681" i="12"/>
  <c r="T681" i="12"/>
  <c r="Q681" i="12"/>
  <c r="N681" i="12"/>
  <c r="K681" i="12"/>
  <c r="AH680" i="12"/>
  <c r="AE680" i="12"/>
  <c r="Y680" i="12"/>
  <c r="T680" i="12"/>
  <c r="Q680" i="12"/>
  <c r="N680" i="12"/>
  <c r="K680" i="12"/>
  <c r="AH679" i="12"/>
  <c r="AE679" i="12"/>
  <c r="Y679" i="12"/>
  <c r="T679" i="12"/>
  <c r="Q679" i="12"/>
  <c r="N679" i="12"/>
  <c r="K679" i="12"/>
  <c r="AH678" i="12"/>
  <c r="AE678" i="12"/>
  <c r="Y678" i="12"/>
  <c r="T678" i="12"/>
  <c r="Q678" i="12"/>
  <c r="N678" i="12"/>
  <c r="K678" i="12"/>
  <c r="AH677" i="12"/>
  <c r="AE677" i="12"/>
  <c r="Y677" i="12"/>
  <c r="T677" i="12"/>
  <c r="Q677" i="12"/>
  <c r="N677" i="12"/>
  <c r="K677" i="12"/>
  <c r="AH675" i="12"/>
  <c r="AE675" i="12"/>
  <c r="Y675" i="12"/>
  <c r="T675" i="12"/>
  <c r="Q675" i="12"/>
  <c r="N675" i="12"/>
  <c r="K675" i="12"/>
  <c r="AH674" i="12"/>
  <c r="AE674" i="12"/>
  <c r="Y674" i="12"/>
  <c r="T674" i="12"/>
  <c r="Q674" i="12"/>
  <c r="N674" i="12"/>
  <c r="K674" i="12"/>
  <c r="AH673" i="12"/>
  <c r="AE673" i="12"/>
  <c r="Y673" i="12"/>
  <c r="T673" i="12"/>
  <c r="Q673" i="12"/>
  <c r="N673" i="12"/>
  <c r="K673" i="12"/>
  <c r="AH672" i="12"/>
  <c r="AE672" i="12"/>
  <c r="Y672" i="12"/>
  <c r="T672" i="12"/>
  <c r="Q672" i="12"/>
  <c r="N672" i="12"/>
  <c r="K672" i="12"/>
  <c r="AH671" i="12"/>
  <c r="AE671" i="12"/>
  <c r="Y671" i="12"/>
  <c r="T671" i="12"/>
  <c r="Q671" i="12"/>
  <c r="N671" i="12"/>
  <c r="K671" i="12"/>
  <c r="AH670" i="12"/>
  <c r="AE670" i="12"/>
  <c r="Y670" i="12"/>
  <c r="T670" i="12"/>
  <c r="Q670" i="12"/>
  <c r="N670" i="12"/>
  <c r="K670" i="12"/>
  <c r="AH669" i="12"/>
  <c r="AE669" i="12"/>
  <c r="Y669" i="12"/>
  <c r="T669" i="12"/>
  <c r="Q669" i="12"/>
  <c r="N669" i="12"/>
  <c r="K669" i="12"/>
  <c r="AH667" i="12"/>
  <c r="AE667" i="12"/>
  <c r="Y667" i="12"/>
  <c r="T667" i="12"/>
  <c r="Q667" i="12"/>
  <c r="N667" i="12"/>
  <c r="K667" i="12"/>
  <c r="AH666" i="12"/>
  <c r="AE666" i="12"/>
  <c r="Y666" i="12"/>
  <c r="T666" i="12"/>
  <c r="Q666" i="12"/>
  <c r="N666" i="12"/>
  <c r="K666" i="12"/>
  <c r="AH665" i="12"/>
  <c r="AE665" i="12"/>
  <c r="Y665" i="12"/>
  <c r="T665" i="12"/>
  <c r="Q665" i="12"/>
  <c r="N665" i="12"/>
  <c r="K665" i="12"/>
  <c r="AH664" i="12"/>
  <c r="AE664" i="12"/>
  <c r="Y664" i="12"/>
  <c r="T664" i="12"/>
  <c r="Q664" i="12"/>
  <c r="N664" i="12"/>
  <c r="K664" i="12"/>
  <c r="AH663" i="12"/>
  <c r="AE663" i="12"/>
  <c r="Y663" i="12"/>
  <c r="T663" i="12"/>
  <c r="Q663" i="12"/>
  <c r="N663" i="12"/>
  <c r="K663" i="12"/>
  <c r="AH662" i="12"/>
  <c r="AE662" i="12"/>
  <c r="Y662" i="12"/>
  <c r="T662" i="12"/>
  <c r="Q662" i="12"/>
  <c r="N662" i="12"/>
  <c r="K662" i="12"/>
  <c r="AH661" i="12"/>
  <c r="AE661" i="12"/>
  <c r="Y661" i="12"/>
  <c r="T661" i="12"/>
  <c r="Q661" i="12"/>
  <c r="N661" i="12"/>
  <c r="K661" i="12"/>
  <c r="AH659" i="12"/>
  <c r="AE659" i="12"/>
  <c r="Y659" i="12"/>
  <c r="T659" i="12"/>
  <c r="Q659" i="12"/>
  <c r="N659" i="12"/>
  <c r="K659" i="12"/>
  <c r="AH658" i="12"/>
  <c r="AE658" i="12"/>
  <c r="Y658" i="12"/>
  <c r="T658" i="12"/>
  <c r="Q658" i="12"/>
  <c r="N658" i="12"/>
  <c r="K658" i="12"/>
  <c r="AH657" i="12"/>
  <c r="AE657" i="12"/>
  <c r="Y657" i="12"/>
  <c r="T657" i="12"/>
  <c r="Q657" i="12"/>
  <c r="N657" i="12"/>
  <c r="K657" i="12"/>
  <c r="AH656" i="12"/>
  <c r="AE656" i="12"/>
  <c r="Y656" i="12"/>
  <c r="T656" i="12"/>
  <c r="Q656" i="12"/>
  <c r="N656" i="12"/>
  <c r="K656" i="12"/>
  <c r="AH655" i="12"/>
  <c r="AE655" i="12"/>
  <c r="Y655" i="12"/>
  <c r="T655" i="12"/>
  <c r="Q655" i="12"/>
  <c r="N655" i="12"/>
  <c r="K655" i="12"/>
  <c r="AH654" i="12"/>
  <c r="AE654" i="12"/>
  <c r="Y654" i="12"/>
  <c r="T654" i="12"/>
  <c r="Q654" i="12"/>
  <c r="N654" i="12"/>
  <c r="K654" i="12"/>
  <c r="AH653" i="12"/>
  <c r="AE653" i="12"/>
  <c r="Y653" i="12"/>
  <c r="T653" i="12"/>
  <c r="Q653" i="12"/>
  <c r="N653" i="12"/>
  <c r="K653" i="12"/>
  <c r="AH651" i="12"/>
  <c r="AE651" i="12"/>
  <c r="Y651" i="12"/>
  <c r="T651" i="12"/>
  <c r="Q651" i="12"/>
  <c r="N651" i="12"/>
  <c r="K651" i="12"/>
  <c r="AH650" i="12"/>
  <c r="AE650" i="12"/>
  <c r="Y650" i="12"/>
  <c r="T650" i="12"/>
  <c r="Q650" i="12"/>
  <c r="N650" i="12"/>
  <c r="K650" i="12"/>
  <c r="AH649" i="12"/>
  <c r="AE649" i="12"/>
  <c r="Y649" i="12"/>
  <c r="T649" i="12"/>
  <c r="Q649" i="12"/>
  <c r="N649" i="12"/>
  <c r="K649" i="12"/>
  <c r="AH648" i="12"/>
  <c r="AE648" i="12"/>
  <c r="Y648" i="12"/>
  <c r="T648" i="12"/>
  <c r="Q648" i="12"/>
  <c r="N648" i="12"/>
  <c r="K648" i="12"/>
  <c r="AH647" i="12"/>
  <c r="AE647" i="12"/>
  <c r="Y647" i="12"/>
  <c r="T647" i="12"/>
  <c r="Q647" i="12"/>
  <c r="N647" i="12"/>
  <c r="K647" i="12"/>
  <c r="AH646" i="12"/>
  <c r="AE646" i="12"/>
  <c r="Y646" i="12"/>
  <c r="T646" i="12"/>
  <c r="Q646" i="12"/>
  <c r="N646" i="12"/>
  <c r="K646" i="12"/>
  <c r="AH645" i="12"/>
  <c r="AE645" i="12"/>
  <c r="Y645" i="12"/>
  <c r="T645" i="12"/>
  <c r="Q645" i="12"/>
  <c r="N645" i="12"/>
  <c r="K645" i="12"/>
  <c r="AH643" i="12"/>
  <c r="AE643" i="12"/>
  <c r="Y643" i="12"/>
  <c r="T643" i="12"/>
  <c r="Q643" i="12"/>
  <c r="N643" i="12"/>
  <c r="K643" i="12"/>
  <c r="AH642" i="12"/>
  <c r="AE642" i="12"/>
  <c r="Y642" i="12"/>
  <c r="T642" i="12"/>
  <c r="Q642" i="12"/>
  <c r="N642" i="12"/>
  <c r="K642" i="12"/>
  <c r="AH641" i="12"/>
  <c r="AE641" i="12"/>
  <c r="Y641" i="12"/>
  <c r="T641" i="12"/>
  <c r="Q641" i="12"/>
  <c r="N641" i="12"/>
  <c r="K641" i="12"/>
  <c r="AH640" i="12"/>
  <c r="AE640" i="12"/>
  <c r="Y640" i="12"/>
  <c r="T640" i="12"/>
  <c r="Q640" i="12"/>
  <c r="N640" i="12"/>
  <c r="K640" i="12"/>
  <c r="AH639" i="12"/>
  <c r="AE639" i="12"/>
  <c r="Y639" i="12"/>
  <c r="T639" i="12"/>
  <c r="Q639" i="12"/>
  <c r="N639" i="12"/>
  <c r="K639" i="12"/>
  <c r="AH638" i="12"/>
  <c r="AE638" i="12"/>
  <c r="Y638" i="12"/>
  <c r="T638" i="12"/>
  <c r="Q638" i="12"/>
  <c r="N638" i="12"/>
  <c r="K638" i="12"/>
  <c r="AH637" i="12"/>
  <c r="AE637" i="12"/>
  <c r="Y637" i="12"/>
  <c r="T637" i="12"/>
  <c r="Q637" i="12"/>
  <c r="N637" i="12"/>
  <c r="K637" i="12"/>
  <c r="AH635" i="12"/>
  <c r="AE635" i="12"/>
  <c r="Y635" i="12"/>
  <c r="T635" i="12"/>
  <c r="Q635" i="12"/>
  <c r="N635" i="12"/>
  <c r="K635" i="12"/>
  <c r="AH634" i="12"/>
  <c r="AE634" i="12"/>
  <c r="Y634" i="12"/>
  <c r="T634" i="12"/>
  <c r="Q634" i="12"/>
  <c r="N634" i="12"/>
  <c r="K634" i="12"/>
  <c r="AH633" i="12"/>
  <c r="AE633" i="12"/>
  <c r="Y633" i="12"/>
  <c r="T633" i="12"/>
  <c r="Q633" i="12"/>
  <c r="N633" i="12"/>
  <c r="K633" i="12"/>
  <c r="AH632" i="12"/>
  <c r="AE632" i="12"/>
  <c r="Y632" i="12"/>
  <c r="T632" i="12"/>
  <c r="Q632" i="12"/>
  <c r="N632" i="12"/>
  <c r="K632" i="12"/>
  <c r="AH631" i="12"/>
  <c r="AE631" i="12"/>
  <c r="Y631" i="12"/>
  <c r="T631" i="12"/>
  <c r="Q631" i="12"/>
  <c r="N631" i="12"/>
  <c r="K631" i="12"/>
  <c r="AH630" i="12"/>
  <c r="AE630" i="12"/>
  <c r="Y630" i="12"/>
  <c r="T630" i="12"/>
  <c r="Q630" i="12"/>
  <c r="N630" i="12"/>
  <c r="K630" i="12"/>
  <c r="AH629" i="12"/>
  <c r="AE629" i="12"/>
  <c r="Y629" i="12"/>
  <c r="T629" i="12"/>
  <c r="Q629" i="12"/>
  <c r="N629" i="12"/>
  <c r="K629" i="12"/>
  <c r="AH627" i="12"/>
  <c r="AE627" i="12"/>
  <c r="Y627" i="12"/>
  <c r="T627" i="12"/>
  <c r="Q627" i="12"/>
  <c r="N627" i="12"/>
  <c r="K627" i="12"/>
  <c r="AH626" i="12"/>
  <c r="AE626" i="12"/>
  <c r="Y626" i="12"/>
  <c r="T626" i="12"/>
  <c r="Q626" i="12"/>
  <c r="N626" i="12"/>
  <c r="K626" i="12"/>
  <c r="AH625" i="12"/>
  <c r="AE625" i="12"/>
  <c r="Y625" i="12"/>
  <c r="T625" i="12"/>
  <c r="Q625" i="12"/>
  <c r="N625" i="12"/>
  <c r="K625" i="12"/>
  <c r="AH624" i="12"/>
  <c r="AE624" i="12"/>
  <c r="Y624" i="12"/>
  <c r="T624" i="12"/>
  <c r="Q624" i="12"/>
  <c r="N624" i="12"/>
  <c r="K624" i="12"/>
  <c r="AH623" i="12"/>
  <c r="AE623" i="12"/>
  <c r="Y623" i="12"/>
  <c r="T623" i="12"/>
  <c r="Q623" i="12"/>
  <c r="N623" i="12"/>
  <c r="K623" i="12"/>
  <c r="AH622" i="12"/>
  <c r="AE622" i="12"/>
  <c r="Y622" i="12"/>
  <c r="T622" i="12"/>
  <c r="Q622" i="12"/>
  <c r="N622" i="12"/>
  <c r="K622" i="12"/>
  <c r="AH621" i="12"/>
  <c r="AE621" i="12"/>
  <c r="Y621" i="12"/>
  <c r="T621" i="12"/>
  <c r="Q621" i="12"/>
  <c r="N621" i="12"/>
  <c r="K621" i="12"/>
  <c r="AH619" i="12"/>
  <c r="AE619" i="12"/>
  <c r="Y619" i="12"/>
  <c r="T619" i="12"/>
  <c r="Q619" i="12"/>
  <c r="N619" i="12"/>
  <c r="K619" i="12"/>
  <c r="AH618" i="12"/>
  <c r="AE618" i="12"/>
  <c r="Y618" i="12"/>
  <c r="T618" i="12"/>
  <c r="Q618" i="12"/>
  <c r="N618" i="12"/>
  <c r="K618" i="12"/>
  <c r="AH617" i="12"/>
  <c r="AE617" i="12"/>
  <c r="Y617" i="12"/>
  <c r="T617" i="12"/>
  <c r="Q617" i="12"/>
  <c r="N617" i="12"/>
  <c r="K617" i="12"/>
  <c r="AH616" i="12"/>
  <c r="AE616" i="12"/>
  <c r="Y616" i="12"/>
  <c r="T616" i="12"/>
  <c r="Q616" i="12"/>
  <c r="N616" i="12"/>
  <c r="K616" i="12"/>
  <c r="AH615" i="12"/>
  <c r="AE615" i="12"/>
  <c r="Y615" i="12"/>
  <c r="T615" i="12"/>
  <c r="Q615" i="12"/>
  <c r="N615" i="12"/>
  <c r="K615" i="12"/>
  <c r="AH614" i="12"/>
  <c r="AE614" i="12"/>
  <c r="Y614" i="12"/>
  <c r="T614" i="12"/>
  <c r="Q614" i="12"/>
  <c r="N614" i="12"/>
  <c r="K614" i="12"/>
  <c r="AH613" i="12"/>
  <c r="AE613" i="12"/>
  <c r="Y613" i="12"/>
  <c r="T613" i="12"/>
  <c r="Q613" i="12"/>
  <c r="N613" i="12"/>
  <c r="K613" i="12"/>
  <c r="AH611" i="12"/>
  <c r="AE611" i="12"/>
  <c r="Y611" i="12"/>
  <c r="T611" i="12"/>
  <c r="Q611" i="12"/>
  <c r="N611" i="12"/>
  <c r="K611" i="12"/>
  <c r="AH610" i="12"/>
  <c r="AE610" i="12"/>
  <c r="Y610" i="12"/>
  <c r="T610" i="12"/>
  <c r="Q610" i="12"/>
  <c r="N610" i="12"/>
  <c r="K610" i="12"/>
  <c r="AH609" i="12"/>
  <c r="AE609" i="12"/>
  <c r="Y609" i="12"/>
  <c r="T609" i="12"/>
  <c r="Q609" i="12"/>
  <c r="N609" i="12"/>
  <c r="K609" i="12"/>
  <c r="AH608" i="12"/>
  <c r="AE608" i="12"/>
  <c r="Y608" i="12"/>
  <c r="T608" i="12"/>
  <c r="Q608" i="12"/>
  <c r="N608" i="12"/>
  <c r="K608" i="12"/>
  <c r="AH607" i="12"/>
  <c r="AE607" i="12"/>
  <c r="Y607" i="12"/>
  <c r="T607" i="12"/>
  <c r="Q607" i="12"/>
  <c r="N607" i="12"/>
  <c r="K607" i="12"/>
  <c r="AH606" i="12"/>
  <c r="AE606" i="12"/>
  <c r="Y606" i="12"/>
  <c r="T606" i="12"/>
  <c r="Q606" i="12"/>
  <c r="N606" i="12"/>
  <c r="K606" i="12"/>
  <c r="AH605" i="12"/>
  <c r="AE605" i="12"/>
  <c r="Y605" i="12"/>
  <c r="T605" i="12"/>
  <c r="Q605" i="12"/>
  <c r="N605" i="12"/>
  <c r="K605" i="12"/>
  <c r="AH603" i="12"/>
  <c r="AE603" i="12"/>
  <c r="Y603" i="12"/>
  <c r="T603" i="12"/>
  <c r="Q603" i="12"/>
  <c r="N603" i="12"/>
  <c r="K603" i="12"/>
  <c r="AH602" i="12"/>
  <c r="AE602" i="12"/>
  <c r="Y602" i="12"/>
  <c r="T602" i="12"/>
  <c r="Q602" i="12"/>
  <c r="N602" i="12"/>
  <c r="K602" i="12"/>
  <c r="AH601" i="12"/>
  <c r="AE601" i="12"/>
  <c r="Y601" i="12"/>
  <c r="T601" i="12"/>
  <c r="Q601" i="12"/>
  <c r="N601" i="12"/>
  <c r="K601" i="12"/>
  <c r="AH600" i="12"/>
  <c r="AE600" i="12"/>
  <c r="Y600" i="12"/>
  <c r="T600" i="12"/>
  <c r="Q600" i="12"/>
  <c r="N600" i="12"/>
  <c r="K600" i="12"/>
  <c r="AH599" i="12"/>
  <c r="AE599" i="12"/>
  <c r="Y599" i="12"/>
  <c r="T599" i="12"/>
  <c r="Q599" i="12"/>
  <c r="N599" i="12"/>
  <c r="K599" i="12"/>
  <c r="AH598" i="12"/>
  <c r="AE598" i="12"/>
  <c r="Y598" i="12"/>
  <c r="T598" i="12"/>
  <c r="Q598" i="12"/>
  <c r="N598" i="12"/>
  <c r="K598" i="12"/>
  <c r="AH597" i="12"/>
  <c r="AE597" i="12"/>
  <c r="Y597" i="12"/>
  <c r="T597" i="12"/>
  <c r="Q597" i="12"/>
  <c r="N597" i="12"/>
  <c r="K597" i="12"/>
  <c r="AH595" i="12"/>
  <c r="AE595" i="12"/>
  <c r="Y595" i="12"/>
  <c r="T595" i="12"/>
  <c r="Q595" i="12"/>
  <c r="N595" i="12"/>
  <c r="K595" i="12"/>
  <c r="AH594" i="12"/>
  <c r="AE594" i="12"/>
  <c r="Y594" i="12"/>
  <c r="T594" i="12"/>
  <c r="Q594" i="12"/>
  <c r="N594" i="12"/>
  <c r="K594" i="12"/>
  <c r="AH593" i="12"/>
  <c r="AE593" i="12"/>
  <c r="Y593" i="12"/>
  <c r="T593" i="12"/>
  <c r="Q593" i="12"/>
  <c r="N593" i="12"/>
  <c r="K593" i="12"/>
  <c r="AH592" i="12"/>
  <c r="AE592" i="12"/>
  <c r="Y592" i="12"/>
  <c r="T592" i="12"/>
  <c r="Q592" i="12"/>
  <c r="N592" i="12"/>
  <c r="K592" i="12"/>
  <c r="AH591" i="12"/>
  <c r="AE591" i="12"/>
  <c r="Y591" i="12"/>
  <c r="T591" i="12"/>
  <c r="Q591" i="12"/>
  <c r="N591" i="12"/>
  <c r="K591" i="12"/>
  <c r="AH590" i="12"/>
  <c r="AE590" i="12"/>
  <c r="Y590" i="12"/>
  <c r="T590" i="12"/>
  <c r="Q590" i="12"/>
  <c r="N590" i="12"/>
  <c r="K590" i="12"/>
  <c r="AH589" i="12"/>
  <c r="AE589" i="12"/>
  <c r="Y589" i="12"/>
  <c r="T589" i="12"/>
  <c r="Q589" i="12"/>
  <c r="N589" i="12"/>
  <c r="K589" i="12"/>
  <c r="AH587" i="12"/>
  <c r="AE587" i="12"/>
  <c r="Y587" i="12"/>
  <c r="T587" i="12"/>
  <c r="Q587" i="12"/>
  <c r="N587" i="12"/>
  <c r="K587" i="12"/>
  <c r="AH586" i="12"/>
  <c r="AE586" i="12"/>
  <c r="Y586" i="12"/>
  <c r="T586" i="12"/>
  <c r="Q586" i="12"/>
  <c r="N586" i="12"/>
  <c r="K586" i="12"/>
  <c r="AH585" i="12"/>
  <c r="AE585" i="12"/>
  <c r="Y585" i="12"/>
  <c r="T585" i="12"/>
  <c r="Q585" i="12"/>
  <c r="N585" i="12"/>
  <c r="K585" i="12"/>
  <c r="AH584" i="12"/>
  <c r="AE584" i="12"/>
  <c r="Y584" i="12"/>
  <c r="T584" i="12"/>
  <c r="Q584" i="12"/>
  <c r="N584" i="12"/>
  <c r="K584" i="12"/>
  <c r="AH583" i="12"/>
  <c r="AE583" i="12"/>
  <c r="Y583" i="12"/>
  <c r="T583" i="12"/>
  <c r="Q583" i="12"/>
  <c r="N583" i="12"/>
  <c r="K583" i="12"/>
  <c r="AH582" i="12"/>
  <c r="AE582" i="12"/>
  <c r="Y582" i="12"/>
  <c r="T582" i="12"/>
  <c r="Q582" i="12"/>
  <c r="N582" i="12"/>
  <c r="K582" i="12"/>
  <c r="AH581" i="12"/>
  <c r="AE581" i="12"/>
  <c r="Y581" i="12"/>
  <c r="T581" i="12"/>
  <c r="Q581" i="12"/>
  <c r="N581" i="12"/>
  <c r="K581" i="12"/>
  <c r="AH579" i="12"/>
  <c r="AE579" i="12"/>
  <c r="Y579" i="12"/>
  <c r="T579" i="12"/>
  <c r="Q579" i="12"/>
  <c r="N579" i="12"/>
  <c r="K579" i="12"/>
  <c r="AH578" i="12"/>
  <c r="AE578" i="12"/>
  <c r="Y578" i="12"/>
  <c r="T578" i="12"/>
  <c r="Q578" i="12"/>
  <c r="N578" i="12"/>
  <c r="K578" i="12"/>
  <c r="AH577" i="12"/>
  <c r="AE577" i="12"/>
  <c r="Y577" i="12"/>
  <c r="T577" i="12"/>
  <c r="Q577" i="12"/>
  <c r="N577" i="12"/>
  <c r="K577" i="12"/>
  <c r="AH576" i="12"/>
  <c r="AE576" i="12"/>
  <c r="Y576" i="12"/>
  <c r="T576" i="12"/>
  <c r="Q576" i="12"/>
  <c r="N576" i="12"/>
  <c r="K576" i="12"/>
  <c r="AH575" i="12"/>
  <c r="AE575" i="12"/>
  <c r="Y575" i="12"/>
  <c r="T575" i="12"/>
  <c r="Q575" i="12"/>
  <c r="N575" i="12"/>
  <c r="K575" i="12"/>
  <c r="AH574" i="12"/>
  <c r="AE574" i="12"/>
  <c r="Y574" i="12"/>
  <c r="T574" i="12"/>
  <c r="Q574" i="12"/>
  <c r="N574" i="12"/>
  <c r="K574" i="12"/>
  <c r="AH573" i="12"/>
  <c r="AE573" i="12"/>
  <c r="Y573" i="12"/>
  <c r="T573" i="12"/>
  <c r="Q573" i="12"/>
  <c r="N573" i="12"/>
  <c r="K573" i="12"/>
  <c r="AH571" i="12"/>
  <c r="AE571" i="12"/>
  <c r="Y571" i="12"/>
  <c r="T571" i="12"/>
  <c r="Q571" i="12"/>
  <c r="N571" i="12"/>
  <c r="K571" i="12"/>
  <c r="AH570" i="12"/>
  <c r="AE570" i="12"/>
  <c r="Y570" i="12"/>
  <c r="T570" i="12"/>
  <c r="Q570" i="12"/>
  <c r="N570" i="12"/>
  <c r="K570" i="12"/>
  <c r="AH569" i="12"/>
  <c r="AE569" i="12"/>
  <c r="Y569" i="12"/>
  <c r="T569" i="12"/>
  <c r="Q569" i="12"/>
  <c r="N569" i="12"/>
  <c r="K569" i="12"/>
  <c r="AH568" i="12"/>
  <c r="AE568" i="12"/>
  <c r="Y568" i="12"/>
  <c r="T568" i="12"/>
  <c r="Q568" i="12"/>
  <c r="N568" i="12"/>
  <c r="K568" i="12"/>
  <c r="AH567" i="12"/>
  <c r="AE567" i="12"/>
  <c r="Y567" i="12"/>
  <c r="T567" i="12"/>
  <c r="Q567" i="12"/>
  <c r="N567" i="12"/>
  <c r="K567" i="12"/>
  <c r="AH566" i="12"/>
  <c r="AE566" i="12"/>
  <c r="Y566" i="12"/>
  <c r="T566" i="12"/>
  <c r="Q566" i="12"/>
  <c r="N566" i="12"/>
  <c r="K566" i="12"/>
  <c r="AH565" i="12"/>
  <c r="AE565" i="12"/>
  <c r="Y565" i="12"/>
  <c r="T565" i="12"/>
  <c r="Q565" i="12"/>
  <c r="N565" i="12"/>
  <c r="K565" i="12"/>
  <c r="AH563" i="12"/>
  <c r="AE563" i="12"/>
  <c r="Y563" i="12"/>
  <c r="T563" i="12"/>
  <c r="Q563" i="12"/>
  <c r="N563" i="12"/>
  <c r="K563" i="12"/>
  <c r="AH562" i="12"/>
  <c r="AE562" i="12"/>
  <c r="Y562" i="12"/>
  <c r="T562" i="12"/>
  <c r="Q562" i="12"/>
  <c r="N562" i="12"/>
  <c r="K562" i="12"/>
  <c r="AH561" i="12"/>
  <c r="AE561" i="12"/>
  <c r="Y561" i="12"/>
  <c r="T561" i="12"/>
  <c r="Q561" i="12"/>
  <c r="N561" i="12"/>
  <c r="K561" i="12"/>
  <c r="AH560" i="12"/>
  <c r="AE560" i="12"/>
  <c r="Y560" i="12"/>
  <c r="T560" i="12"/>
  <c r="Q560" i="12"/>
  <c r="N560" i="12"/>
  <c r="K560" i="12"/>
  <c r="AH559" i="12"/>
  <c r="AE559" i="12"/>
  <c r="Y559" i="12"/>
  <c r="T559" i="12"/>
  <c r="Q559" i="12"/>
  <c r="N559" i="12"/>
  <c r="K559" i="12"/>
  <c r="AH558" i="12"/>
  <c r="AE558" i="12"/>
  <c r="Y558" i="12"/>
  <c r="T558" i="12"/>
  <c r="Q558" i="12"/>
  <c r="N558" i="12"/>
  <c r="K558" i="12"/>
  <c r="AH557" i="12"/>
  <c r="AE557" i="12"/>
  <c r="Y557" i="12"/>
  <c r="T557" i="12"/>
  <c r="Q557" i="12"/>
  <c r="N557" i="12"/>
  <c r="K557" i="12"/>
  <c r="AH555" i="12"/>
  <c r="AE555" i="12"/>
  <c r="Y555" i="12"/>
  <c r="T555" i="12"/>
  <c r="Q555" i="12"/>
  <c r="N555" i="12"/>
  <c r="K555" i="12"/>
  <c r="AH554" i="12"/>
  <c r="AE554" i="12"/>
  <c r="Y554" i="12"/>
  <c r="T554" i="12"/>
  <c r="Q554" i="12"/>
  <c r="N554" i="12"/>
  <c r="K554" i="12"/>
  <c r="AH553" i="12"/>
  <c r="AE553" i="12"/>
  <c r="Y553" i="12"/>
  <c r="T553" i="12"/>
  <c r="Q553" i="12"/>
  <c r="N553" i="12"/>
  <c r="K553" i="12"/>
  <c r="AH552" i="12"/>
  <c r="AE552" i="12"/>
  <c r="Y552" i="12"/>
  <c r="T552" i="12"/>
  <c r="Q552" i="12"/>
  <c r="N552" i="12"/>
  <c r="K552" i="12"/>
  <c r="AH551" i="12"/>
  <c r="AE551" i="12"/>
  <c r="Y551" i="12"/>
  <c r="T551" i="12"/>
  <c r="Q551" i="12"/>
  <c r="N551" i="12"/>
  <c r="K551" i="12"/>
  <c r="AH550" i="12"/>
  <c r="AE550" i="12"/>
  <c r="Y550" i="12"/>
  <c r="T550" i="12"/>
  <c r="Q550" i="12"/>
  <c r="N550" i="12"/>
  <c r="K550" i="12"/>
  <c r="AH549" i="12"/>
  <c r="AE549" i="12"/>
  <c r="Y549" i="12"/>
  <c r="T549" i="12"/>
  <c r="Q549" i="12"/>
  <c r="N549" i="12"/>
  <c r="K549" i="12"/>
  <c r="AH547" i="12"/>
  <c r="AE547" i="12"/>
  <c r="Y547" i="12"/>
  <c r="T547" i="12"/>
  <c r="Q547" i="12"/>
  <c r="N547" i="12"/>
  <c r="K547" i="12"/>
  <c r="AH546" i="12"/>
  <c r="AE546" i="12"/>
  <c r="Y546" i="12"/>
  <c r="T546" i="12"/>
  <c r="Q546" i="12"/>
  <c r="N546" i="12"/>
  <c r="K546" i="12"/>
  <c r="AH545" i="12"/>
  <c r="AE545" i="12"/>
  <c r="Y545" i="12"/>
  <c r="T545" i="12"/>
  <c r="Q545" i="12"/>
  <c r="N545" i="12"/>
  <c r="K545" i="12"/>
  <c r="AH544" i="12"/>
  <c r="AE544" i="12"/>
  <c r="Y544" i="12"/>
  <c r="T544" i="12"/>
  <c r="Q544" i="12"/>
  <c r="N544" i="12"/>
  <c r="K544" i="12"/>
  <c r="AH543" i="12"/>
  <c r="AE543" i="12"/>
  <c r="Y543" i="12"/>
  <c r="T543" i="12"/>
  <c r="Q543" i="12"/>
  <c r="N543" i="12"/>
  <c r="K543" i="12"/>
  <c r="AH542" i="12"/>
  <c r="AE542" i="12"/>
  <c r="Y542" i="12"/>
  <c r="T542" i="12"/>
  <c r="Q542" i="12"/>
  <c r="N542" i="12"/>
  <c r="K542" i="12"/>
  <c r="AH541" i="12"/>
  <c r="AE541" i="12"/>
  <c r="Y541" i="12"/>
  <c r="T541" i="12"/>
  <c r="Q541" i="12"/>
  <c r="N541" i="12"/>
  <c r="K541" i="12"/>
  <c r="AH539" i="12"/>
  <c r="AE539" i="12"/>
  <c r="Y539" i="12"/>
  <c r="T539" i="12"/>
  <c r="Q539" i="12"/>
  <c r="N539" i="12"/>
  <c r="K539" i="12"/>
  <c r="AH538" i="12"/>
  <c r="AE538" i="12"/>
  <c r="Y538" i="12"/>
  <c r="T538" i="12"/>
  <c r="Q538" i="12"/>
  <c r="N538" i="12"/>
  <c r="K538" i="12"/>
  <c r="AH537" i="12"/>
  <c r="AE537" i="12"/>
  <c r="Y537" i="12"/>
  <c r="T537" i="12"/>
  <c r="Q537" i="12"/>
  <c r="N537" i="12"/>
  <c r="K537" i="12"/>
  <c r="AH536" i="12"/>
  <c r="AE536" i="12"/>
  <c r="Y536" i="12"/>
  <c r="T536" i="12"/>
  <c r="Q536" i="12"/>
  <c r="N536" i="12"/>
  <c r="K536" i="12"/>
  <c r="AH535" i="12"/>
  <c r="AE535" i="12"/>
  <c r="Y535" i="12"/>
  <c r="T535" i="12"/>
  <c r="Q535" i="12"/>
  <c r="N535" i="12"/>
  <c r="K535" i="12"/>
  <c r="AH534" i="12"/>
  <c r="AE534" i="12"/>
  <c r="Y534" i="12"/>
  <c r="T534" i="12"/>
  <c r="Q534" i="12"/>
  <c r="N534" i="12"/>
  <c r="K534" i="12"/>
  <c r="AH533" i="12"/>
  <c r="AE533" i="12"/>
  <c r="Y533" i="12"/>
  <c r="T533" i="12"/>
  <c r="Q533" i="12"/>
  <c r="N533" i="12"/>
  <c r="K533" i="12"/>
  <c r="AH531" i="12"/>
  <c r="AE531" i="12"/>
  <c r="Y531" i="12"/>
  <c r="T531" i="12"/>
  <c r="Q531" i="12"/>
  <c r="N531" i="12"/>
  <c r="K531" i="12"/>
  <c r="AH530" i="12"/>
  <c r="AE530" i="12"/>
  <c r="Y530" i="12"/>
  <c r="T530" i="12"/>
  <c r="Q530" i="12"/>
  <c r="N530" i="12"/>
  <c r="K530" i="12"/>
  <c r="AH529" i="12"/>
  <c r="AE529" i="12"/>
  <c r="Y529" i="12"/>
  <c r="T529" i="12"/>
  <c r="Q529" i="12"/>
  <c r="N529" i="12"/>
  <c r="K529" i="12"/>
  <c r="AH528" i="12"/>
  <c r="AE528" i="12"/>
  <c r="Y528" i="12"/>
  <c r="T528" i="12"/>
  <c r="Q528" i="12"/>
  <c r="N528" i="12"/>
  <c r="K528" i="12"/>
  <c r="AH527" i="12"/>
  <c r="AE527" i="12"/>
  <c r="Y527" i="12"/>
  <c r="T527" i="12"/>
  <c r="Q527" i="12"/>
  <c r="N527" i="12"/>
  <c r="K527" i="12"/>
  <c r="AH526" i="12"/>
  <c r="AE526" i="12"/>
  <c r="Y526" i="12"/>
  <c r="T526" i="12"/>
  <c r="Q526" i="12"/>
  <c r="N526" i="12"/>
  <c r="K526" i="12"/>
  <c r="AH525" i="12"/>
  <c r="AE525" i="12"/>
  <c r="Y525" i="12"/>
  <c r="T525" i="12"/>
  <c r="Q525" i="12"/>
  <c r="N525" i="12"/>
  <c r="K525" i="12"/>
  <c r="AH523" i="12"/>
  <c r="AE523" i="12"/>
  <c r="Y523" i="12"/>
  <c r="T523" i="12"/>
  <c r="Q523" i="12"/>
  <c r="N523" i="12"/>
  <c r="K523" i="12"/>
  <c r="AH522" i="12"/>
  <c r="AE522" i="12"/>
  <c r="Y522" i="12"/>
  <c r="T522" i="12"/>
  <c r="Q522" i="12"/>
  <c r="N522" i="12"/>
  <c r="K522" i="12"/>
  <c r="AH521" i="12"/>
  <c r="AE521" i="12"/>
  <c r="Y521" i="12"/>
  <c r="T521" i="12"/>
  <c r="Q521" i="12"/>
  <c r="N521" i="12"/>
  <c r="K521" i="12"/>
  <c r="AH520" i="12"/>
  <c r="AE520" i="12"/>
  <c r="Y520" i="12"/>
  <c r="T520" i="12"/>
  <c r="Q520" i="12"/>
  <c r="N520" i="12"/>
  <c r="K520" i="12"/>
  <c r="AH519" i="12"/>
  <c r="AE519" i="12"/>
  <c r="Y519" i="12"/>
  <c r="T519" i="12"/>
  <c r="Q519" i="12"/>
  <c r="N519" i="12"/>
  <c r="K519" i="12"/>
  <c r="AH518" i="12"/>
  <c r="AE518" i="12"/>
  <c r="Y518" i="12"/>
  <c r="T518" i="12"/>
  <c r="Q518" i="12"/>
  <c r="N518" i="12"/>
  <c r="K518" i="12"/>
  <c r="AH517" i="12"/>
  <c r="AE517" i="12"/>
  <c r="Y517" i="12"/>
  <c r="T517" i="12"/>
  <c r="Q517" i="12"/>
  <c r="N517" i="12"/>
  <c r="K517" i="12"/>
  <c r="AH515" i="12"/>
  <c r="AE515" i="12"/>
  <c r="Y515" i="12"/>
  <c r="T515" i="12"/>
  <c r="Q515" i="12"/>
  <c r="N515" i="12"/>
  <c r="K515" i="12"/>
  <c r="AH514" i="12"/>
  <c r="AE514" i="12"/>
  <c r="Y514" i="12"/>
  <c r="T514" i="12"/>
  <c r="Q514" i="12"/>
  <c r="N514" i="12"/>
  <c r="K514" i="12"/>
  <c r="AH513" i="12"/>
  <c r="AE513" i="12"/>
  <c r="Y513" i="12"/>
  <c r="T513" i="12"/>
  <c r="Q513" i="12"/>
  <c r="N513" i="12"/>
  <c r="K513" i="12"/>
  <c r="AH512" i="12"/>
  <c r="AE512" i="12"/>
  <c r="Y512" i="12"/>
  <c r="T512" i="12"/>
  <c r="Q512" i="12"/>
  <c r="N512" i="12"/>
  <c r="K512" i="12"/>
  <c r="AH511" i="12"/>
  <c r="AE511" i="12"/>
  <c r="Y511" i="12"/>
  <c r="T511" i="12"/>
  <c r="Q511" i="12"/>
  <c r="N511" i="12"/>
  <c r="K511" i="12"/>
  <c r="AH510" i="12"/>
  <c r="AE510" i="12"/>
  <c r="Y510" i="12"/>
  <c r="T510" i="12"/>
  <c r="Q510" i="12"/>
  <c r="N510" i="12"/>
  <c r="K510" i="12"/>
  <c r="AH509" i="12"/>
  <c r="AE509" i="12"/>
  <c r="Y509" i="12"/>
  <c r="T509" i="12"/>
  <c r="Q509" i="12"/>
  <c r="N509" i="12"/>
  <c r="K509" i="12"/>
  <c r="AH507" i="12"/>
  <c r="AE507" i="12"/>
  <c r="Y507" i="12"/>
  <c r="T507" i="12"/>
  <c r="Q507" i="12"/>
  <c r="N507" i="12"/>
  <c r="K507" i="12"/>
  <c r="AH506" i="12"/>
  <c r="AE506" i="12"/>
  <c r="Y506" i="12"/>
  <c r="T506" i="12"/>
  <c r="Q506" i="12"/>
  <c r="N506" i="12"/>
  <c r="K506" i="12"/>
  <c r="AH505" i="12"/>
  <c r="AE505" i="12"/>
  <c r="Y505" i="12"/>
  <c r="T505" i="12"/>
  <c r="Q505" i="12"/>
  <c r="N505" i="12"/>
  <c r="K505" i="12"/>
  <c r="AH504" i="12"/>
  <c r="AE504" i="12"/>
  <c r="Y504" i="12"/>
  <c r="T504" i="12"/>
  <c r="Q504" i="12"/>
  <c r="N504" i="12"/>
  <c r="K504" i="12"/>
  <c r="AH503" i="12"/>
  <c r="AE503" i="12"/>
  <c r="Y503" i="12"/>
  <c r="T503" i="12"/>
  <c r="Q503" i="12"/>
  <c r="N503" i="12"/>
  <c r="K503" i="12"/>
  <c r="AH502" i="12"/>
  <c r="AE502" i="12"/>
  <c r="Y502" i="12"/>
  <c r="T502" i="12"/>
  <c r="Q502" i="12"/>
  <c r="N502" i="12"/>
  <c r="K502" i="12"/>
  <c r="AH501" i="12"/>
  <c r="AE501" i="12"/>
  <c r="Y501" i="12"/>
  <c r="T501" i="12"/>
  <c r="Q501" i="12"/>
  <c r="N501" i="12"/>
  <c r="K501" i="12"/>
  <c r="AH499" i="12"/>
  <c r="AE499" i="12"/>
  <c r="Y499" i="12"/>
  <c r="T499" i="12"/>
  <c r="Q499" i="12"/>
  <c r="N499" i="12"/>
  <c r="K499" i="12"/>
  <c r="AH498" i="12"/>
  <c r="AE498" i="12"/>
  <c r="Y498" i="12"/>
  <c r="T498" i="12"/>
  <c r="Q498" i="12"/>
  <c r="N498" i="12"/>
  <c r="K498" i="12"/>
  <c r="AH497" i="12"/>
  <c r="AE497" i="12"/>
  <c r="Y497" i="12"/>
  <c r="T497" i="12"/>
  <c r="Q497" i="12"/>
  <c r="N497" i="12"/>
  <c r="K497" i="12"/>
  <c r="AH496" i="12"/>
  <c r="AE496" i="12"/>
  <c r="Y496" i="12"/>
  <c r="T496" i="12"/>
  <c r="Q496" i="12"/>
  <c r="N496" i="12"/>
  <c r="K496" i="12"/>
  <c r="AH495" i="12"/>
  <c r="AE495" i="12"/>
  <c r="Y495" i="12"/>
  <c r="T495" i="12"/>
  <c r="Q495" i="12"/>
  <c r="N495" i="12"/>
  <c r="K495" i="12"/>
  <c r="AH494" i="12"/>
  <c r="AE494" i="12"/>
  <c r="Y494" i="12"/>
  <c r="T494" i="12"/>
  <c r="Q494" i="12"/>
  <c r="N494" i="12"/>
  <c r="K494" i="12"/>
  <c r="AH493" i="12"/>
  <c r="AE493" i="12"/>
  <c r="Y493" i="12"/>
  <c r="T493" i="12"/>
  <c r="Q493" i="12"/>
  <c r="N493" i="12"/>
  <c r="K493" i="12"/>
  <c r="AH491" i="12"/>
  <c r="AE491" i="12"/>
  <c r="Y491" i="12"/>
  <c r="T491" i="12"/>
  <c r="Q491" i="12"/>
  <c r="N491" i="12"/>
  <c r="K491" i="12"/>
  <c r="AH490" i="12"/>
  <c r="AE490" i="12"/>
  <c r="Y490" i="12"/>
  <c r="T490" i="12"/>
  <c r="Q490" i="12"/>
  <c r="N490" i="12"/>
  <c r="K490" i="12"/>
  <c r="AH489" i="12"/>
  <c r="AE489" i="12"/>
  <c r="Y489" i="12"/>
  <c r="T489" i="12"/>
  <c r="Q489" i="12"/>
  <c r="N489" i="12"/>
  <c r="K489" i="12"/>
  <c r="AH488" i="12"/>
  <c r="AE488" i="12"/>
  <c r="Y488" i="12"/>
  <c r="T488" i="12"/>
  <c r="Q488" i="12"/>
  <c r="N488" i="12"/>
  <c r="K488" i="12"/>
  <c r="AH487" i="12"/>
  <c r="AE487" i="12"/>
  <c r="Y487" i="12"/>
  <c r="T487" i="12"/>
  <c r="Q487" i="12"/>
  <c r="N487" i="12"/>
  <c r="K487" i="12"/>
  <c r="AH486" i="12"/>
  <c r="AE486" i="12"/>
  <c r="Y486" i="12"/>
  <c r="T486" i="12"/>
  <c r="Q486" i="12"/>
  <c r="N486" i="12"/>
  <c r="K486" i="12"/>
  <c r="AH485" i="12"/>
  <c r="AE485" i="12"/>
  <c r="Y485" i="12"/>
  <c r="T485" i="12"/>
  <c r="Q485" i="12"/>
  <c r="N485" i="12"/>
  <c r="K485" i="12"/>
  <c r="AH483" i="12"/>
  <c r="AE483" i="12"/>
  <c r="Y483" i="12"/>
  <c r="T483" i="12"/>
  <c r="Q483" i="12"/>
  <c r="N483" i="12"/>
  <c r="K483" i="12"/>
  <c r="AH482" i="12"/>
  <c r="AE482" i="12"/>
  <c r="Y482" i="12"/>
  <c r="T482" i="12"/>
  <c r="Q482" i="12"/>
  <c r="N482" i="12"/>
  <c r="K482" i="12"/>
  <c r="AH481" i="12"/>
  <c r="AE481" i="12"/>
  <c r="Y481" i="12"/>
  <c r="T481" i="12"/>
  <c r="Q481" i="12"/>
  <c r="N481" i="12"/>
  <c r="K481" i="12"/>
  <c r="AH480" i="12"/>
  <c r="AE480" i="12"/>
  <c r="Y480" i="12"/>
  <c r="T480" i="12"/>
  <c r="Q480" i="12"/>
  <c r="N480" i="12"/>
  <c r="K480" i="12"/>
  <c r="AH479" i="12"/>
  <c r="AE479" i="12"/>
  <c r="Y479" i="12"/>
  <c r="T479" i="12"/>
  <c r="Q479" i="12"/>
  <c r="N479" i="12"/>
  <c r="K479" i="12"/>
  <c r="AH478" i="12"/>
  <c r="AE478" i="12"/>
  <c r="Y478" i="12"/>
  <c r="T478" i="12"/>
  <c r="Q478" i="12"/>
  <c r="N478" i="12"/>
  <c r="K478" i="12"/>
  <c r="AH477" i="12"/>
  <c r="AE477" i="12"/>
  <c r="Y477" i="12"/>
  <c r="T477" i="12"/>
  <c r="Q477" i="12"/>
  <c r="N477" i="12"/>
  <c r="K477" i="12"/>
  <c r="AH475" i="12"/>
  <c r="AE475" i="12"/>
  <c r="Y475" i="12"/>
  <c r="T475" i="12"/>
  <c r="Q475" i="12"/>
  <c r="N475" i="12"/>
  <c r="K475" i="12"/>
  <c r="AH474" i="12"/>
  <c r="AE474" i="12"/>
  <c r="Y474" i="12"/>
  <c r="T474" i="12"/>
  <c r="Q474" i="12"/>
  <c r="N474" i="12"/>
  <c r="K474" i="12"/>
  <c r="AH473" i="12"/>
  <c r="AE473" i="12"/>
  <c r="Y473" i="12"/>
  <c r="T473" i="12"/>
  <c r="Q473" i="12"/>
  <c r="N473" i="12"/>
  <c r="K473" i="12"/>
  <c r="AH472" i="12"/>
  <c r="AE472" i="12"/>
  <c r="Y472" i="12"/>
  <c r="T472" i="12"/>
  <c r="Q472" i="12"/>
  <c r="N472" i="12"/>
  <c r="K472" i="12"/>
  <c r="AH471" i="12"/>
  <c r="AE471" i="12"/>
  <c r="Y471" i="12"/>
  <c r="T471" i="12"/>
  <c r="Q471" i="12"/>
  <c r="N471" i="12"/>
  <c r="K471" i="12"/>
  <c r="AH470" i="12"/>
  <c r="AE470" i="12"/>
  <c r="Y470" i="12"/>
  <c r="T470" i="12"/>
  <c r="Q470" i="12"/>
  <c r="N470" i="12"/>
  <c r="K470" i="12"/>
  <c r="AH469" i="12"/>
  <c r="AE469" i="12"/>
  <c r="Y469" i="12"/>
  <c r="T469" i="12"/>
  <c r="Q469" i="12"/>
  <c r="N469" i="12"/>
  <c r="K469" i="12"/>
  <c r="AH467" i="12"/>
  <c r="AE467" i="12"/>
  <c r="Y467" i="12"/>
  <c r="T467" i="12"/>
  <c r="Q467" i="12"/>
  <c r="N467" i="12"/>
  <c r="K467" i="12"/>
  <c r="AH466" i="12"/>
  <c r="AE466" i="12"/>
  <c r="Y466" i="12"/>
  <c r="T466" i="12"/>
  <c r="Q466" i="12"/>
  <c r="N466" i="12"/>
  <c r="K466" i="12"/>
  <c r="AH465" i="12"/>
  <c r="AE465" i="12"/>
  <c r="Y465" i="12"/>
  <c r="T465" i="12"/>
  <c r="Q465" i="12"/>
  <c r="N465" i="12"/>
  <c r="K465" i="12"/>
  <c r="AH464" i="12"/>
  <c r="AE464" i="12"/>
  <c r="Y464" i="12"/>
  <c r="T464" i="12"/>
  <c r="Q464" i="12"/>
  <c r="N464" i="12"/>
  <c r="K464" i="12"/>
  <c r="AH463" i="12"/>
  <c r="AE463" i="12"/>
  <c r="Y463" i="12"/>
  <c r="T463" i="12"/>
  <c r="Q463" i="12"/>
  <c r="N463" i="12"/>
  <c r="K463" i="12"/>
  <c r="AH462" i="12"/>
  <c r="AE462" i="12"/>
  <c r="Y462" i="12"/>
  <c r="T462" i="12"/>
  <c r="Q462" i="12"/>
  <c r="N462" i="12"/>
  <c r="K462" i="12"/>
  <c r="AH461" i="12"/>
  <c r="AE461" i="12"/>
  <c r="Y461" i="12"/>
  <c r="T461" i="12"/>
  <c r="Q461" i="12"/>
  <c r="N461" i="12"/>
  <c r="K461" i="12"/>
  <c r="AH459" i="12"/>
  <c r="AE459" i="12"/>
  <c r="Y459" i="12"/>
  <c r="T459" i="12"/>
  <c r="Q459" i="12"/>
  <c r="N459" i="12"/>
  <c r="K459" i="12"/>
  <c r="AH458" i="12"/>
  <c r="AE458" i="12"/>
  <c r="Y458" i="12"/>
  <c r="T458" i="12"/>
  <c r="Q458" i="12"/>
  <c r="N458" i="12"/>
  <c r="K458" i="12"/>
  <c r="AH457" i="12"/>
  <c r="AE457" i="12"/>
  <c r="Y457" i="12"/>
  <c r="T457" i="12"/>
  <c r="Q457" i="12"/>
  <c r="N457" i="12"/>
  <c r="K457" i="12"/>
  <c r="AH456" i="12"/>
  <c r="AE456" i="12"/>
  <c r="Y456" i="12"/>
  <c r="T456" i="12"/>
  <c r="Q456" i="12"/>
  <c r="N456" i="12"/>
  <c r="K456" i="12"/>
  <c r="AH455" i="12"/>
  <c r="AE455" i="12"/>
  <c r="Y455" i="12"/>
  <c r="T455" i="12"/>
  <c r="Q455" i="12"/>
  <c r="N455" i="12"/>
  <c r="K455" i="12"/>
  <c r="AH454" i="12"/>
  <c r="AE454" i="12"/>
  <c r="Y454" i="12"/>
  <c r="T454" i="12"/>
  <c r="Q454" i="12"/>
  <c r="N454" i="12"/>
  <c r="K454" i="12"/>
  <c r="AH453" i="12"/>
  <c r="AE453" i="12"/>
  <c r="Y453" i="12"/>
  <c r="T453" i="12"/>
  <c r="Q453" i="12"/>
  <c r="N453" i="12"/>
  <c r="K453" i="12"/>
  <c r="AH451" i="12"/>
  <c r="AE451" i="12"/>
  <c r="Y451" i="12"/>
  <c r="T451" i="12"/>
  <c r="Q451" i="12"/>
  <c r="N451" i="12"/>
  <c r="K451" i="12"/>
  <c r="AH450" i="12"/>
  <c r="AE450" i="12"/>
  <c r="Y450" i="12"/>
  <c r="T450" i="12"/>
  <c r="Q450" i="12"/>
  <c r="N450" i="12"/>
  <c r="K450" i="12"/>
  <c r="AH449" i="12"/>
  <c r="AE449" i="12"/>
  <c r="Y449" i="12"/>
  <c r="T449" i="12"/>
  <c r="Q449" i="12"/>
  <c r="N449" i="12"/>
  <c r="K449" i="12"/>
  <c r="AH448" i="12"/>
  <c r="AE448" i="12"/>
  <c r="Y448" i="12"/>
  <c r="T448" i="12"/>
  <c r="Q448" i="12"/>
  <c r="N448" i="12"/>
  <c r="K448" i="12"/>
  <c r="AH447" i="12"/>
  <c r="AE447" i="12"/>
  <c r="Y447" i="12"/>
  <c r="T447" i="12"/>
  <c r="Q447" i="12"/>
  <c r="N447" i="12"/>
  <c r="K447" i="12"/>
  <c r="AH446" i="12"/>
  <c r="AE446" i="12"/>
  <c r="Y446" i="12"/>
  <c r="T446" i="12"/>
  <c r="Q446" i="12"/>
  <c r="N446" i="12"/>
  <c r="K446" i="12"/>
  <c r="AH445" i="12"/>
  <c r="AE445" i="12"/>
  <c r="Y445" i="12"/>
  <c r="T445" i="12"/>
  <c r="Q445" i="12"/>
  <c r="N445" i="12"/>
  <c r="K445" i="12"/>
  <c r="AH443" i="12"/>
  <c r="AE443" i="12"/>
  <c r="Y443" i="12"/>
  <c r="T443" i="12"/>
  <c r="Q443" i="12"/>
  <c r="N443" i="12"/>
  <c r="K443" i="12"/>
  <c r="AH442" i="12"/>
  <c r="AE442" i="12"/>
  <c r="Y442" i="12"/>
  <c r="T442" i="12"/>
  <c r="Q442" i="12"/>
  <c r="N442" i="12"/>
  <c r="K442" i="12"/>
  <c r="AH441" i="12"/>
  <c r="AE441" i="12"/>
  <c r="Y441" i="12"/>
  <c r="T441" i="12"/>
  <c r="Q441" i="12"/>
  <c r="N441" i="12"/>
  <c r="K441" i="12"/>
  <c r="AH440" i="12"/>
  <c r="AE440" i="12"/>
  <c r="Y440" i="12"/>
  <c r="T440" i="12"/>
  <c r="Q440" i="12"/>
  <c r="N440" i="12"/>
  <c r="K440" i="12"/>
  <c r="AH439" i="12"/>
  <c r="AE439" i="12"/>
  <c r="Y439" i="12"/>
  <c r="T439" i="12"/>
  <c r="Q439" i="12"/>
  <c r="N439" i="12"/>
  <c r="K439" i="12"/>
  <c r="AH438" i="12"/>
  <c r="AE438" i="12"/>
  <c r="Y438" i="12"/>
  <c r="T438" i="12"/>
  <c r="Q438" i="12"/>
  <c r="N438" i="12"/>
  <c r="K438" i="12"/>
  <c r="AH437" i="12"/>
  <c r="AE437" i="12"/>
  <c r="Y437" i="12"/>
  <c r="T437" i="12"/>
  <c r="Q437" i="12"/>
  <c r="N437" i="12"/>
  <c r="K437" i="12"/>
  <c r="AH435" i="12"/>
  <c r="AE435" i="12"/>
  <c r="Y435" i="12"/>
  <c r="T435" i="12"/>
  <c r="Q435" i="12"/>
  <c r="N435" i="12"/>
  <c r="K435" i="12"/>
  <c r="AH434" i="12"/>
  <c r="AE434" i="12"/>
  <c r="Y434" i="12"/>
  <c r="T434" i="12"/>
  <c r="Q434" i="12"/>
  <c r="N434" i="12"/>
  <c r="K434" i="12"/>
  <c r="AH433" i="12"/>
  <c r="AE433" i="12"/>
  <c r="Y433" i="12"/>
  <c r="T433" i="12"/>
  <c r="Q433" i="12"/>
  <c r="N433" i="12"/>
  <c r="K433" i="12"/>
  <c r="AH432" i="12"/>
  <c r="AE432" i="12"/>
  <c r="Y432" i="12"/>
  <c r="T432" i="12"/>
  <c r="Q432" i="12"/>
  <c r="N432" i="12"/>
  <c r="K432" i="12"/>
  <c r="AH431" i="12"/>
  <c r="AE431" i="12"/>
  <c r="Y431" i="12"/>
  <c r="T431" i="12"/>
  <c r="Q431" i="12"/>
  <c r="N431" i="12"/>
  <c r="K431" i="12"/>
  <c r="AH430" i="12"/>
  <c r="AE430" i="12"/>
  <c r="Y430" i="12"/>
  <c r="T430" i="12"/>
  <c r="Q430" i="12"/>
  <c r="N430" i="12"/>
  <c r="K430" i="12"/>
  <c r="AH429" i="12"/>
  <c r="AE429" i="12"/>
  <c r="Y429" i="12"/>
  <c r="T429" i="12"/>
  <c r="Q429" i="12"/>
  <c r="N429" i="12"/>
  <c r="K429" i="12"/>
  <c r="AH427" i="12"/>
  <c r="AE427" i="12"/>
  <c r="Y427" i="12"/>
  <c r="T427" i="12"/>
  <c r="Q427" i="12"/>
  <c r="N427" i="12"/>
  <c r="K427" i="12"/>
  <c r="AH426" i="12"/>
  <c r="AE426" i="12"/>
  <c r="Y426" i="12"/>
  <c r="T426" i="12"/>
  <c r="Q426" i="12"/>
  <c r="N426" i="12"/>
  <c r="K426" i="12"/>
  <c r="AH425" i="12"/>
  <c r="AE425" i="12"/>
  <c r="Y425" i="12"/>
  <c r="T425" i="12"/>
  <c r="Q425" i="12"/>
  <c r="N425" i="12"/>
  <c r="K425" i="12"/>
  <c r="AH424" i="12"/>
  <c r="AE424" i="12"/>
  <c r="Y424" i="12"/>
  <c r="T424" i="12"/>
  <c r="Q424" i="12"/>
  <c r="N424" i="12"/>
  <c r="K424" i="12"/>
  <c r="AH423" i="12"/>
  <c r="AE423" i="12"/>
  <c r="Y423" i="12"/>
  <c r="T423" i="12"/>
  <c r="Q423" i="12"/>
  <c r="N423" i="12"/>
  <c r="K423" i="12"/>
  <c r="AH422" i="12"/>
  <c r="AE422" i="12"/>
  <c r="Y422" i="12"/>
  <c r="T422" i="12"/>
  <c r="Q422" i="12"/>
  <c r="N422" i="12"/>
  <c r="K422" i="12"/>
  <c r="AH421" i="12"/>
  <c r="AE421" i="12"/>
  <c r="Y421" i="12"/>
  <c r="T421" i="12"/>
  <c r="Q421" i="12"/>
  <c r="N421" i="12"/>
  <c r="K421" i="12"/>
  <c r="AH419" i="12"/>
  <c r="AE419" i="12"/>
  <c r="Y419" i="12"/>
  <c r="T419" i="12"/>
  <c r="Q419" i="12"/>
  <c r="N419" i="12"/>
  <c r="K419" i="12"/>
  <c r="AH418" i="12"/>
  <c r="AE418" i="12"/>
  <c r="Y418" i="12"/>
  <c r="T418" i="12"/>
  <c r="Q418" i="12"/>
  <c r="N418" i="12"/>
  <c r="K418" i="12"/>
  <c r="AH417" i="12"/>
  <c r="AE417" i="12"/>
  <c r="Y417" i="12"/>
  <c r="T417" i="12"/>
  <c r="Q417" i="12"/>
  <c r="N417" i="12"/>
  <c r="K417" i="12"/>
  <c r="AH416" i="12"/>
  <c r="AE416" i="12"/>
  <c r="Y416" i="12"/>
  <c r="T416" i="12"/>
  <c r="Q416" i="12"/>
  <c r="N416" i="12"/>
  <c r="K416" i="12"/>
  <c r="AH415" i="12"/>
  <c r="AE415" i="12"/>
  <c r="Y415" i="12"/>
  <c r="T415" i="12"/>
  <c r="Q415" i="12"/>
  <c r="N415" i="12"/>
  <c r="K415" i="12"/>
  <c r="AH414" i="12"/>
  <c r="AE414" i="12"/>
  <c r="Y414" i="12"/>
  <c r="T414" i="12"/>
  <c r="Q414" i="12"/>
  <c r="N414" i="12"/>
  <c r="K414" i="12"/>
  <c r="AH413" i="12"/>
  <c r="AE413" i="12"/>
  <c r="Y413" i="12"/>
  <c r="T413" i="12"/>
  <c r="Q413" i="12"/>
  <c r="N413" i="12"/>
  <c r="K413" i="12"/>
  <c r="AH411" i="12"/>
  <c r="AE411" i="12"/>
  <c r="Y411" i="12"/>
  <c r="T411" i="12"/>
  <c r="Q411" i="12"/>
  <c r="N411" i="12"/>
  <c r="K411" i="12"/>
  <c r="AH410" i="12"/>
  <c r="AE410" i="12"/>
  <c r="Y410" i="12"/>
  <c r="T410" i="12"/>
  <c r="Q410" i="12"/>
  <c r="N410" i="12"/>
  <c r="K410" i="12"/>
  <c r="AH409" i="12"/>
  <c r="AE409" i="12"/>
  <c r="Y409" i="12"/>
  <c r="T409" i="12"/>
  <c r="Q409" i="12"/>
  <c r="N409" i="12"/>
  <c r="K409" i="12"/>
  <c r="AH408" i="12"/>
  <c r="AE408" i="12"/>
  <c r="Y408" i="12"/>
  <c r="T408" i="12"/>
  <c r="Q408" i="12"/>
  <c r="N408" i="12"/>
  <c r="K408" i="12"/>
  <c r="AH407" i="12"/>
  <c r="AE407" i="12"/>
  <c r="Y407" i="12"/>
  <c r="T407" i="12"/>
  <c r="Q407" i="12"/>
  <c r="N407" i="12"/>
  <c r="K407" i="12"/>
  <c r="AH406" i="12"/>
  <c r="AE406" i="12"/>
  <c r="Y406" i="12"/>
  <c r="T406" i="12"/>
  <c r="Q406" i="12"/>
  <c r="N406" i="12"/>
  <c r="K406" i="12"/>
  <c r="AH405" i="12"/>
  <c r="AE405" i="12"/>
  <c r="Y405" i="12"/>
  <c r="T405" i="12"/>
  <c r="Q405" i="12"/>
  <c r="N405" i="12"/>
  <c r="K405" i="12"/>
  <c r="AH403" i="12"/>
  <c r="AE403" i="12"/>
  <c r="Y403" i="12"/>
  <c r="T403" i="12"/>
  <c r="Q403" i="12"/>
  <c r="N403" i="12"/>
  <c r="K403" i="12"/>
  <c r="AH402" i="12"/>
  <c r="AE402" i="12"/>
  <c r="Y402" i="12"/>
  <c r="T402" i="12"/>
  <c r="Q402" i="12"/>
  <c r="N402" i="12"/>
  <c r="K402" i="12"/>
  <c r="AH401" i="12"/>
  <c r="AE401" i="12"/>
  <c r="Y401" i="12"/>
  <c r="T401" i="12"/>
  <c r="Q401" i="12"/>
  <c r="N401" i="12"/>
  <c r="K401" i="12"/>
  <c r="AH400" i="12"/>
  <c r="AE400" i="12"/>
  <c r="Y400" i="12"/>
  <c r="T400" i="12"/>
  <c r="Q400" i="12"/>
  <c r="N400" i="12"/>
  <c r="K400" i="12"/>
  <c r="AH399" i="12"/>
  <c r="AE399" i="12"/>
  <c r="Y399" i="12"/>
  <c r="T399" i="12"/>
  <c r="Q399" i="12"/>
  <c r="N399" i="12"/>
  <c r="K399" i="12"/>
  <c r="AH398" i="12"/>
  <c r="AE398" i="12"/>
  <c r="Y398" i="12"/>
  <c r="T398" i="12"/>
  <c r="Q398" i="12"/>
  <c r="N398" i="12"/>
  <c r="K398" i="12"/>
  <c r="AH397" i="12"/>
  <c r="AE397" i="12"/>
  <c r="Y397" i="12"/>
  <c r="T397" i="12"/>
  <c r="Q397" i="12"/>
  <c r="N397" i="12"/>
  <c r="K397" i="12"/>
  <c r="AH395" i="12"/>
  <c r="AE395" i="12"/>
  <c r="Y395" i="12"/>
  <c r="T395" i="12"/>
  <c r="Q395" i="12"/>
  <c r="N395" i="12"/>
  <c r="K395" i="12"/>
  <c r="AH394" i="12"/>
  <c r="AE394" i="12"/>
  <c r="Y394" i="12"/>
  <c r="T394" i="12"/>
  <c r="Q394" i="12"/>
  <c r="N394" i="12"/>
  <c r="K394" i="12"/>
  <c r="AH393" i="12"/>
  <c r="AE393" i="12"/>
  <c r="Y393" i="12"/>
  <c r="T393" i="12"/>
  <c r="Q393" i="12"/>
  <c r="N393" i="12"/>
  <c r="K393" i="12"/>
  <c r="AH392" i="12"/>
  <c r="AE392" i="12"/>
  <c r="Y392" i="12"/>
  <c r="T392" i="12"/>
  <c r="Q392" i="12"/>
  <c r="N392" i="12"/>
  <c r="K392" i="12"/>
  <c r="AH391" i="12"/>
  <c r="AE391" i="12"/>
  <c r="Y391" i="12"/>
  <c r="T391" i="12"/>
  <c r="Q391" i="12"/>
  <c r="N391" i="12"/>
  <c r="K391" i="12"/>
  <c r="AH390" i="12"/>
  <c r="AE390" i="12"/>
  <c r="Y390" i="12"/>
  <c r="T390" i="12"/>
  <c r="Q390" i="12"/>
  <c r="N390" i="12"/>
  <c r="K390" i="12"/>
  <c r="AH389" i="12"/>
  <c r="AE389" i="12"/>
  <c r="Y389" i="12"/>
  <c r="T389" i="12"/>
  <c r="Q389" i="12"/>
  <c r="N389" i="12"/>
  <c r="K389" i="12"/>
  <c r="AH387" i="12"/>
  <c r="AE387" i="12"/>
  <c r="Y387" i="12"/>
  <c r="T387" i="12"/>
  <c r="Q387" i="12"/>
  <c r="N387" i="12"/>
  <c r="K387" i="12"/>
  <c r="AH386" i="12"/>
  <c r="AE386" i="12"/>
  <c r="Y386" i="12"/>
  <c r="T386" i="12"/>
  <c r="Q386" i="12"/>
  <c r="N386" i="12"/>
  <c r="K386" i="12"/>
  <c r="AH385" i="12"/>
  <c r="AE385" i="12"/>
  <c r="Y385" i="12"/>
  <c r="T385" i="12"/>
  <c r="Q385" i="12"/>
  <c r="N385" i="12"/>
  <c r="K385" i="12"/>
  <c r="AH384" i="12"/>
  <c r="AE384" i="12"/>
  <c r="Y384" i="12"/>
  <c r="T384" i="12"/>
  <c r="Q384" i="12"/>
  <c r="N384" i="12"/>
  <c r="K384" i="12"/>
  <c r="AH383" i="12"/>
  <c r="AE383" i="12"/>
  <c r="Y383" i="12"/>
  <c r="T383" i="12"/>
  <c r="Q383" i="12"/>
  <c r="N383" i="12"/>
  <c r="K383" i="12"/>
  <c r="AH382" i="12"/>
  <c r="AE382" i="12"/>
  <c r="Y382" i="12"/>
  <c r="T382" i="12"/>
  <c r="Q382" i="12"/>
  <c r="N382" i="12"/>
  <c r="K382" i="12"/>
  <c r="AH381" i="12"/>
  <c r="AE381" i="12"/>
  <c r="Y381" i="12"/>
  <c r="T381" i="12"/>
  <c r="Q381" i="12"/>
  <c r="N381" i="12"/>
  <c r="K381" i="12"/>
  <c r="AH379" i="12"/>
  <c r="AE379" i="12"/>
  <c r="Y379" i="12"/>
  <c r="T379" i="12"/>
  <c r="Q379" i="12"/>
  <c r="N379" i="12"/>
  <c r="K379" i="12"/>
  <c r="AH378" i="12"/>
  <c r="AE378" i="12"/>
  <c r="Y378" i="12"/>
  <c r="T378" i="12"/>
  <c r="Q378" i="12"/>
  <c r="N378" i="12"/>
  <c r="K378" i="12"/>
  <c r="AH377" i="12"/>
  <c r="AE377" i="12"/>
  <c r="Y377" i="12"/>
  <c r="T377" i="12"/>
  <c r="Q377" i="12"/>
  <c r="N377" i="12"/>
  <c r="K377" i="12"/>
  <c r="AH376" i="12"/>
  <c r="AE376" i="12"/>
  <c r="Y376" i="12"/>
  <c r="T376" i="12"/>
  <c r="Q376" i="12"/>
  <c r="N376" i="12"/>
  <c r="K376" i="12"/>
  <c r="AH375" i="12"/>
  <c r="AE375" i="12"/>
  <c r="Y375" i="12"/>
  <c r="T375" i="12"/>
  <c r="Q375" i="12"/>
  <c r="N375" i="12"/>
  <c r="K375" i="12"/>
  <c r="AH374" i="12"/>
  <c r="AE374" i="12"/>
  <c r="Y374" i="12"/>
  <c r="T374" i="12"/>
  <c r="Q374" i="12"/>
  <c r="N374" i="12"/>
  <c r="K374" i="12"/>
  <c r="AH373" i="12"/>
  <c r="AE373" i="12"/>
  <c r="Y373" i="12"/>
  <c r="T373" i="12"/>
  <c r="Q373" i="12"/>
  <c r="N373" i="12"/>
  <c r="K373" i="12"/>
  <c r="AH371" i="12"/>
  <c r="AE371" i="12"/>
  <c r="Y371" i="12"/>
  <c r="T371" i="12"/>
  <c r="Q371" i="12"/>
  <c r="N371" i="12"/>
  <c r="K371" i="12"/>
  <c r="AH370" i="12"/>
  <c r="AE370" i="12"/>
  <c r="Y370" i="12"/>
  <c r="T370" i="12"/>
  <c r="Q370" i="12"/>
  <c r="N370" i="12"/>
  <c r="K370" i="12"/>
  <c r="AH369" i="12"/>
  <c r="AE369" i="12"/>
  <c r="Y369" i="12"/>
  <c r="T369" i="12"/>
  <c r="Q369" i="12"/>
  <c r="N369" i="12"/>
  <c r="K369" i="12"/>
  <c r="AH368" i="12"/>
  <c r="AE368" i="12"/>
  <c r="Y368" i="12"/>
  <c r="T368" i="12"/>
  <c r="Q368" i="12"/>
  <c r="N368" i="12"/>
  <c r="K368" i="12"/>
  <c r="AH367" i="12"/>
  <c r="AE367" i="12"/>
  <c r="Y367" i="12"/>
  <c r="T367" i="12"/>
  <c r="Q367" i="12"/>
  <c r="N367" i="12"/>
  <c r="K367" i="12"/>
  <c r="AH366" i="12"/>
  <c r="AE366" i="12"/>
  <c r="Y366" i="12"/>
  <c r="T366" i="12"/>
  <c r="Q366" i="12"/>
  <c r="N366" i="12"/>
  <c r="K366" i="12"/>
  <c r="AH365" i="12"/>
  <c r="AE365" i="12"/>
  <c r="Y365" i="12"/>
  <c r="T365" i="12"/>
  <c r="Q365" i="12"/>
  <c r="N365" i="12"/>
  <c r="K365" i="12"/>
  <c r="AH363" i="12"/>
  <c r="AE363" i="12"/>
  <c r="Y363" i="12"/>
  <c r="T363" i="12"/>
  <c r="Q363" i="12"/>
  <c r="N363" i="12"/>
  <c r="K363" i="12"/>
  <c r="AH362" i="12"/>
  <c r="AE362" i="12"/>
  <c r="Y362" i="12"/>
  <c r="T362" i="12"/>
  <c r="Q362" i="12"/>
  <c r="N362" i="12"/>
  <c r="K362" i="12"/>
  <c r="AH361" i="12"/>
  <c r="AE361" i="12"/>
  <c r="Y361" i="12"/>
  <c r="T361" i="12"/>
  <c r="Q361" i="12"/>
  <c r="N361" i="12"/>
  <c r="K361" i="12"/>
  <c r="AH360" i="12"/>
  <c r="AE360" i="12"/>
  <c r="Y360" i="12"/>
  <c r="T360" i="12"/>
  <c r="Q360" i="12"/>
  <c r="N360" i="12"/>
  <c r="K360" i="12"/>
  <c r="AH359" i="12"/>
  <c r="AE359" i="12"/>
  <c r="Y359" i="12"/>
  <c r="T359" i="12"/>
  <c r="Q359" i="12"/>
  <c r="N359" i="12"/>
  <c r="K359" i="12"/>
  <c r="AH358" i="12"/>
  <c r="AE358" i="12"/>
  <c r="Y358" i="12"/>
  <c r="T358" i="12"/>
  <c r="Q358" i="12"/>
  <c r="N358" i="12"/>
  <c r="K358" i="12"/>
  <c r="AH357" i="12"/>
  <c r="AE357" i="12"/>
  <c r="Y357" i="12"/>
  <c r="T357" i="12"/>
  <c r="Q357" i="12"/>
  <c r="N357" i="12"/>
  <c r="K357" i="12"/>
  <c r="AH355" i="12"/>
  <c r="AE355" i="12"/>
  <c r="Y355" i="12"/>
  <c r="T355" i="12"/>
  <c r="Q355" i="12"/>
  <c r="N355" i="12"/>
  <c r="K355" i="12"/>
  <c r="AH354" i="12"/>
  <c r="AE354" i="12"/>
  <c r="Y354" i="12"/>
  <c r="T354" i="12"/>
  <c r="Q354" i="12"/>
  <c r="N354" i="12"/>
  <c r="K354" i="12"/>
  <c r="AH353" i="12"/>
  <c r="AE353" i="12"/>
  <c r="Y353" i="12"/>
  <c r="T353" i="12"/>
  <c r="Q353" i="12"/>
  <c r="N353" i="12"/>
  <c r="K353" i="12"/>
  <c r="AH352" i="12"/>
  <c r="AE352" i="12"/>
  <c r="Y352" i="12"/>
  <c r="T352" i="12"/>
  <c r="Q352" i="12"/>
  <c r="N352" i="12"/>
  <c r="K352" i="12"/>
  <c r="AH351" i="12"/>
  <c r="AE351" i="12"/>
  <c r="Y351" i="12"/>
  <c r="T351" i="12"/>
  <c r="Q351" i="12"/>
  <c r="N351" i="12"/>
  <c r="K351" i="12"/>
  <c r="AH350" i="12"/>
  <c r="AE350" i="12"/>
  <c r="Y350" i="12"/>
  <c r="T350" i="12"/>
  <c r="Q350" i="12"/>
  <c r="N350" i="12"/>
  <c r="K350" i="12"/>
  <c r="AH349" i="12"/>
  <c r="AE349" i="12"/>
  <c r="Y349" i="12"/>
  <c r="T349" i="12"/>
  <c r="Q349" i="12"/>
  <c r="N349" i="12"/>
  <c r="K349" i="12"/>
  <c r="AH347" i="12"/>
  <c r="AE347" i="12"/>
  <c r="Y347" i="12"/>
  <c r="T347" i="12"/>
  <c r="Q347" i="12"/>
  <c r="N347" i="12"/>
  <c r="K347" i="12"/>
  <c r="AH346" i="12"/>
  <c r="AE346" i="12"/>
  <c r="Y346" i="12"/>
  <c r="T346" i="12"/>
  <c r="Q346" i="12"/>
  <c r="N346" i="12"/>
  <c r="K346" i="12"/>
  <c r="AH345" i="12"/>
  <c r="AE345" i="12"/>
  <c r="Y345" i="12"/>
  <c r="T345" i="12"/>
  <c r="Q345" i="12"/>
  <c r="N345" i="12"/>
  <c r="K345" i="12"/>
  <c r="AH344" i="12"/>
  <c r="AE344" i="12"/>
  <c r="Y344" i="12"/>
  <c r="T344" i="12"/>
  <c r="Q344" i="12"/>
  <c r="N344" i="12"/>
  <c r="K344" i="12"/>
  <c r="AH343" i="12"/>
  <c r="AE343" i="12"/>
  <c r="Y343" i="12"/>
  <c r="T343" i="12"/>
  <c r="Q343" i="12"/>
  <c r="N343" i="12"/>
  <c r="K343" i="12"/>
  <c r="AH342" i="12"/>
  <c r="AE342" i="12"/>
  <c r="Y342" i="12"/>
  <c r="T342" i="12"/>
  <c r="Q342" i="12"/>
  <c r="N342" i="12"/>
  <c r="K342" i="12"/>
  <c r="AH341" i="12"/>
  <c r="AE341" i="12"/>
  <c r="Y341" i="12"/>
  <c r="T341" i="12"/>
  <c r="Q341" i="12"/>
  <c r="N341" i="12"/>
  <c r="K341" i="12"/>
  <c r="AH339" i="12"/>
  <c r="AE339" i="12"/>
  <c r="Y339" i="12"/>
  <c r="T339" i="12"/>
  <c r="Q339" i="12"/>
  <c r="N339" i="12"/>
  <c r="K339" i="12"/>
  <c r="AH338" i="12"/>
  <c r="AE338" i="12"/>
  <c r="Y338" i="12"/>
  <c r="T338" i="12"/>
  <c r="Q338" i="12"/>
  <c r="N338" i="12"/>
  <c r="K338" i="12"/>
  <c r="AH337" i="12"/>
  <c r="AE337" i="12"/>
  <c r="Y337" i="12"/>
  <c r="T337" i="12"/>
  <c r="Q337" i="12"/>
  <c r="N337" i="12"/>
  <c r="K337" i="12"/>
  <c r="AH336" i="12"/>
  <c r="AE336" i="12"/>
  <c r="Y336" i="12"/>
  <c r="T336" i="12"/>
  <c r="Q336" i="12"/>
  <c r="N336" i="12"/>
  <c r="K336" i="12"/>
  <c r="AH335" i="12"/>
  <c r="AE335" i="12"/>
  <c r="Y335" i="12"/>
  <c r="T335" i="12"/>
  <c r="Q335" i="12"/>
  <c r="N335" i="12"/>
  <c r="K335" i="12"/>
  <c r="AH334" i="12"/>
  <c r="AE334" i="12"/>
  <c r="Y334" i="12"/>
  <c r="T334" i="12"/>
  <c r="Q334" i="12"/>
  <c r="N334" i="12"/>
  <c r="K334" i="12"/>
  <c r="AH333" i="12"/>
  <c r="AE333" i="12"/>
  <c r="Y333" i="12"/>
  <c r="T333" i="12"/>
  <c r="Q333" i="12"/>
  <c r="N333" i="12"/>
  <c r="K333" i="12"/>
  <c r="AH331" i="12"/>
  <c r="AE331" i="12"/>
  <c r="Y331" i="12"/>
  <c r="T331" i="12"/>
  <c r="Q331" i="12"/>
  <c r="N331" i="12"/>
  <c r="K331" i="12"/>
  <c r="AH330" i="12"/>
  <c r="AE330" i="12"/>
  <c r="Y330" i="12"/>
  <c r="T330" i="12"/>
  <c r="Q330" i="12"/>
  <c r="N330" i="12"/>
  <c r="K330" i="12"/>
  <c r="AH329" i="12"/>
  <c r="AE329" i="12"/>
  <c r="Y329" i="12"/>
  <c r="T329" i="12"/>
  <c r="Q329" i="12"/>
  <c r="N329" i="12"/>
  <c r="K329" i="12"/>
  <c r="AH328" i="12"/>
  <c r="AE328" i="12"/>
  <c r="Y328" i="12"/>
  <c r="T328" i="12"/>
  <c r="Q328" i="12"/>
  <c r="N328" i="12"/>
  <c r="K328" i="12"/>
  <c r="AH327" i="12"/>
  <c r="AE327" i="12"/>
  <c r="Y327" i="12"/>
  <c r="T327" i="12"/>
  <c r="Q327" i="12"/>
  <c r="N327" i="12"/>
  <c r="K327" i="12"/>
  <c r="AH326" i="12"/>
  <c r="AE326" i="12"/>
  <c r="Y326" i="12"/>
  <c r="T326" i="12"/>
  <c r="Q326" i="12"/>
  <c r="N326" i="12"/>
  <c r="K326" i="12"/>
  <c r="AH325" i="12"/>
  <c r="AE325" i="12"/>
  <c r="Y325" i="12"/>
  <c r="T325" i="12"/>
  <c r="Q325" i="12"/>
  <c r="N325" i="12"/>
  <c r="K325" i="12"/>
  <c r="AH323" i="12"/>
  <c r="AE323" i="12"/>
  <c r="Y323" i="12"/>
  <c r="T323" i="12"/>
  <c r="Q323" i="12"/>
  <c r="N323" i="12"/>
  <c r="K323" i="12"/>
  <c r="AH322" i="12"/>
  <c r="AE322" i="12"/>
  <c r="Y322" i="12"/>
  <c r="T322" i="12"/>
  <c r="Q322" i="12"/>
  <c r="N322" i="12"/>
  <c r="K322" i="12"/>
  <c r="AH321" i="12"/>
  <c r="AE321" i="12"/>
  <c r="Y321" i="12"/>
  <c r="T321" i="12"/>
  <c r="Q321" i="12"/>
  <c r="N321" i="12"/>
  <c r="K321" i="12"/>
  <c r="AH320" i="12"/>
  <c r="AE320" i="12"/>
  <c r="Y320" i="12"/>
  <c r="T320" i="12"/>
  <c r="Q320" i="12"/>
  <c r="N320" i="12"/>
  <c r="K320" i="12"/>
  <c r="AH319" i="12"/>
  <c r="AE319" i="12"/>
  <c r="Y319" i="12"/>
  <c r="T319" i="12"/>
  <c r="Q319" i="12"/>
  <c r="N319" i="12"/>
  <c r="K319" i="12"/>
  <c r="AH318" i="12"/>
  <c r="AE318" i="12"/>
  <c r="Y318" i="12"/>
  <c r="T318" i="12"/>
  <c r="Q318" i="12"/>
  <c r="N318" i="12"/>
  <c r="K318" i="12"/>
  <c r="AH317" i="12"/>
  <c r="AE317" i="12"/>
  <c r="Y317" i="12"/>
  <c r="T317" i="12"/>
  <c r="Q317" i="12"/>
  <c r="N317" i="12"/>
  <c r="K317" i="12"/>
  <c r="AH315" i="12"/>
  <c r="AE315" i="12"/>
  <c r="Y315" i="12"/>
  <c r="T315" i="12"/>
  <c r="Q315" i="12"/>
  <c r="N315" i="12"/>
  <c r="K315" i="12"/>
  <c r="AH314" i="12"/>
  <c r="AE314" i="12"/>
  <c r="Y314" i="12"/>
  <c r="T314" i="12"/>
  <c r="Q314" i="12"/>
  <c r="N314" i="12"/>
  <c r="K314" i="12"/>
  <c r="AH313" i="12"/>
  <c r="AE313" i="12"/>
  <c r="Y313" i="12"/>
  <c r="T313" i="12"/>
  <c r="Q313" i="12"/>
  <c r="N313" i="12"/>
  <c r="K313" i="12"/>
  <c r="AH312" i="12"/>
  <c r="AE312" i="12"/>
  <c r="Y312" i="12"/>
  <c r="T312" i="12"/>
  <c r="Q312" i="12"/>
  <c r="N312" i="12"/>
  <c r="K312" i="12"/>
  <c r="AH311" i="12"/>
  <c r="AE311" i="12"/>
  <c r="Y311" i="12"/>
  <c r="T311" i="12"/>
  <c r="Q311" i="12"/>
  <c r="N311" i="12"/>
  <c r="K311" i="12"/>
  <c r="AH310" i="12"/>
  <c r="AE310" i="12"/>
  <c r="Y310" i="12"/>
  <c r="T310" i="12"/>
  <c r="Q310" i="12"/>
  <c r="N310" i="12"/>
  <c r="K310" i="12"/>
  <c r="AH309" i="12"/>
  <c r="AE309" i="12"/>
  <c r="Y309" i="12"/>
  <c r="T309" i="12"/>
  <c r="Q309" i="12"/>
  <c r="N309" i="12"/>
  <c r="K309" i="12"/>
  <c r="AH307" i="12"/>
  <c r="AE307" i="12"/>
  <c r="Y307" i="12"/>
  <c r="T307" i="12"/>
  <c r="Q307" i="12"/>
  <c r="N307" i="12"/>
  <c r="K307" i="12"/>
  <c r="AH306" i="12"/>
  <c r="AE306" i="12"/>
  <c r="Y306" i="12"/>
  <c r="T306" i="12"/>
  <c r="Q306" i="12"/>
  <c r="N306" i="12"/>
  <c r="K306" i="12"/>
  <c r="AH305" i="12"/>
  <c r="AE305" i="12"/>
  <c r="Y305" i="12"/>
  <c r="T305" i="12"/>
  <c r="Q305" i="12"/>
  <c r="N305" i="12"/>
  <c r="K305" i="12"/>
  <c r="AH304" i="12"/>
  <c r="AE304" i="12"/>
  <c r="Y304" i="12"/>
  <c r="T304" i="12"/>
  <c r="Q304" i="12"/>
  <c r="N304" i="12"/>
  <c r="K304" i="12"/>
  <c r="AH303" i="12"/>
  <c r="AE303" i="12"/>
  <c r="Y303" i="12"/>
  <c r="T303" i="12"/>
  <c r="Q303" i="12"/>
  <c r="N303" i="12"/>
  <c r="K303" i="12"/>
  <c r="AH302" i="12"/>
  <c r="AE302" i="12"/>
  <c r="Y302" i="12"/>
  <c r="T302" i="12"/>
  <c r="Q302" i="12"/>
  <c r="N302" i="12"/>
  <c r="K302" i="12"/>
  <c r="AH301" i="12"/>
  <c r="AE301" i="12"/>
  <c r="Y301" i="12"/>
  <c r="T301" i="12"/>
  <c r="Q301" i="12"/>
  <c r="N301" i="12"/>
  <c r="K301" i="12"/>
  <c r="AH299" i="12"/>
  <c r="AE299" i="12"/>
  <c r="Y299" i="12"/>
  <c r="T299" i="12"/>
  <c r="Q299" i="12"/>
  <c r="N299" i="12"/>
  <c r="K299" i="12"/>
  <c r="AH298" i="12"/>
  <c r="AE298" i="12"/>
  <c r="Y298" i="12"/>
  <c r="T298" i="12"/>
  <c r="Q298" i="12"/>
  <c r="N298" i="12"/>
  <c r="K298" i="12"/>
  <c r="AH297" i="12"/>
  <c r="AE297" i="12"/>
  <c r="Y297" i="12"/>
  <c r="T297" i="12"/>
  <c r="Q297" i="12"/>
  <c r="N297" i="12"/>
  <c r="K297" i="12"/>
  <c r="AH296" i="12"/>
  <c r="AE296" i="12"/>
  <c r="Y296" i="12"/>
  <c r="T296" i="12"/>
  <c r="Q296" i="12"/>
  <c r="N296" i="12"/>
  <c r="K296" i="12"/>
  <c r="AH295" i="12"/>
  <c r="AE295" i="12"/>
  <c r="Y295" i="12"/>
  <c r="T295" i="12"/>
  <c r="Q295" i="12"/>
  <c r="N295" i="12"/>
  <c r="K295" i="12"/>
  <c r="AH294" i="12"/>
  <c r="AE294" i="12"/>
  <c r="Y294" i="12"/>
  <c r="T294" i="12"/>
  <c r="Q294" i="12"/>
  <c r="N294" i="12"/>
  <c r="K294" i="12"/>
  <c r="AH293" i="12"/>
  <c r="AE293" i="12"/>
  <c r="Y293" i="12"/>
  <c r="T293" i="12"/>
  <c r="Q293" i="12"/>
  <c r="N293" i="12"/>
  <c r="K293" i="12"/>
  <c r="AH291" i="12"/>
  <c r="AE291" i="12"/>
  <c r="Y291" i="12"/>
  <c r="T291" i="12"/>
  <c r="Q291" i="12"/>
  <c r="N291" i="12"/>
  <c r="K291" i="12"/>
  <c r="AH290" i="12"/>
  <c r="AE290" i="12"/>
  <c r="Y290" i="12"/>
  <c r="T290" i="12"/>
  <c r="Q290" i="12"/>
  <c r="N290" i="12"/>
  <c r="K290" i="12"/>
  <c r="AH289" i="12"/>
  <c r="AE289" i="12"/>
  <c r="Y289" i="12"/>
  <c r="T289" i="12"/>
  <c r="Q289" i="12"/>
  <c r="N289" i="12"/>
  <c r="K289" i="12"/>
  <c r="AH288" i="12"/>
  <c r="AE288" i="12"/>
  <c r="Y288" i="12"/>
  <c r="T288" i="12"/>
  <c r="Q288" i="12"/>
  <c r="N288" i="12"/>
  <c r="K288" i="12"/>
  <c r="AH287" i="12"/>
  <c r="AE287" i="12"/>
  <c r="Y287" i="12"/>
  <c r="T287" i="12"/>
  <c r="Q287" i="12"/>
  <c r="N287" i="12"/>
  <c r="K287" i="12"/>
  <c r="AH286" i="12"/>
  <c r="AE286" i="12"/>
  <c r="Y286" i="12"/>
  <c r="T286" i="12"/>
  <c r="Q286" i="12"/>
  <c r="N286" i="12"/>
  <c r="K286" i="12"/>
  <c r="AH285" i="12"/>
  <c r="AE285" i="12"/>
  <c r="Y285" i="12"/>
  <c r="T285" i="12"/>
  <c r="Q285" i="12"/>
  <c r="N285" i="12"/>
  <c r="K285" i="12"/>
  <c r="AH283" i="12"/>
  <c r="AE283" i="12"/>
  <c r="Y283" i="12"/>
  <c r="T283" i="12"/>
  <c r="Q283" i="12"/>
  <c r="N283" i="12"/>
  <c r="K283" i="12"/>
  <c r="AH282" i="12"/>
  <c r="AE282" i="12"/>
  <c r="Y282" i="12"/>
  <c r="T282" i="12"/>
  <c r="Q282" i="12"/>
  <c r="N282" i="12"/>
  <c r="K282" i="12"/>
  <c r="AH281" i="12"/>
  <c r="AE281" i="12"/>
  <c r="Y281" i="12"/>
  <c r="T281" i="12"/>
  <c r="Q281" i="12"/>
  <c r="N281" i="12"/>
  <c r="K281" i="12"/>
  <c r="AH280" i="12"/>
  <c r="AE280" i="12"/>
  <c r="Y280" i="12"/>
  <c r="T280" i="12"/>
  <c r="Q280" i="12"/>
  <c r="N280" i="12"/>
  <c r="K280" i="12"/>
  <c r="AH279" i="12"/>
  <c r="AE279" i="12"/>
  <c r="Y279" i="12"/>
  <c r="T279" i="12"/>
  <c r="Q279" i="12"/>
  <c r="N279" i="12"/>
  <c r="K279" i="12"/>
  <c r="AH278" i="12"/>
  <c r="AE278" i="12"/>
  <c r="Y278" i="12"/>
  <c r="T278" i="12"/>
  <c r="Q278" i="12"/>
  <c r="N278" i="12"/>
  <c r="K278" i="12"/>
  <c r="AH277" i="12"/>
  <c r="AE277" i="12"/>
  <c r="Y277" i="12"/>
  <c r="T277" i="12"/>
  <c r="Q277" i="12"/>
  <c r="N277" i="12"/>
  <c r="K277" i="12"/>
  <c r="AH275" i="12"/>
  <c r="AE275" i="12"/>
  <c r="Y275" i="12"/>
  <c r="T275" i="12"/>
  <c r="Q275" i="12"/>
  <c r="N275" i="12"/>
  <c r="K275" i="12"/>
  <c r="AH274" i="12"/>
  <c r="AE274" i="12"/>
  <c r="Y274" i="12"/>
  <c r="T274" i="12"/>
  <c r="Q274" i="12"/>
  <c r="N274" i="12"/>
  <c r="K274" i="12"/>
  <c r="AH273" i="12"/>
  <c r="AE273" i="12"/>
  <c r="Y273" i="12"/>
  <c r="T273" i="12"/>
  <c r="Q273" i="12"/>
  <c r="N273" i="12"/>
  <c r="K273" i="12"/>
  <c r="AH272" i="12"/>
  <c r="AE272" i="12"/>
  <c r="Y272" i="12"/>
  <c r="T272" i="12"/>
  <c r="Q272" i="12"/>
  <c r="N272" i="12"/>
  <c r="K272" i="12"/>
  <c r="AH271" i="12"/>
  <c r="AE271" i="12"/>
  <c r="Y271" i="12"/>
  <c r="T271" i="12"/>
  <c r="Q271" i="12"/>
  <c r="N271" i="12"/>
  <c r="K271" i="12"/>
  <c r="AH270" i="12"/>
  <c r="AE270" i="12"/>
  <c r="Y270" i="12"/>
  <c r="T270" i="12"/>
  <c r="Q270" i="12"/>
  <c r="N270" i="12"/>
  <c r="K270" i="12"/>
  <c r="AH269" i="12"/>
  <c r="AE269" i="12"/>
  <c r="Y269" i="12"/>
  <c r="T269" i="12"/>
  <c r="Q269" i="12"/>
  <c r="N269" i="12"/>
  <c r="K269" i="12"/>
  <c r="AH267" i="12"/>
  <c r="AE267" i="12"/>
  <c r="Y267" i="12"/>
  <c r="T267" i="12"/>
  <c r="Q267" i="12"/>
  <c r="N267" i="12"/>
  <c r="K267" i="12"/>
  <c r="AH266" i="12"/>
  <c r="AE266" i="12"/>
  <c r="Y266" i="12"/>
  <c r="T266" i="12"/>
  <c r="Q266" i="12"/>
  <c r="N266" i="12"/>
  <c r="K266" i="12"/>
  <c r="AH265" i="12"/>
  <c r="AE265" i="12"/>
  <c r="Y265" i="12"/>
  <c r="T265" i="12"/>
  <c r="Q265" i="12"/>
  <c r="N265" i="12"/>
  <c r="K265" i="12"/>
  <c r="AH264" i="12"/>
  <c r="AE264" i="12"/>
  <c r="Y264" i="12"/>
  <c r="T264" i="12"/>
  <c r="Q264" i="12"/>
  <c r="N264" i="12"/>
  <c r="K264" i="12"/>
  <c r="AH263" i="12"/>
  <c r="AE263" i="12"/>
  <c r="Y263" i="12"/>
  <c r="T263" i="12"/>
  <c r="Q263" i="12"/>
  <c r="N263" i="12"/>
  <c r="K263" i="12"/>
  <c r="AH262" i="12"/>
  <c r="AE262" i="12"/>
  <c r="Y262" i="12"/>
  <c r="T262" i="12"/>
  <c r="Q262" i="12"/>
  <c r="N262" i="12"/>
  <c r="K262" i="12"/>
  <c r="AH261" i="12"/>
  <c r="AE261" i="12"/>
  <c r="Y261" i="12"/>
  <c r="T261" i="12"/>
  <c r="Q261" i="12"/>
  <c r="N261" i="12"/>
  <c r="K261" i="12"/>
  <c r="AH259" i="12"/>
  <c r="AE259" i="12"/>
  <c r="Y259" i="12"/>
  <c r="T259" i="12"/>
  <c r="Q259" i="12"/>
  <c r="N259" i="12"/>
  <c r="K259" i="12"/>
  <c r="AH258" i="12"/>
  <c r="AE258" i="12"/>
  <c r="Y258" i="12"/>
  <c r="T258" i="12"/>
  <c r="Q258" i="12"/>
  <c r="N258" i="12"/>
  <c r="K258" i="12"/>
  <c r="AH257" i="12"/>
  <c r="AE257" i="12"/>
  <c r="Y257" i="12"/>
  <c r="T257" i="12"/>
  <c r="Q257" i="12"/>
  <c r="N257" i="12"/>
  <c r="K257" i="12"/>
  <c r="AH256" i="12"/>
  <c r="AE256" i="12"/>
  <c r="Y256" i="12"/>
  <c r="T256" i="12"/>
  <c r="Q256" i="12"/>
  <c r="N256" i="12"/>
  <c r="K256" i="12"/>
  <c r="AH255" i="12"/>
  <c r="AE255" i="12"/>
  <c r="Y255" i="12"/>
  <c r="T255" i="12"/>
  <c r="Q255" i="12"/>
  <c r="N255" i="12"/>
  <c r="K255" i="12"/>
  <c r="AH254" i="12"/>
  <c r="AE254" i="12"/>
  <c r="Y254" i="12"/>
  <c r="T254" i="12"/>
  <c r="Q254" i="12"/>
  <c r="N254" i="12"/>
  <c r="K254" i="12"/>
  <c r="AH253" i="12"/>
  <c r="AE253" i="12"/>
  <c r="Y253" i="12"/>
  <c r="T253" i="12"/>
  <c r="Q253" i="12"/>
  <c r="N253" i="12"/>
  <c r="K253" i="12"/>
  <c r="AH251" i="12"/>
  <c r="AE251" i="12"/>
  <c r="Y251" i="12"/>
  <c r="T251" i="12"/>
  <c r="Q251" i="12"/>
  <c r="N251" i="12"/>
  <c r="K251" i="12"/>
  <c r="AH250" i="12"/>
  <c r="T49" i="13" s="1"/>
  <c r="AE250" i="12"/>
  <c r="S49" i="13" s="1"/>
  <c r="Y250" i="12"/>
  <c r="O49" i="13" s="1"/>
  <c r="T250" i="12"/>
  <c r="L49" i="13" s="1"/>
  <c r="Q250" i="12"/>
  <c r="K49" i="13" s="1"/>
  <c r="N250" i="12"/>
  <c r="J49" i="13" s="1"/>
  <c r="K250" i="12"/>
  <c r="I49" i="13" s="1"/>
  <c r="AH249" i="12"/>
  <c r="AE249" i="12"/>
  <c r="Y249" i="12"/>
  <c r="T249" i="12"/>
  <c r="Q249" i="12"/>
  <c r="N249" i="12"/>
  <c r="K249" i="12"/>
  <c r="AH248" i="12"/>
  <c r="AE248" i="12"/>
  <c r="Y248" i="12"/>
  <c r="T248" i="12"/>
  <c r="Q248" i="12"/>
  <c r="N248" i="12"/>
  <c r="K248" i="12"/>
  <c r="AH247" i="12"/>
  <c r="AE247" i="12"/>
  <c r="Y247" i="12"/>
  <c r="T247" i="12"/>
  <c r="Q247" i="12"/>
  <c r="N247" i="12"/>
  <c r="K247" i="12"/>
  <c r="AH246" i="12"/>
  <c r="AE246" i="12"/>
  <c r="Y246" i="12"/>
  <c r="T246" i="12"/>
  <c r="Q246" i="12"/>
  <c r="N246" i="12"/>
  <c r="K246" i="12"/>
  <c r="AH245" i="12"/>
  <c r="AE245" i="12"/>
  <c r="Y245" i="12"/>
  <c r="T245" i="12"/>
  <c r="Q245" i="12"/>
  <c r="N245" i="12"/>
  <c r="K245" i="12"/>
  <c r="AH243" i="12"/>
  <c r="AE243" i="12"/>
  <c r="Y243" i="12"/>
  <c r="T243" i="12"/>
  <c r="Q243" i="12"/>
  <c r="N243" i="12"/>
  <c r="K243" i="12"/>
  <c r="AH242" i="12"/>
  <c r="T48" i="13" s="1"/>
  <c r="AE242" i="12"/>
  <c r="S48" i="13" s="1"/>
  <c r="Y242" i="12"/>
  <c r="O48" i="13" s="1"/>
  <c r="T242" i="12"/>
  <c r="L48" i="13" s="1"/>
  <c r="Q242" i="12"/>
  <c r="K48" i="13" s="1"/>
  <c r="N242" i="12"/>
  <c r="J48" i="13" s="1"/>
  <c r="K242" i="12"/>
  <c r="I48" i="13" s="1"/>
  <c r="AH241" i="12"/>
  <c r="AE241" i="12"/>
  <c r="Y241" i="12"/>
  <c r="T241" i="12"/>
  <c r="Q241" i="12"/>
  <c r="N241" i="12"/>
  <c r="K241" i="12"/>
  <c r="AH240" i="12"/>
  <c r="AE240" i="12"/>
  <c r="Y240" i="12"/>
  <c r="T240" i="12"/>
  <c r="Q240" i="12"/>
  <c r="N240" i="12"/>
  <c r="K240" i="12"/>
  <c r="AH239" i="12"/>
  <c r="AE239" i="12"/>
  <c r="Y239" i="12"/>
  <c r="T239" i="12"/>
  <c r="Q239" i="12"/>
  <c r="N239" i="12"/>
  <c r="K239" i="12"/>
  <c r="AH238" i="12"/>
  <c r="AE238" i="12"/>
  <c r="Y238" i="12"/>
  <c r="T238" i="12"/>
  <c r="Q238" i="12"/>
  <c r="N238" i="12"/>
  <c r="K238" i="12"/>
  <c r="AH237" i="12"/>
  <c r="AE237" i="12"/>
  <c r="Y237" i="12"/>
  <c r="T237" i="12"/>
  <c r="Q237" i="12"/>
  <c r="N237" i="12"/>
  <c r="K237" i="12"/>
  <c r="AH235" i="12"/>
  <c r="AE235" i="12"/>
  <c r="Y235" i="12"/>
  <c r="T235" i="12"/>
  <c r="Q235" i="12"/>
  <c r="N235" i="12"/>
  <c r="K235" i="12"/>
  <c r="AH234" i="12"/>
  <c r="AE234" i="12"/>
  <c r="Y234" i="12"/>
  <c r="T234" i="12"/>
  <c r="Q234" i="12"/>
  <c r="N234" i="12"/>
  <c r="K234" i="12"/>
  <c r="AH233" i="12"/>
  <c r="AE233" i="12"/>
  <c r="Y233" i="12"/>
  <c r="T233" i="12"/>
  <c r="Q233" i="12"/>
  <c r="N233" i="12"/>
  <c r="K233" i="12"/>
  <c r="AH232" i="12"/>
  <c r="AE232" i="12"/>
  <c r="Y232" i="12"/>
  <c r="T232" i="12"/>
  <c r="Q232" i="12"/>
  <c r="N232" i="12"/>
  <c r="K232" i="12"/>
  <c r="AH231" i="12"/>
  <c r="AE231" i="12"/>
  <c r="Y231" i="12"/>
  <c r="T231" i="12"/>
  <c r="Q231" i="12"/>
  <c r="N231" i="12"/>
  <c r="K231" i="12"/>
  <c r="AH230" i="12"/>
  <c r="AE230" i="12"/>
  <c r="Y230" i="12"/>
  <c r="T230" i="12"/>
  <c r="Q230" i="12"/>
  <c r="N230" i="12"/>
  <c r="K230" i="12"/>
  <c r="AH229" i="12"/>
  <c r="AE229" i="12"/>
  <c r="Y229" i="12"/>
  <c r="T229" i="12"/>
  <c r="Q229" i="12"/>
  <c r="N229" i="12"/>
  <c r="K229" i="12"/>
  <c r="AH227" i="12"/>
  <c r="AE227" i="12"/>
  <c r="Y227" i="12"/>
  <c r="T227" i="12"/>
  <c r="Q227" i="12"/>
  <c r="N227" i="12"/>
  <c r="K227" i="12"/>
  <c r="AH226" i="12"/>
  <c r="AE226" i="12"/>
  <c r="Y226" i="12"/>
  <c r="T226" i="12"/>
  <c r="Q226" i="12"/>
  <c r="N226" i="12"/>
  <c r="K226" i="12"/>
  <c r="AH225" i="12"/>
  <c r="AE225" i="12"/>
  <c r="Y225" i="12"/>
  <c r="T225" i="12"/>
  <c r="Q225" i="12"/>
  <c r="N225" i="12"/>
  <c r="K225" i="12"/>
  <c r="AH224" i="12"/>
  <c r="AE224" i="12"/>
  <c r="Y224" i="12"/>
  <c r="T224" i="12"/>
  <c r="Q224" i="12"/>
  <c r="N224" i="12"/>
  <c r="K224" i="12"/>
  <c r="AH223" i="12"/>
  <c r="AE223" i="12"/>
  <c r="Y223" i="12"/>
  <c r="T223" i="12"/>
  <c r="Q223" i="12"/>
  <c r="N223" i="12"/>
  <c r="K223" i="12"/>
  <c r="AH222" i="12"/>
  <c r="AE222" i="12"/>
  <c r="Y222" i="12"/>
  <c r="T222" i="12"/>
  <c r="Q222" i="12"/>
  <c r="N222" i="12"/>
  <c r="K222" i="12"/>
  <c r="AH221" i="12"/>
  <c r="AE221" i="12"/>
  <c r="Y221" i="12"/>
  <c r="T221" i="12"/>
  <c r="Q221" i="12"/>
  <c r="N221" i="12"/>
  <c r="K221" i="12"/>
  <c r="AH219" i="12"/>
  <c r="AE219" i="12"/>
  <c r="Y219" i="12"/>
  <c r="T219" i="12"/>
  <c r="Q219" i="12"/>
  <c r="N219" i="12"/>
  <c r="K219" i="12"/>
  <c r="AH218" i="12"/>
  <c r="AE218" i="12"/>
  <c r="Y218" i="12"/>
  <c r="T218" i="12"/>
  <c r="Q218" i="12"/>
  <c r="N218" i="12"/>
  <c r="K218" i="12"/>
  <c r="AH217" i="12"/>
  <c r="AE217" i="12"/>
  <c r="Y217" i="12"/>
  <c r="T217" i="12"/>
  <c r="Q217" i="12"/>
  <c r="N217" i="12"/>
  <c r="K217" i="12"/>
  <c r="AH216" i="12"/>
  <c r="AE216" i="12"/>
  <c r="Y216" i="12"/>
  <c r="T216" i="12"/>
  <c r="Q216" i="12"/>
  <c r="N216" i="12"/>
  <c r="K216" i="12"/>
  <c r="AH215" i="12"/>
  <c r="AE215" i="12"/>
  <c r="Y215" i="12"/>
  <c r="T215" i="12"/>
  <c r="Q215" i="12"/>
  <c r="N215" i="12"/>
  <c r="K215" i="12"/>
  <c r="AH214" i="12"/>
  <c r="AE214" i="12"/>
  <c r="Y214" i="12"/>
  <c r="T214" i="12"/>
  <c r="Q214" i="12"/>
  <c r="N214" i="12"/>
  <c r="K214" i="12"/>
  <c r="AH213" i="12"/>
  <c r="AE213" i="12"/>
  <c r="Y213" i="12"/>
  <c r="T213" i="12"/>
  <c r="Q213" i="12"/>
  <c r="N213" i="12"/>
  <c r="K213" i="12"/>
  <c r="AH211" i="12"/>
  <c r="AE211" i="12"/>
  <c r="Y211" i="12"/>
  <c r="T211" i="12"/>
  <c r="Q211" i="12"/>
  <c r="N211" i="12"/>
  <c r="K211" i="12"/>
  <c r="AH210" i="12"/>
  <c r="AE210" i="12"/>
  <c r="Y210" i="12"/>
  <c r="T210" i="12"/>
  <c r="Q210" i="12"/>
  <c r="N210" i="12"/>
  <c r="K210" i="12"/>
  <c r="AH209" i="12"/>
  <c r="AE209" i="12"/>
  <c r="Y209" i="12"/>
  <c r="T209" i="12"/>
  <c r="Q209" i="12"/>
  <c r="N209" i="12"/>
  <c r="K209" i="12"/>
  <c r="AH208" i="12"/>
  <c r="AE208" i="12"/>
  <c r="Y208" i="12"/>
  <c r="T208" i="12"/>
  <c r="Q208" i="12"/>
  <c r="N208" i="12"/>
  <c r="K208" i="12"/>
  <c r="AH207" i="12"/>
  <c r="AE207" i="12"/>
  <c r="Y207" i="12"/>
  <c r="T207" i="12"/>
  <c r="Q207" i="12"/>
  <c r="N207" i="12"/>
  <c r="K207" i="12"/>
  <c r="AH206" i="12"/>
  <c r="AE206" i="12"/>
  <c r="Y206" i="12"/>
  <c r="T206" i="12"/>
  <c r="Q206" i="12"/>
  <c r="N206" i="12"/>
  <c r="K206" i="12"/>
  <c r="AH205" i="12"/>
  <c r="AE205" i="12"/>
  <c r="Y205" i="12"/>
  <c r="T205" i="12"/>
  <c r="Q205" i="12"/>
  <c r="N205" i="12"/>
  <c r="K205" i="12"/>
  <c r="AH203" i="12"/>
  <c r="AE203" i="12"/>
  <c r="Y203" i="12"/>
  <c r="T203" i="12"/>
  <c r="Q203" i="12"/>
  <c r="N203" i="12"/>
  <c r="K203" i="12"/>
  <c r="AH202" i="12"/>
  <c r="AE202" i="12"/>
  <c r="Y202" i="12"/>
  <c r="T202" i="12"/>
  <c r="Q202" i="12"/>
  <c r="N202" i="12"/>
  <c r="K202" i="12"/>
  <c r="AH201" i="12"/>
  <c r="AE201" i="12"/>
  <c r="Y201" i="12"/>
  <c r="T201" i="12"/>
  <c r="Q201" i="12"/>
  <c r="N201" i="12"/>
  <c r="K201" i="12"/>
  <c r="AH200" i="12"/>
  <c r="AE200" i="12"/>
  <c r="Y200" i="12"/>
  <c r="T200" i="12"/>
  <c r="Q200" i="12"/>
  <c r="N200" i="12"/>
  <c r="K200" i="12"/>
  <c r="AH199" i="12"/>
  <c r="AE199" i="12"/>
  <c r="Y199" i="12"/>
  <c r="T199" i="12"/>
  <c r="Q199" i="12"/>
  <c r="N199" i="12"/>
  <c r="K199" i="12"/>
  <c r="AH198" i="12"/>
  <c r="AE198" i="12"/>
  <c r="Y198" i="12"/>
  <c r="T198" i="12"/>
  <c r="Q198" i="12"/>
  <c r="N198" i="12"/>
  <c r="K198" i="12"/>
  <c r="AH197" i="12"/>
  <c r="AE197" i="12"/>
  <c r="Y197" i="12"/>
  <c r="T197" i="12"/>
  <c r="Q197" i="12"/>
  <c r="N197" i="12"/>
  <c r="K197" i="12"/>
  <c r="AH195" i="12"/>
  <c r="AE195" i="12"/>
  <c r="Y195" i="12"/>
  <c r="T195" i="12"/>
  <c r="Q195" i="12"/>
  <c r="N195" i="12"/>
  <c r="K195" i="12"/>
  <c r="AH194" i="12"/>
  <c r="AE194" i="12"/>
  <c r="Y194" i="12"/>
  <c r="T194" i="12"/>
  <c r="Q194" i="12"/>
  <c r="N194" i="12"/>
  <c r="K194" i="12"/>
  <c r="AH193" i="12"/>
  <c r="AE193" i="12"/>
  <c r="Y193" i="12"/>
  <c r="T193" i="12"/>
  <c r="Q193" i="12"/>
  <c r="N193" i="12"/>
  <c r="K193" i="12"/>
  <c r="AH192" i="12"/>
  <c r="AE192" i="12"/>
  <c r="Y192" i="12"/>
  <c r="T192" i="12"/>
  <c r="Q192" i="12"/>
  <c r="N192" i="12"/>
  <c r="K192" i="12"/>
  <c r="AH191" i="12"/>
  <c r="AE191" i="12"/>
  <c r="Y191" i="12"/>
  <c r="T191" i="12"/>
  <c r="Q191" i="12"/>
  <c r="N191" i="12"/>
  <c r="K191" i="12"/>
  <c r="AH190" i="12"/>
  <c r="AE190" i="12"/>
  <c r="Y190" i="12"/>
  <c r="T190" i="12"/>
  <c r="Q190" i="12"/>
  <c r="N190" i="12"/>
  <c r="K190" i="12"/>
  <c r="AH189" i="12"/>
  <c r="AE189" i="12"/>
  <c r="Y189" i="12"/>
  <c r="T189" i="12"/>
  <c r="Q189" i="12"/>
  <c r="N189" i="12"/>
  <c r="K189" i="12"/>
  <c r="AH187" i="12"/>
  <c r="AE187" i="12"/>
  <c r="Y187" i="12"/>
  <c r="T187" i="12"/>
  <c r="Q187" i="12"/>
  <c r="N187" i="12"/>
  <c r="K187" i="12"/>
  <c r="AH186" i="12"/>
  <c r="AE186" i="12"/>
  <c r="Y186" i="12"/>
  <c r="T186" i="12"/>
  <c r="Q186" i="12"/>
  <c r="N186" i="12"/>
  <c r="K186" i="12"/>
  <c r="AH185" i="12"/>
  <c r="AE185" i="12"/>
  <c r="Y185" i="12"/>
  <c r="T185" i="12"/>
  <c r="Q185" i="12"/>
  <c r="N185" i="12"/>
  <c r="K185" i="12"/>
  <c r="AH184" i="12"/>
  <c r="AE184" i="12"/>
  <c r="Y184" i="12"/>
  <c r="T184" i="12"/>
  <c r="Q184" i="12"/>
  <c r="N184" i="12"/>
  <c r="K184" i="12"/>
  <c r="AH183" i="12"/>
  <c r="AE183" i="12"/>
  <c r="Y183" i="12"/>
  <c r="T183" i="12"/>
  <c r="Q183" i="12"/>
  <c r="N183" i="12"/>
  <c r="K183" i="12"/>
  <c r="AH182" i="12"/>
  <c r="AE182" i="12"/>
  <c r="Y182" i="12"/>
  <c r="T182" i="12"/>
  <c r="Q182" i="12"/>
  <c r="N182" i="12"/>
  <c r="K182" i="12"/>
  <c r="AH181" i="12"/>
  <c r="AE181" i="12"/>
  <c r="Y181" i="12"/>
  <c r="T181" i="12"/>
  <c r="Q181" i="12"/>
  <c r="N181" i="12"/>
  <c r="K181" i="12"/>
  <c r="AH179" i="12"/>
  <c r="AE179" i="12"/>
  <c r="Y179" i="12"/>
  <c r="T179" i="12"/>
  <c r="Q179" i="12"/>
  <c r="N179" i="12"/>
  <c r="K179" i="12"/>
  <c r="AH178" i="12"/>
  <c r="AE178" i="12"/>
  <c r="Y178" i="12"/>
  <c r="T178" i="12"/>
  <c r="Q178" i="12"/>
  <c r="N178" i="12"/>
  <c r="K178" i="12"/>
  <c r="AH177" i="12"/>
  <c r="AE177" i="12"/>
  <c r="Y177" i="12"/>
  <c r="T177" i="12"/>
  <c r="Q177" i="12"/>
  <c r="N177" i="12"/>
  <c r="K177" i="12"/>
  <c r="AH176" i="12"/>
  <c r="AE176" i="12"/>
  <c r="Y176" i="12"/>
  <c r="T176" i="12"/>
  <c r="Q176" i="12"/>
  <c r="N176" i="12"/>
  <c r="K176" i="12"/>
  <c r="AH175" i="12"/>
  <c r="AE175" i="12"/>
  <c r="Y175" i="12"/>
  <c r="T175" i="12"/>
  <c r="Q175" i="12"/>
  <c r="N175" i="12"/>
  <c r="K175" i="12"/>
  <c r="AH174" i="12"/>
  <c r="AE174" i="12"/>
  <c r="Y174" i="12"/>
  <c r="T174" i="12"/>
  <c r="Q174" i="12"/>
  <c r="N174" i="12"/>
  <c r="K174" i="12"/>
  <c r="AH173" i="12"/>
  <c r="AE173" i="12"/>
  <c r="Y173" i="12"/>
  <c r="T173" i="12"/>
  <c r="Q173" i="12"/>
  <c r="N173" i="12"/>
  <c r="K173" i="12"/>
  <c r="AH171" i="12"/>
  <c r="AE171" i="12"/>
  <c r="Y171" i="12"/>
  <c r="T171" i="12"/>
  <c r="Q171" i="12"/>
  <c r="N171" i="12"/>
  <c r="K171" i="12"/>
  <c r="AH170" i="12"/>
  <c r="AE170" i="12"/>
  <c r="Y170" i="12"/>
  <c r="T170" i="12"/>
  <c r="Q170" i="12"/>
  <c r="N170" i="12"/>
  <c r="K170" i="12"/>
  <c r="AH169" i="12"/>
  <c r="AE169" i="12"/>
  <c r="Y169" i="12"/>
  <c r="T169" i="12"/>
  <c r="Q169" i="12"/>
  <c r="N169" i="12"/>
  <c r="K169" i="12"/>
  <c r="AH168" i="12"/>
  <c r="AE168" i="12"/>
  <c r="Y168" i="12"/>
  <c r="T168" i="12"/>
  <c r="Q168" i="12"/>
  <c r="N168" i="12"/>
  <c r="K168" i="12"/>
  <c r="AH167" i="12"/>
  <c r="AE167" i="12"/>
  <c r="Y167" i="12"/>
  <c r="T167" i="12"/>
  <c r="Q167" i="12"/>
  <c r="N167" i="12"/>
  <c r="K167" i="12"/>
  <c r="AH166" i="12"/>
  <c r="AE166" i="12"/>
  <c r="Y166" i="12"/>
  <c r="T166" i="12"/>
  <c r="Q166" i="12"/>
  <c r="N166" i="12"/>
  <c r="K166" i="12"/>
  <c r="AH165" i="12"/>
  <c r="AE165" i="12"/>
  <c r="Y165" i="12"/>
  <c r="T165" i="12"/>
  <c r="Q165" i="12"/>
  <c r="N165" i="12"/>
  <c r="K165" i="12"/>
  <c r="AH163" i="12"/>
  <c r="AE163" i="12"/>
  <c r="Y163" i="12"/>
  <c r="T163" i="12"/>
  <c r="Q163" i="12"/>
  <c r="N163" i="12"/>
  <c r="K163" i="12"/>
  <c r="AH162" i="12"/>
  <c r="AE162" i="12"/>
  <c r="Y162" i="12"/>
  <c r="T162" i="12"/>
  <c r="Q162" i="12"/>
  <c r="N162" i="12"/>
  <c r="K162" i="12"/>
  <c r="AH161" i="12"/>
  <c r="AE161" i="12"/>
  <c r="Y161" i="12"/>
  <c r="T161" i="12"/>
  <c r="Q161" i="12"/>
  <c r="N161" i="12"/>
  <c r="K161" i="12"/>
  <c r="AH160" i="12"/>
  <c r="AE160" i="12"/>
  <c r="Y160" i="12"/>
  <c r="T160" i="12"/>
  <c r="Q160" i="12"/>
  <c r="N160" i="12"/>
  <c r="K160" i="12"/>
  <c r="AH159" i="12"/>
  <c r="AE159" i="12"/>
  <c r="Y159" i="12"/>
  <c r="T159" i="12"/>
  <c r="Q159" i="12"/>
  <c r="N159" i="12"/>
  <c r="K159" i="12"/>
  <c r="AH158" i="12"/>
  <c r="AE158" i="12"/>
  <c r="Y158" i="12"/>
  <c r="T158" i="12"/>
  <c r="Q158" i="12"/>
  <c r="N158" i="12"/>
  <c r="K158" i="12"/>
  <c r="AH157" i="12"/>
  <c r="AE157" i="12"/>
  <c r="Y157" i="12"/>
  <c r="T157" i="12"/>
  <c r="Q157" i="12"/>
  <c r="N157" i="12"/>
  <c r="K157" i="12"/>
  <c r="AH155" i="12"/>
  <c r="AE155" i="12"/>
  <c r="Y155" i="12"/>
  <c r="T155" i="12"/>
  <c r="Q155" i="12"/>
  <c r="N155" i="12"/>
  <c r="K155" i="12"/>
  <c r="AH154" i="12"/>
  <c r="AE154" i="12"/>
  <c r="Y154" i="12"/>
  <c r="T154" i="12"/>
  <c r="Q154" i="12"/>
  <c r="N154" i="12"/>
  <c r="K154" i="12"/>
  <c r="AH153" i="12"/>
  <c r="AE153" i="12"/>
  <c r="Y153" i="12"/>
  <c r="T153" i="12"/>
  <c r="Q153" i="12"/>
  <c r="N153" i="12"/>
  <c r="K153" i="12"/>
  <c r="AH152" i="12"/>
  <c r="AE152" i="12"/>
  <c r="Y152" i="12"/>
  <c r="T152" i="12"/>
  <c r="Q152" i="12"/>
  <c r="N152" i="12"/>
  <c r="K152" i="12"/>
  <c r="AH151" i="12"/>
  <c r="AE151" i="12"/>
  <c r="Y151" i="12"/>
  <c r="T151" i="12"/>
  <c r="Q151" i="12"/>
  <c r="N151" i="12"/>
  <c r="K151" i="12"/>
  <c r="AH150" i="12"/>
  <c r="AE150" i="12"/>
  <c r="Y150" i="12"/>
  <c r="T150" i="12"/>
  <c r="Q150" i="12"/>
  <c r="N150" i="12"/>
  <c r="K150" i="12"/>
  <c r="AH149" i="12"/>
  <c r="AE149" i="12"/>
  <c r="Y149" i="12"/>
  <c r="T149" i="12"/>
  <c r="Q149" i="12"/>
  <c r="N149" i="12"/>
  <c r="K149" i="12"/>
  <c r="AH147" i="12"/>
  <c r="AE147" i="12"/>
  <c r="Y147" i="12"/>
  <c r="T147" i="12"/>
  <c r="Q147" i="12"/>
  <c r="N147" i="12"/>
  <c r="K147" i="12"/>
  <c r="AH146" i="12"/>
  <c r="AE146" i="12"/>
  <c r="Y146" i="12"/>
  <c r="T146" i="12"/>
  <c r="Q146" i="12"/>
  <c r="N146" i="12"/>
  <c r="K146" i="12"/>
  <c r="AH145" i="12"/>
  <c r="AE145" i="12"/>
  <c r="Y145" i="12"/>
  <c r="T145" i="12"/>
  <c r="Q145" i="12"/>
  <c r="N145" i="12"/>
  <c r="K145" i="12"/>
  <c r="AH144" i="12"/>
  <c r="AE144" i="12"/>
  <c r="Y144" i="12"/>
  <c r="T144" i="12"/>
  <c r="Q144" i="12"/>
  <c r="N144" i="12"/>
  <c r="K144" i="12"/>
  <c r="AH143" i="12"/>
  <c r="AE143" i="12"/>
  <c r="Y143" i="12"/>
  <c r="T143" i="12"/>
  <c r="Q143" i="12"/>
  <c r="N143" i="12"/>
  <c r="K143" i="12"/>
  <c r="AH142" i="12"/>
  <c r="AE142" i="12"/>
  <c r="Y142" i="12"/>
  <c r="T142" i="12"/>
  <c r="Q142" i="12"/>
  <c r="N142" i="12"/>
  <c r="K142" i="12"/>
  <c r="AH141" i="12"/>
  <c r="AE141" i="12"/>
  <c r="Y141" i="12"/>
  <c r="T141" i="12"/>
  <c r="Q141" i="12"/>
  <c r="N141" i="12"/>
  <c r="K141" i="12"/>
  <c r="AH139" i="12"/>
  <c r="AE139" i="12"/>
  <c r="Y139" i="12"/>
  <c r="T139" i="12"/>
  <c r="Q139" i="12"/>
  <c r="N139" i="12"/>
  <c r="K139" i="12"/>
  <c r="AH138" i="12"/>
  <c r="AE138" i="12"/>
  <c r="Y138" i="12"/>
  <c r="T138" i="12"/>
  <c r="Q138" i="12"/>
  <c r="N138" i="12"/>
  <c r="K138" i="12"/>
  <c r="AH137" i="12"/>
  <c r="AE137" i="12"/>
  <c r="Y137" i="12"/>
  <c r="T137" i="12"/>
  <c r="Q137" i="12"/>
  <c r="N137" i="12"/>
  <c r="K137" i="12"/>
  <c r="AH136" i="12"/>
  <c r="AE136" i="12"/>
  <c r="Y136" i="12"/>
  <c r="T136" i="12"/>
  <c r="Q136" i="12"/>
  <c r="N136" i="12"/>
  <c r="K136" i="12"/>
  <c r="AH135" i="12"/>
  <c r="AE135" i="12"/>
  <c r="Y135" i="12"/>
  <c r="T135" i="12"/>
  <c r="Q135" i="12"/>
  <c r="N135" i="12"/>
  <c r="K135" i="12"/>
  <c r="AH134" i="12"/>
  <c r="AE134" i="12"/>
  <c r="Y134" i="12"/>
  <c r="T134" i="12"/>
  <c r="Q134" i="12"/>
  <c r="N134" i="12"/>
  <c r="K134" i="12"/>
  <c r="AH133" i="12"/>
  <c r="AE133" i="12"/>
  <c r="Y133" i="12"/>
  <c r="T133" i="12"/>
  <c r="Q133" i="12"/>
  <c r="N133" i="12"/>
  <c r="K133" i="12"/>
  <c r="AH131" i="12"/>
  <c r="AE131" i="12"/>
  <c r="Y131" i="12"/>
  <c r="T131" i="12"/>
  <c r="Q131" i="12"/>
  <c r="N131" i="12"/>
  <c r="K131" i="12"/>
  <c r="AH130" i="12"/>
  <c r="AE130" i="12"/>
  <c r="Y130" i="12"/>
  <c r="T130" i="12"/>
  <c r="Q130" i="12"/>
  <c r="N130" i="12"/>
  <c r="K130" i="12"/>
  <c r="AH129" i="12"/>
  <c r="AE129" i="12"/>
  <c r="Y129" i="12"/>
  <c r="T129" i="12"/>
  <c r="Q129" i="12"/>
  <c r="N129" i="12"/>
  <c r="K129" i="12"/>
  <c r="AH128" i="12"/>
  <c r="AE128" i="12"/>
  <c r="Y128" i="12"/>
  <c r="T128" i="12"/>
  <c r="Q128" i="12"/>
  <c r="N128" i="12"/>
  <c r="K128" i="12"/>
  <c r="AH127" i="12"/>
  <c r="AE127" i="12"/>
  <c r="Y127" i="12"/>
  <c r="T127" i="12"/>
  <c r="Q127" i="12"/>
  <c r="N127" i="12"/>
  <c r="K127" i="12"/>
  <c r="AH126" i="12"/>
  <c r="AE126" i="12"/>
  <c r="Y126" i="12"/>
  <c r="T126" i="12"/>
  <c r="Q126" i="12"/>
  <c r="N126" i="12"/>
  <c r="K126" i="12"/>
  <c r="AH125" i="12"/>
  <c r="AE125" i="12"/>
  <c r="Y125" i="12"/>
  <c r="T125" i="12"/>
  <c r="Q125" i="12"/>
  <c r="N125" i="12"/>
  <c r="K125" i="12"/>
  <c r="AH123" i="12"/>
  <c r="AE123" i="12"/>
  <c r="Y123" i="12"/>
  <c r="T123" i="12"/>
  <c r="Q123" i="12"/>
  <c r="N123" i="12"/>
  <c r="K123" i="12"/>
  <c r="AH122" i="12"/>
  <c r="AE122" i="12"/>
  <c r="Y122" i="12"/>
  <c r="T122" i="12"/>
  <c r="Q122" i="12"/>
  <c r="N122" i="12"/>
  <c r="K122" i="12"/>
  <c r="AH121" i="12"/>
  <c r="AE121" i="12"/>
  <c r="Y121" i="12"/>
  <c r="T121" i="12"/>
  <c r="Q121" i="12"/>
  <c r="N121" i="12"/>
  <c r="K121" i="12"/>
  <c r="AH120" i="12"/>
  <c r="AE120" i="12"/>
  <c r="Y120" i="12"/>
  <c r="T120" i="12"/>
  <c r="Q120" i="12"/>
  <c r="N120" i="12"/>
  <c r="K120" i="12"/>
  <c r="AH119" i="12"/>
  <c r="AE119" i="12"/>
  <c r="Y119" i="12"/>
  <c r="T119" i="12"/>
  <c r="Q119" i="12"/>
  <c r="N119" i="12"/>
  <c r="K119" i="12"/>
  <c r="AH118" i="12"/>
  <c r="AE118" i="12"/>
  <c r="Y118" i="12"/>
  <c r="T118" i="12"/>
  <c r="Q118" i="12"/>
  <c r="N118" i="12"/>
  <c r="K118" i="12"/>
  <c r="AH117" i="12"/>
  <c r="AE117" i="12"/>
  <c r="Y117" i="12"/>
  <c r="T117" i="12"/>
  <c r="Q117" i="12"/>
  <c r="N117" i="12"/>
  <c r="K117" i="12"/>
  <c r="AH109" i="12"/>
  <c r="AE109" i="12"/>
  <c r="Y109" i="12"/>
  <c r="T109" i="12"/>
  <c r="Q109" i="12"/>
  <c r="N109" i="12"/>
  <c r="K109" i="12"/>
  <c r="AH101" i="12"/>
  <c r="AE101" i="12"/>
  <c r="Y101" i="12"/>
  <c r="T101" i="12"/>
  <c r="Q101" i="12"/>
  <c r="N101" i="12"/>
  <c r="K101" i="12"/>
  <c r="AH93" i="12"/>
  <c r="AE93" i="12"/>
  <c r="Y93" i="12"/>
  <c r="T93" i="12"/>
  <c r="Q93" i="12"/>
  <c r="N93" i="12"/>
  <c r="K93" i="12"/>
  <c r="AH85" i="12"/>
  <c r="AE85" i="12"/>
  <c r="Y85" i="12"/>
  <c r="T85" i="12"/>
  <c r="Q85" i="12"/>
  <c r="N85" i="12"/>
  <c r="K85" i="12"/>
  <c r="AH77" i="12"/>
  <c r="AE77" i="12"/>
  <c r="Y77" i="12"/>
  <c r="T77" i="12"/>
  <c r="Q77" i="12"/>
  <c r="N77" i="12"/>
  <c r="K77" i="12"/>
  <c r="AH69" i="12"/>
  <c r="AE69" i="12"/>
  <c r="Y69" i="12"/>
  <c r="T69" i="12"/>
  <c r="Q69" i="12"/>
  <c r="N69" i="12"/>
  <c r="K69" i="12"/>
  <c r="AH53" i="12"/>
  <c r="AE53" i="12"/>
  <c r="Y53" i="12"/>
  <c r="T53" i="12"/>
  <c r="Q53" i="12"/>
  <c r="N53" i="12"/>
  <c r="K53" i="12"/>
  <c r="AH45" i="12"/>
  <c r="AE45" i="12"/>
  <c r="Y45" i="12"/>
  <c r="T45" i="12"/>
  <c r="Q45" i="12"/>
  <c r="N45" i="12"/>
  <c r="K45" i="12"/>
  <c r="AH115" i="12"/>
  <c r="AE115" i="12"/>
  <c r="Y115" i="12"/>
  <c r="T115" i="12"/>
  <c r="Q115" i="12"/>
  <c r="N115" i="12"/>
  <c r="K115" i="12"/>
  <c r="AH114" i="12"/>
  <c r="AE114" i="12"/>
  <c r="Y114" i="12"/>
  <c r="T114" i="12"/>
  <c r="Q114" i="12"/>
  <c r="N114" i="12"/>
  <c r="K114" i="12"/>
  <c r="AH113" i="12"/>
  <c r="AE113" i="12"/>
  <c r="Y113" i="12"/>
  <c r="T113" i="12"/>
  <c r="Q113" i="12"/>
  <c r="N113" i="12"/>
  <c r="K113" i="12"/>
  <c r="AH112" i="12"/>
  <c r="AE112" i="12"/>
  <c r="Y112" i="12"/>
  <c r="T112" i="12"/>
  <c r="Q112" i="12"/>
  <c r="N112" i="12"/>
  <c r="K112" i="12"/>
  <c r="AH111" i="12"/>
  <c r="AE111" i="12"/>
  <c r="Y111" i="12"/>
  <c r="T111" i="12"/>
  <c r="Q111" i="12"/>
  <c r="N111" i="12"/>
  <c r="K111" i="12"/>
  <c r="AH110" i="12"/>
  <c r="AE110" i="12"/>
  <c r="Y110" i="12"/>
  <c r="T110" i="12"/>
  <c r="Q110" i="12"/>
  <c r="N110" i="12"/>
  <c r="K110" i="12"/>
  <c r="AH107" i="12"/>
  <c r="AE107" i="12"/>
  <c r="Y107" i="12"/>
  <c r="T107" i="12"/>
  <c r="Q107" i="12"/>
  <c r="N107" i="12"/>
  <c r="K107" i="12"/>
  <c r="AH106" i="12"/>
  <c r="AE106" i="12"/>
  <c r="Y106" i="12"/>
  <c r="T106" i="12"/>
  <c r="Q106" i="12"/>
  <c r="N106" i="12"/>
  <c r="K106" i="12"/>
  <c r="AH105" i="12"/>
  <c r="AE105" i="12"/>
  <c r="Y105" i="12"/>
  <c r="T105" i="12"/>
  <c r="Q105" i="12"/>
  <c r="N105" i="12"/>
  <c r="K105" i="12"/>
  <c r="AH104" i="12"/>
  <c r="AE104" i="12"/>
  <c r="Y104" i="12"/>
  <c r="T104" i="12"/>
  <c r="Q104" i="12"/>
  <c r="N104" i="12"/>
  <c r="K104" i="12"/>
  <c r="AH103" i="12"/>
  <c r="AE103" i="12"/>
  <c r="Y103" i="12"/>
  <c r="T103" i="12"/>
  <c r="Q103" i="12"/>
  <c r="N103" i="12"/>
  <c r="K103" i="12"/>
  <c r="AH102" i="12"/>
  <c r="AE102" i="12"/>
  <c r="Y102" i="12"/>
  <c r="T102" i="12"/>
  <c r="Q102" i="12"/>
  <c r="N102" i="12"/>
  <c r="K102" i="12"/>
  <c r="AH99" i="12"/>
  <c r="AE99" i="12"/>
  <c r="Y99" i="12"/>
  <c r="T99" i="12"/>
  <c r="Q99" i="12"/>
  <c r="N99" i="12"/>
  <c r="K99" i="12"/>
  <c r="AH98" i="12"/>
  <c r="AE98" i="12"/>
  <c r="Y98" i="12"/>
  <c r="T98" i="12"/>
  <c r="Q98" i="12"/>
  <c r="N98" i="12"/>
  <c r="K98" i="12"/>
  <c r="AH97" i="12"/>
  <c r="AE97" i="12"/>
  <c r="Y97" i="12"/>
  <c r="T97" i="12"/>
  <c r="Q97" i="12"/>
  <c r="N97" i="12"/>
  <c r="K97" i="12"/>
  <c r="AH96" i="12"/>
  <c r="AE96" i="12"/>
  <c r="Y96" i="12"/>
  <c r="T96" i="12"/>
  <c r="Q96" i="12"/>
  <c r="N96" i="12"/>
  <c r="K96" i="12"/>
  <c r="AH95" i="12"/>
  <c r="AE95" i="12"/>
  <c r="Y95" i="12"/>
  <c r="T95" i="12"/>
  <c r="Q95" i="12"/>
  <c r="N95" i="12"/>
  <c r="K95" i="12"/>
  <c r="AH94" i="12"/>
  <c r="AE94" i="12"/>
  <c r="Y94" i="12"/>
  <c r="T94" i="12"/>
  <c r="Q94" i="12"/>
  <c r="N94" i="12"/>
  <c r="K94" i="12"/>
  <c r="AH91" i="12"/>
  <c r="AE91" i="12"/>
  <c r="Y91" i="12"/>
  <c r="T91" i="12"/>
  <c r="Q91" i="12"/>
  <c r="N91" i="12"/>
  <c r="K91" i="12"/>
  <c r="AH90" i="12"/>
  <c r="AE90" i="12"/>
  <c r="Y90" i="12"/>
  <c r="T90" i="12"/>
  <c r="Q90" i="12"/>
  <c r="N90" i="12"/>
  <c r="K90" i="12"/>
  <c r="AH89" i="12"/>
  <c r="AE89" i="12"/>
  <c r="Y89" i="12"/>
  <c r="T89" i="12"/>
  <c r="Q89" i="12"/>
  <c r="N89" i="12"/>
  <c r="K89" i="12"/>
  <c r="AH88" i="12"/>
  <c r="AE88" i="12"/>
  <c r="Y88" i="12"/>
  <c r="T88" i="12"/>
  <c r="Q88" i="12"/>
  <c r="N88" i="12"/>
  <c r="K88" i="12"/>
  <c r="AH87" i="12"/>
  <c r="AE87" i="12"/>
  <c r="Y87" i="12"/>
  <c r="T87" i="12"/>
  <c r="Q87" i="12"/>
  <c r="N87" i="12"/>
  <c r="K87" i="12"/>
  <c r="AH86" i="12"/>
  <c r="AE86" i="12"/>
  <c r="Y86" i="12"/>
  <c r="T86" i="12"/>
  <c r="Q86" i="12"/>
  <c r="N86" i="12"/>
  <c r="K86" i="12"/>
  <c r="AH83" i="12"/>
  <c r="AE83" i="12"/>
  <c r="Y83" i="12"/>
  <c r="T83" i="12"/>
  <c r="Q83" i="12"/>
  <c r="N83" i="12"/>
  <c r="K83" i="12"/>
  <c r="AH82" i="12"/>
  <c r="AE82" i="12"/>
  <c r="Y82" i="12"/>
  <c r="T82" i="12"/>
  <c r="Q82" i="12"/>
  <c r="N82" i="12"/>
  <c r="K82" i="12"/>
  <c r="AH81" i="12"/>
  <c r="AE81" i="12"/>
  <c r="Y81" i="12"/>
  <c r="T81" i="12"/>
  <c r="Q81" i="12"/>
  <c r="N81" i="12"/>
  <c r="K81" i="12"/>
  <c r="AH80" i="12"/>
  <c r="AE80" i="12"/>
  <c r="Y80" i="12"/>
  <c r="T80" i="12"/>
  <c r="Q80" i="12"/>
  <c r="N80" i="12"/>
  <c r="K80" i="12"/>
  <c r="AH79" i="12"/>
  <c r="AE79" i="12"/>
  <c r="Y79" i="12"/>
  <c r="T79" i="12"/>
  <c r="Q79" i="12"/>
  <c r="N79" i="12"/>
  <c r="K79" i="12"/>
  <c r="AH78" i="12"/>
  <c r="AE78" i="12"/>
  <c r="Y78" i="12"/>
  <c r="T78" i="12"/>
  <c r="Q78" i="12"/>
  <c r="N78" i="12"/>
  <c r="K78" i="12"/>
  <c r="AH75" i="12"/>
  <c r="AE75" i="12"/>
  <c r="Y75" i="12"/>
  <c r="T75" i="12"/>
  <c r="Q75" i="12"/>
  <c r="N75" i="12"/>
  <c r="K75" i="12"/>
  <c r="AH74" i="12"/>
  <c r="AE74" i="12"/>
  <c r="Y74" i="12"/>
  <c r="T74" i="12"/>
  <c r="Q74" i="12"/>
  <c r="N74" i="12"/>
  <c r="K74" i="12"/>
  <c r="AH73" i="12"/>
  <c r="AE73" i="12"/>
  <c r="Y73" i="12"/>
  <c r="T73" i="12"/>
  <c r="Q73" i="12"/>
  <c r="N73" i="12"/>
  <c r="K73" i="12"/>
  <c r="AH72" i="12"/>
  <c r="AE72" i="12"/>
  <c r="Y72" i="12"/>
  <c r="T72" i="12"/>
  <c r="Q72" i="12"/>
  <c r="N72" i="12"/>
  <c r="K72" i="12"/>
  <c r="AH71" i="12"/>
  <c r="AE71" i="12"/>
  <c r="Y71" i="12"/>
  <c r="T71" i="12"/>
  <c r="Q71" i="12"/>
  <c r="N71" i="12"/>
  <c r="K71" i="12"/>
  <c r="AH70" i="12"/>
  <c r="AE70" i="12"/>
  <c r="Y70" i="12"/>
  <c r="T70" i="12"/>
  <c r="Q70" i="12"/>
  <c r="N70" i="12"/>
  <c r="K70" i="12"/>
  <c r="AH67" i="12"/>
  <c r="AE67" i="12"/>
  <c r="Y67" i="12"/>
  <c r="T67" i="12"/>
  <c r="Q67" i="12"/>
  <c r="N67" i="12"/>
  <c r="K67" i="12"/>
  <c r="AH66" i="12"/>
  <c r="AE66" i="12"/>
  <c r="Y66" i="12"/>
  <c r="T66" i="12"/>
  <c r="Q66" i="12"/>
  <c r="N66" i="12"/>
  <c r="K66" i="12"/>
  <c r="AH65" i="12"/>
  <c r="AE65" i="12"/>
  <c r="Y65" i="12"/>
  <c r="T65" i="12"/>
  <c r="Q65" i="12"/>
  <c r="N65" i="12"/>
  <c r="K65" i="12"/>
  <c r="AH64" i="12"/>
  <c r="AE64" i="12"/>
  <c r="Y64" i="12"/>
  <c r="T64" i="12"/>
  <c r="Q64" i="12"/>
  <c r="N64" i="12"/>
  <c r="K64" i="12"/>
  <c r="AH63" i="12"/>
  <c r="AE63" i="12"/>
  <c r="Y63" i="12"/>
  <c r="T63" i="12"/>
  <c r="Q63" i="12"/>
  <c r="N63" i="12"/>
  <c r="K63" i="12"/>
  <c r="AH62" i="12"/>
  <c r="AE62" i="12"/>
  <c r="Y62" i="12"/>
  <c r="T62" i="12"/>
  <c r="Q62" i="12"/>
  <c r="N62" i="12"/>
  <c r="K62" i="12"/>
  <c r="AH61" i="12"/>
  <c r="AE61" i="12"/>
  <c r="Y61" i="12"/>
  <c r="T61" i="12"/>
  <c r="Q61" i="12"/>
  <c r="N61" i="12"/>
  <c r="K61" i="12"/>
  <c r="AH59" i="12"/>
  <c r="AE59" i="12"/>
  <c r="Y59" i="12"/>
  <c r="T59" i="12"/>
  <c r="Q59" i="12"/>
  <c r="N59" i="12"/>
  <c r="K59" i="12"/>
  <c r="AH58" i="12"/>
  <c r="AE58" i="12"/>
  <c r="Y58" i="12"/>
  <c r="T58" i="12"/>
  <c r="Q58" i="12"/>
  <c r="N58" i="12"/>
  <c r="K58" i="12"/>
  <c r="AH57" i="12"/>
  <c r="T23" i="13" s="1"/>
  <c r="AE57" i="12"/>
  <c r="S23" i="13" s="1"/>
  <c r="Y57" i="12"/>
  <c r="O23" i="13" s="1"/>
  <c r="T57" i="12"/>
  <c r="Q57" i="12"/>
  <c r="N57" i="12"/>
  <c r="K57" i="12"/>
  <c r="AH56" i="12"/>
  <c r="AE56" i="12"/>
  <c r="Y56" i="12"/>
  <c r="T56" i="12"/>
  <c r="Q56" i="12"/>
  <c r="N56" i="12"/>
  <c r="K56" i="12"/>
  <c r="AH55" i="12"/>
  <c r="AE55" i="12"/>
  <c r="Y55" i="12"/>
  <c r="T55" i="12"/>
  <c r="Q55" i="12"/>
  <c r="N55" i="12"/>
  <c r="K55" i="12"/>
  <c r="AH54" i="12"/>
  <c r="AE54" i="12"/>
  <c r="Y54" i="12"/>
  <c r="T54" i="12"/>
  <c r="Q54" i="12"/>
  <c r="N54" i="12"/>
  <c r="K54" i="12"/>
  <c r="AH51" i="12"/>
  <c r="AE51" i="12"/>
  <c r="Y51" i="12"/>
  <c r="T51" i="12"/>
  <c r="Q51" i="12"/>
  <c r="N51" i="12"/>
  <c r="K51" i="12"/>
  <c r="AH50" i="12"/>
  <c r="AE50" i="12"/>
  <c r="Y50" i="12"/>
  <c r="T50" i="12"/>
  <c r="Q50" i="12"/>
  <c r="N50" i="12"/>
  <c r="K50" i="12"/>
  <c r="AH49" i="12"/>
  <c r="AE49" i="12"/>
  <c r="Y49" i="12"/>
  <c r="T49" i="12"/>
  <c r="Q49" i="12"/>
  <c r="N49" i="12"/>
  <c r="K49" i="12"/>
  <c r="AH48" i="12"/>
  <c r="AE48" i="12"/>
  <c r="Y48" i="12"/>
  <c r="T48" i="12"/>
  <c r="Q48" i="12"/>
  <c r="N48" i="12"/>
  <c r="K48" i="12"/>
  <c r="AH47" i="12"/>
  <c r="AE47" i="12"/>
  <c r="Y47" i="12"/>
  <c r="T47" i="12"/>
  <c r="Q47" i="12"/>
  <c r="N47" i="12"/>
  <c r="K47" i="12"/>
  <c r="AH46" i="12"/>
  <c r="AE46" i="12"/>
  <c r="Y46" i="12"/>
  <c r="T46" i="12"/>
  <c r="Q46" i="12"/>
  <c r="N46" i="12"/>
  <c r="K46" i="12"/>
  <c r="E1109" i="9"/>
  <c r="E1101" i="9"/>
  <c r="E1093" i="9"/>
  <c r="E1085" i="9"/>
  <c r="E1077" i="9"/>
  <c r="E1069" i="9"/>
  <c r="E1061" i="9"/>
  <c r="E1053" i="9"/>
  <c r="E1045" i="9"/>
  <c r="E1037" i="9"/>
  <c r="E1029" i="9"/>
  <c r="E1021" i="9"/>
  <c r="E1013" i="9"/>
  <c r="E1005" i="9"/>
  <c r="E997" i="9"/>
  <c r="E981" i="9"/>
  <c r="E973" i="9"/>
  <c r="E933" i="9"/>
  <c r="E925" i="9"/>
  <c r="E917" i="9"/>
  <c r="E909" i="9"/>
  <c r="E901" i="9"/>
  <c r="E893" i="9"/>
  <c r="E885" i="9"/>
  <c r="E877" i="9"/>
  <c r="E869" i="9"/>
  <c r="E861" i="9"/>
  <c r="E853" i="9"/>
  <c r="E845" i="9"/>
  <c r="E837" i="9"/>
  <c r="E829" i="9"/>
  <c r="E821" i="9"/>
  <c r="E813" i="9"/>
  <c r="E805" i="9"/>
  <c r="E797" i="9"/>
  <c r="E789" i="9"/>
  <c r="E781" i="9"/>
  <c r="E773" i="9"/>
  <c r="E765" i="9"/>
  <c r="E757" i="9"/>
  <c r="E749" i="9"/>
  <c r="E741" i="9"/>
  <c r="E733" i="9"/>
  <c r="E725" i="9"/>
  <c r="E717" i="9"/>
  <c r="E709" i="9"/>
  <c r="E701" i="9"/>
  <c r="E693" i="9"/>
  <c r="E685" i="9"/>
  <c r="E677" i="9"/>
  <c r="E669" i="9"/>
  <c r="E661" i="9"/>
  <c r="E653" i="9"/>
  <c r="E645" i="9"/>
  <c r="E637" i="9"/>
  <c r="E629" i="9"/>
  <c r="E557" i="9"/>
  <c r="E549" i="9"/>
  <c r="E541" i="9"/>
  <c r="E533" i="9"/>
  <c r="E525" i="9"/>
  <c r="E517" i="9"/>
  <c r="E509" i="9"/>
  <c r="E501" i="9"/>
  <c r="E493" i="9"/>
  <c r="E485" i="9"/>
  <c r="E477" i="9"/>
  <c r="E469" i="9"/>
  <c r="E461" i="9"/>
  <c r="E453" i="9"/>
  <c r="E445" i="9"/>
  <c r="E437" i="9"/>
  <c r="E429" i="9"/>
  <c r="E421" i="9"/>
  <c r="E413" i="9"/>
  <c r="E405" i="9"/>
  <c r="E397" i="9"/>
  <c r="E389" i="9"/>
  <c r="E381" i="9"/>
  <c r="E373" i="9"/>
  <c r="E365" i="9"/>
  <c r="E349" i="9"/>
  <c r="E341" i="9"/>
  <c r="E333" i="9"/>
  <c r="E325" i="9"/>
  <c r="E317" i="9"/>
  <c r="E309" i="9"/>
  <c r="E301" i="9"/>
  <c r="E293" i="9"/>
  <c r="E285" i="9"/>
  <c r="E277" i="9"/>
  <c r="E269" i="9"/>
  <c r="E261" i="9"/>
  <c r="E253" i="9"/>
  <c r="E221" i="9"/>
  <c r="E213" i="9"/>
  <c r="E205" i="9"/>
  <c r="E197" i="9"/>
  <c r="E189" i="9"/>
  <c r="E181" i="9"/>
  <c r="E173" i="9"/>
  <c r="E165" i="9"/>
  <c r="E157" i="9"/>
  <c r="E149" i="9"/>
  <c r="E141" i="9"/>
  <c r="E133" i="9"/>
  <c r="E125" i="9"/>
  <c r="E101" i="9"/>
  <c r="E85" i="9"/>
  <c r="E77" i="9"/>
  <c r="E69" i="9"/>
  <c r="E61" i="9"/>
  <c r="E53" i="9"/>
  <c r="E45" i="9"/>
  <c r="E37" i="9"/>
  <c r="E29" i="9"/>
  <c r="E21" i="9"/>
  <c r="C21" i="9"/>
  <c r="D21" i="9"/>
  <c r="C22" i="10"/>
  <c r="D22" i="10" s="1"/>
  <c r="C23" i="10" s="1"/>
  <c r="D23" i="10" s="1"/>
  <c r="D37" i="9" s="1"/>
  <c r="Y1115" i="9"/>
  <c r="V1115" i="9"/>
  <c r="S1115" i="9"/>
  <c r="P1115" i="9"/>
  <c r="M1115" i="9"/>
  <c r="J1115" i="9"/>
  <c r="Y1114" i="9"/>
  <c r="V1114" i="9"/>
  <c r="S1114" i="9"/>
  <c r="P1114" i="9"/>
  <c r="M1114" i="9"/>
  <c r="J1114" i="9"/>
  <c r="Y1113" i="9"/>
  <c r="V1113" i="9"/>
  <c r="S1113" i="9"/>
  <c r="P1113" i="9"/>
  <c r="M1113" i="9"/>
  <c r="J1113" i="9"/>
  <c r="Y1112" i="9"/>
  <c r="V1112" i="9"/>
  <c r="S1112" i="9"/>
  <c r="P1112" i="9"/>
  <c r="M1112" i="9"/>
  <c r="J1112" i="9"/>
  <c r="Y1111" i="9"/>
  <c r="V1111" i="9"/>
  <c r="S1111" i="9"/>
  <c r="P1111" i="9"/>
  <c r="M1111" i="9"/>
  <c r="J1111" i="9"/>
  <c r="Y1110" i="9"/>
  <c r="V1110" i="9"/>
  <c r="S1110" i="9"/>
  <c r="P1110" i="9"/>
  <c r="M1110" i="9"/>
  <c r="J1110" i="9"/>
  <c r="Y1109" i="9"/>
  <c r="V1109" i="9"/>
  <c r="S1109" i="9"/>
  <c r="P1109" i="9"/>
  <c r="M1109" i="9"/>
  <c r="J1109" i="9"/>
  <c r="Y1107" i="9"/>
  <c r="V1107" i="9"/>
  <c r="S1107" i="9"/>
  <c r="P1107" i="9"/>
  <c r="M1107" i="9"/>
  <c r="J1107" i="9"/>
  <c r="Y1106" i="9"/>
  <c r="V1106" i="9"/>
  <c r="S1106" i="9"/>
  <c r="P1106" i="9"/>
  <c r="M1106" i="9"/>
  <c r="J1106" i="9"/>
  <c r="Y1105" i="9"/>
  <c r="V1105" i="9"/>
  <c r="S1105" i="9"/>
  <c r="P1105" i="9"/>
  <c r="M1105" i="9"/>
  <c r="J1105" i="9"/>
  <c r="Y1104" i="9"/>
  <c r="V1104" i="9"/>
  <c r="S1104" i="9"/>
  <c r="P1104" i="9"/>
  <c r="M1104" i="9"/>
  <c r="J1104" i="9"/>
  <c r="Y1103" i="9"/>
  <c r="V1103" i="9"/>
  <c r="S1103" i="9"/>
  <c r="P1103" i="9"/>
  <c r="M1103" i="9"/>
  <c r="J1103" i="9"/>
  <c r="Y1102" i="9"/>
  <c r="V1102" i="9"/>
  <c r="S1102" i="9"/>
  <c r="P1102" i="9"/>
  <c r="M1102" i="9"/>
  <c r="J1102" i="9"/>
  <c r="Y1101" i="9"/>
  <c r="V1101" i="9"/>
  <c r="S1101" i="9"/>
  <c r="P1101" i="9"/>
  <c r="M1101" i="9"/>
  <c r="J1101" i="9"/>
  <c r="Y1099" i="9"/>
  <c r="V1099" i="9"/>
  <c r="S1099" i="9"/>
  <c r="P1099" i="9"/>
  <c r="M1099" i="9"/>
  <c r="J1099" i="9"/>
  <c r="Y1098" i="9"/>
  <c r="V1098" i="9"/>
  <c r="S1098" i="9"/>
  <c r="P1098" i="9"/>
  <c r="M1098" i="9"/>
  <c r="J1098" i="9"/>
  <c r="Y1097" i="9"/>
  <c r="V1097" i="9"/>
  <c r="S1097" i="9"/>
  <c r="P1097" i="9"/>
  <c r="M1097" i="9"/>
  <c r="J1097" i="9"/>
  <c r="Y1096" i="9"/>
  <c r="V1096" i="9"/>
  <c r="S1096" i="9"/>
  <c r="P1096" i="9"/>
  <c r="M1096" i="9"/>
  <c r="J1096" i="9"/>
  <c r="Y1095" i="9"/>
  <c r="V1095" i="9"/>
  <c r="S1095" i="9"/>
  <c r="P1095" i="9"/>
  <c r="M1095" i="9"/>
  <c r="J1095" i="9"/>
  <c r="Y1094" i="9"/>
  <c r="V1094" i="9"/>
  <c r="S1094" i="9"/>
  <c r="P1094" i="9"/>
  <c r="M1094" i="9"/>
  <c r="J1094" i="9"/>
  <c r="Y1093" i="9"/>
  <c r="V1093" i="9"/>
  <c r="S1093" i="9"/>
  <c r="P1093" i="9"/>
  <c r="M1093" i="9"/>
  <c r="J1093" i="9"/>
  <c r="Y1091" i="9"/>
  <c r="V1091" i="9"/>
  <c r="S1091" i="9"/>
  <c r="P1091" i="9"/>
  <c r="M1091" i="9"/>
  <c r="J1091" i="9"/>
  <c r="Y1090" i="9"/>
  <c r="V1090" i="9"/>
  <c r="S1090" i="9"/>
  <c r="P1090" i="9"/>
  <c r="M1090" i="9"/>
  <c r="J1090" i="9"/>
  <c r="Y1089" i="9"/>
  <c r="V1089" i="9"/>
  <c r="S1089" i="9"/>
  <c r="P1089" i="9"/>
  <c r="M1089" i="9"/>
  <c r="J1089" i="9"/>
  <c r="Y1088" i="9"/>
  <c r="V1088" i="9"/>
  <c r="S1088" i="9"/>
  <c r="P1088" i="9"/>
  <c r="M1088" i="9"/>
  <c r="J1088" i="9"/>
  <c r="Y1087" i="9"/>
  <c r="V1087" i="9"/>
  <c r="S1087" i="9"/>
  <c r="P1087" i="9"/>
  <c r="M1087" i="9"/>
  <c r="J1087" i="9"/>
  <c r="Y1086" i="9"/>
  <c r="V1086" i="9"/>
  <c r="S1086" i="9"/>
  <c r="P1086" i="9"/>
  <c r="M1086" i="9"/>
  <c r="J1086" i="9"/>
  <c r="Y1085" i="9"/>
  <c r="V1085" i="9"/>
  <c r="S1085" i="9"/>
  <c r="P1085" i="9"/>
  <c r="M1085" i="9"/>
  <c r="J1085" i="9"/>
  <c r="Y1083" i="9"/>
  <c r="V1083" i="9"/>
  <c r="S1083" i="9"/>
  <c r="P1083" i="9"/>
  <c r="M1083" i="9"/>
  <c r="J1083" i="9"/>
  <c r="Y1082" i="9"/>
  <c r="V1082" i="9"/>
  <c r="S1082" i="9"/>
  <c r="P1082" i="9"/>
  <c r="M1082" i="9"/>
  <c r="J1082" i="9"/>
  <c r="Y1081" i="9"/>
  <c r="V1081" i="9"/>
  <c r="S1081" i="9"/>
  <c r="P1081" i="9"/>
  <c r="M1081" i="9"/>
  <c r="J1081" i="9"/>
  <c r="Y1080" i="9"/>
  <c r="V1080" i="9"/>
  <c r="S1080" i="9"/>
  <c r="P1080" i="9"/>
  <c r="M1080" i="9"/>
  <c r="J1080" i="9"/>
  <c r="Y1079" i="9"/>
  <c r="V1079" i="9"/>
  <c r="S1079" i="9"/>
  <c r="P1079" i="9"/>
  <c r="M1079" i="9"/>
  <c r="J1079" i="9"/>
  <c r="Y1078" i="9"/>
  <c r="V1078" i="9"/>
  <c r="S1078" i="9"/>
  <c r="P1078" i="9"/>
  <c r="M1078" i="9"/>
  <c r="J1078" i="9"/>
  <c r="Y1077" i="9"/>
  <c r="V1077" i="9"/>
  <c r="S1077" i="9"/>
  <c r="P1077" i="9"/>
  <c r="M1077" i="9"/>
  <c r="J1077" i="9"/>
  <c r="Y1075" i="9"/>
  <c r="V1075" i="9"/>
  <c r="S1075" i="9"/>
  <c r="P1075" i="9"/>
  <c r="M1075" i="9"/>
  <c r="J1075" i="9"/>
  <c r="Y1074" i="9"/>
  <c r="V1074" i="9"/>
  <c r="S1074" i="9"/>
  <c r="P1074" i="9"/>
  <c r="M1074" i="9"/>
  <c r="J1074" i="9"/>
  <c r="Y1073" i="9"/>
  <c r="V1073" i="9"/>
  <c r="S1073" i="9"/>
  <c r="P1073" i="9"/>
  <c r="M1073" i="9"/>
  <c r="J1073" i="9"/>
  <c r="Y1072" i="9"/>
  <c r="V1072" i="9"/>
  <c r="S1072" i="9"/>
  <c r="P1072" i="9"/>
  <c r="M1072" i="9"/>
  <c r="J1072" i="9"/>
  <c r="Y1071" i="9"/>
  <c r="V1071" i="9"/>
  <c r="S1071" i="9"/>
  <c r="P1071" i="9"/>
  <c r="M1071" i="9"/>
  <c r="J1071" i="9"/>
  <c r="Y1070" i="9"/>
  <c r="V1070" i="9"/>
  <c r="S1070" i="9"/>
  <c r="P1070" i="9"/>
  <c r="M1070" i="9"/>
  <c r="J1070" i="9"/>
  <c r="Y1069" i="9"/>
  <c r="V1069" i="9"/>
  <c r="S1069" i="9"/>
  <c r="P1069" i="9"/>
  <c r="M1069" i="9"/>
  <c r="J1069" i="9"/>
  <c r="Y1067" i="9"/>
  <c r="V1067" i="9"/>
  <c r="S1067" i="9"/>
  <c r="P1067" i="9"/>
  <c r="M1067" i="9"/>
  <c r="J1067" i="9"/>
  <c r="Y1066" i="9"/>
  <c r="V1066" i="9"/>
  <c r="S1066" i="9"/>
  <c r="P1066" i="9"/>
  <c r="M1066" i="9"/>
  <c r="J1066" i="9"/>
  <c r="Y1065" i="9"/>
  <c r="V1065" i="9"/>
  <c r="S1065" i="9"/>
  <c r="P1065" i="9"/>
  <c r="M1065" i="9"/>
  <c r="J1065" i="9"/>
  <c r="Y1064" i="9"/>
  <c r="V1064" i="9"/>
  <c r="S1064" i="9"/>
  <c r="P1064" i="9"/>
  <c r="M1064" i="9"/>
  <c r="J1064" i="9"/>
  <c r="Y1063" i="9"/>
  <c r="V1063" i="9"/>
  <c r="S1063" i="9"/>
  <c r="P1063" i="9"/>
  <c r="M1063" i="9"/>
  <c r="J1063" i="9"/>
  <c r="Y1062" i="9"/>
  <c r="V1062" i="9"/>
  <c r="S1062" i="9"/>
  <c r="P1062" i="9"/>
  <c r="M1062" i="9"/>
  <c r="J1062" i="9"/>
  <c r="Y1061" i="9"/>
  <c r="V1061" i="9"/>
  <c r="S1061" i="9"/>
  <c r="P1061" i="9"/>
  <c r="M1061" i="9"/>
  <c r="J1061" i="9"/>
  <c r="Y1059" i="9"/>
  <c r="V1059" i="9"/>
  <c r="S1059" i="9"/>
  <c r="P1059" i="9"/>
  <c r="M1059" i="9"/>
  <c r="J1059" i="9"/>
  <c r="Y1058" i="9"/>
  <c r="V1058" i="9"/>
  <c r="S1058" i="9"/>
  <c r="P1058" i="9"/>
  <c r="M1058" i="9"/>
  <c r="J1058" i="9"/>
  <c r="Y1057" i="9"/>
  <c r="V1057" i="9"/>
  <c r="S1057" i="9"/>
  <c r="P1057" i="9"/>
  <c r="M1057" i="9"/>
  <c r="J1057" i="9"/>
  <c r="Y1056" i="9"/>
  <c r="V1056" i="9"/>
  <c r="S1056" i="9"/>
  <c r="P1056" i="9"/>
  <c r="M1056" i="9"/>
  <c r="J1056" i="9"/>
  <c r="Y1055" i="9"/>
  <c r="V1055" i="9"/>
  <c r="S1055" i="9"/>
  <c r="P1055" i="9"/>
  <c r="M1055" i="9"/>
  <c r="J1055" i="9"/>
  <c r="Y1054" i="9"/>
  <c r="V1054" i="9"/>
  <c r="S1054" i="9"/>
  <c r="P1054" i="9"/>
  <c r="M1054" i="9"/>
  <c r="J1054" i="9"/>
  <c r="Y1053" i="9"/>
  <c r="V1053" i="9"/>
  <c r="S1053" i="9"/>
  <c r="P1053" i="9"/>
  <c r="M1053" i="9"/>
  <c r="J1053" i="9"/>
  <c r="Y1051" i="9"/>
  <c r="V1051" i="9"/>
  <c r="S1051" i="9"/>
  <c r="P1051" i="9"/>
  <c r="M1051" i="9"/>
  <c r="J1051" i="9"/>
  <c r="Y1050" i="9"/>
  <c r="V1050" i="9"/>
  <c r="S1050" i="9"/>
  <c r="P1050" i="9"/>
  <c r="M1050" i="9"/>
  <c r="J1050" i="9"/>
  <c r="Y1049" i="9"/>
  <c r="V1049" i="9"/>
  <c r="S1049" i="9"/>
  <c r="P1049" i="9"/>
  <c r="M1049" i="9"/>
  <c r="J1049" i="9"/>
  <c r="Y1048" i="9"/>
  <c r="V1048" i="9"/>
  <c r="S1048" i="9"/>
  <c r="P1048" i="9"/>
  <c r="M1048" i="9"/>
  <c r="J1048" i="9"/>
  <c r="Y1047" i="9"/>
  <c r="V1047" i="9"/>
  <c r="S1047" i="9"/>
  <c r="P1047" i="9"/>
  <c r="M1047" i="9"/>
  <c r="J1047" i="9"/>
  <c r="Y1046" i="9"/>
  <c r="V1046" i="9"/>
  <c r="S1046" i="9"/>
  <c r="P1046" i="9"/>
  <c r="M1046" i="9"/>
  <c r="J1046" i="9"/>
  <c r="Y1045" i="9"/>
  <c r="V1045" i="9"/>
  <c r="S1045" i="9"/>
  <c r="P1045" i="9"/>
  <c r="M1045" i="9"/>
  <c r="J1045" i="9"/>
  <c r="Y1043" i="9"/>
  <c r="V1043" i="9"/>
  <c r="S1043" i="9"/>
  <c r="P1043" i="9"/>
  <c r="M1043" i="9"/>
  <c r="J1043" i="9"/>
  <c r="Y1042" i="9"/>
  <c r="V1042" i="9"/>
  <c r="S1042" i="9"/>
  <c r="P1042" i="9"/>
  <c r="M1042" i="9"/>
  <c r="J1042" i="9"/>
  <c r="Y1041" i="9"/>
  <c r="V1041" i="9"/>
  <c r="S1041" i="9"/>
  <c r="P1041" i="9"/>
  <c r="M1041" i="9"/>
  <c r="J1041" i="9"/>
  <c r="Y1040" i="9"/>
  <c r="V1040" i="9"/>
  <c r="S1040" i="9"/>
  <c r="P1040" i="9"/>
  <c r="M1040" i="9"/>
  <c r="J1040" i="9"/>
  <c r="Y1039" i="9"/>
  <c r="V1039" i="9"/>
  <c r="S1039" i="9"/>
  <c r="P1039" i="9"/>
  <c r="M1039" i="9"/>
  <c r="J1039" i="9"/>
  <c r="Y1038" i="9"/>
  <c r="V1038" i="9"/>
  <c r="S1038" i="9"/>
  <c r="P1038" i="9"/>
  <c r="M1038" i="9"/>
  <c r="J1038" i="9"/>
  <c r="Y1037" i="9"/>
  <c r="V1037" i="9"/>
  <c r="S1037" i="9"/>
  <c r="P1037" i="9"/>
  <c r="M1037" i="9"/>
  <c r="J1037" i="9"/>
  <c r="Y1035" i="9"/>
  <c r="V1035" i="9"/>
  <c r="S1035" i="9"/>
  <c r="P1035" i="9"/>
  <c r="M1035" i="9"/>
  <c r="J1035" i="9"/>
  <c r="Y1034" i="9"/>
  <c r="V1034" i="9"/>
  <c r="S1034" i="9"/>
  <c r="P1034" i="9"/>
  <c r="M1034" i="9"/>
  <c r="J1034" i="9"/>
  <c r="Y1033" i="9"/>
  <c r="V1033" i="9"/>
  <c r="S1033" i="9"/>
  <c r="P1033" i="9"/>
  <c r="M1033" i="9"/>
  <c r="J1033" i="9"/>
  <c r="Y1032" i="9"/>
  <c r="V1032" i="9"/>
  <c r="S1032" i="9"/>
  <c r="P1032" i="9"/>
  <c r="M1032" i="9"/>
  <c r="J1032" i="9"/>
  <c r="Y1031" i="9"/>
  <c r="V1031" i="9"/>
  <c r="S1031" i="9"/>
  <c r="P1031" i="9"/>
  <c r="M1031" i="9"/>
  <c r="J1031" i="9"/>
  <c r="Y1030" i="9"/>
  <c r="V1030" i="9"/>
  <c r="S1030" i="9"/>
  <c r="P1030" i="9"/>
  <c r="M1030" i="9"/>
  <c r="J1030" i="9"/>
  <c r="Y1029" i="9"/>
  <c r="V1029" i="9"/>
  <c r="S1029" i="9"/>
  <c r="P1029" i="9"/>
  <c r="M1029" i="9"/>
  <c r="J1029" i="9"/>
  <c r="Y1027" i="9"/>
  <c r="V1027" i="9"/>
  <c r="S1027" i="9"/>
  <c r="P1027" i="9"/>
  <c r="M1027" i="9"/>
  <c r="J1027" i="9"/>
  <c r="Y1026" i="9"/>
  <c r="V1026" i="9"/>
  <c r="S1026" i="9"/>
  <c r="P1026" i="9"/>
  <c r="M1026" i="9"/>
  <c r="J1026" i="9"/>
  <c r="Y1025" i="9"/>
  <c r="V1025" i="9"/>
  <c r="S1025" i="9"/>
  <c r="P1025" i="9"/>
  <c r="M1025" i="9"/>
  <c r="J1025" i="9"/>
  <c r="Y1024" i="9"/>
  <c r="V1024" i="9"/>
  <c r="S1024" i="9"/>
  <c r="P1024" i="9"/>
  <c r="M1024" i="9"/>
  <c r="J1024" i="9"/>
  <c r="Y1023" i="9"/>
  <c r="V1023" i="9"/>
  <c r="S1023" i="9"/>
  <c r="P1023" i="9"/>
  <c r="M1023" i="9"/>
  <c r="J1023" i="9"/>
  <c r="Y1022" i="9"/>
  <c r="V1022" i="9"/>
  <c r="S1022" i="9"/>
  <c r="P1022" i="9"/>
  <c r="M1022" i="9"/>
  <c r="J1022" i="9"/>
  <c r="Y1021" i="9"/>
  <c r="V1021" i="9"/>
  <c r="S1021" i="9"/>
  <c r="P1021" i="9"/>
  <c r="M1021" i="9"/>
  <c r="J1021" i="9"/>
  <c r="Y1019" i="9"/>
  <c r="V1019" i="9"/>
  <c r="S1019" i="9"/>
  <c r="P1019" i="9"/>
  <c r="M1019" i="9"/>
  <c r="J1019" i="9"/>
  <c r="Y1018" i="9"/>
  <c r="V1018" i="9"/>
  <c r="S1018" i="9"/>
  <c r="P1018" i="9"/>
  <c r="M1018" i="9"/>
  <c r="J1018" i="9"/>
  <c r="Y1017" i="9"/>
  <c r="V1017" i="9"/>
  <c r="S1017" i="9"/>
  <c r="P1017" i="9"/>
  <c r="M1017" i="9"/>
  <c r="J1017" i="9"/>
  <c r="Y1016" i="9"/>
  <c r="V1016" i="9"/>
  <c r="S1016" i="9"/>
  <c r="P1016" i="9"/>
  <c r="M1016" i="9"/>
  <c r="J1016" i="9"/>
  <c r="Y1015" i="9"/>
  <c r="V1015" i="9"/>
  <c r="S1015" i="9"/>
  <c r="P1015" i="9"/>
  <c r="M1015" i="9"/>
  <c r="J1015" i="9"/>
  <c r="Y1014" i="9"/>
  <c r="V1014" i="9"/>
  <c r="S1014" i="9"/>
  <c r="P1014" i="9"/>
  <c r="M1014" i="9"/>
  <c r="J1014" i="9"/>
  <c r="Y1013" i="9"/>
  <c r="V1013" i="9"/>
  <c r="S1013" i="9"/>
  <c r="P1013" i="9"/>
  <c r="M1013" i="9"/>
  <c r="J1013" i="9"/>
  <c r="Y1011" i="9"/>
  <c r="V1011" i="9"/>
  <c r="S1011" i="9"/>
  <c r="P1011" i="9"/>
  <c r="M1011" i="9"/>
  <c r="J1011" i="9"/>
  <c r="Y1010" i="9"/>
  <c r="V1010" i="9"/>
  <c r="S1010" i="9"/>
  <c r="P1010" i="9"/>
  <c r="M1010" i="9"/>
  <c r="J1010" i="9"/>
  <c r="Y1009" i="9"/>
  <c r="V1009" i="9"/>
  <c r="S1009" i="9"/>
  <c r="P1009" i="9"/>
  <c r="M1009" i="9"/>
  <c r="J1009" i="9"/>
  <c r="Y1008" i="9"/>
  <c r="V1008" i="9"/>
  <c r="S1008" i="9"/>
  <c r="P1008" i="9"/>
  <c r="M1008" i="9"/>
  <c r="J1008" i="9"/>
  <c r="Y1007" i="9"/>
  <c r="V1007" i="9"/>
  <c r="S1007" i="9"/>
  <c r="P1007" i="9"/>
  <c r="M1007" i="9"/>
  <c r="J1007" i="9"/>
  <c r="Y1006" i="9"/>
  <c r="V1006" i="9"/>
  <c r="S1006" i="9"/>
  <c r="P1006" i="9"/>
  <c r="M1006" i="9"/>
  <c r="J1006" i="9"/>
  <c r="Y1005" i="9"/>
  <c r="V1005" i="9"/>
  <c r="S1005" i="9"/>
  <c r="P1005" i="9"/>
  <c r="M1005" i="9"/>
  <c r="J1005" i="9"/>
  <c r="Y1003" i="9"/>
  <c r="V1003" i="9"/>
  <c r="S1003" i="9"/>
  <c r="P1003" i="9"/>
  <c r="M1003" i="9"/>
  <c r="J1003" i="9"/>
  <c r="Y1002" i="9"/>
  <c r="V1002" i="9"/>
  <c r="S1002" i="9"/>
  <c r="P1002" i="9"/>
  <c r="M1002" i="9"/>
  <c r="J1002" i="9"/>
  <c r="Y1001" i="9"/>
  <c r="V1001" i="9"/>
  <c r="S1001" i="9"/>
  <c r="P1001" i="9"/>
  <c r="M1001" i="9"/>
  <c r="J1001" i="9"/>
  <c r="Y1000" i="9"/>
  <c r="V1000" i="9"/>
  <c r="S1000" i="9"/>
  <c r="P1000" i="9"/>
  <c r="M1000" i="9"/>
  <c r="J1000" i="9"/>
  <c r="Y999" i="9"/>
  <c r="V999" i="9"/>
  <c r="S999" i="9"/>
  <c r="P999" i="9"/>
  <c r="M999" i="9"/>
  <c r="J999" i="9"/>
  <c r="Y998" i="9"/>
  <c r="V998" i="9"/>
  <c r="S998" i="9"/>
  <c r="P998" i="9"/>
  <c r="M998" i="9"/>
  <c r="J998" i="9"/>
  <c r="Y997" i="9"/>
  <c r="V997" i="9"/>
  <c r="S997" i="9"/>
  <c r="P997" i="9"/>
  <c r="M997" i="9"/>
  <c r="J997" i="9"/>
  <c r="Y987" i="9"/>
  <c r="V987" i="9"/>
  <c r="S987" i="9"/>
  <c r="P987" i="9"/>
  <c r="M987" i="9"/>
  <c r="J987" i="9"/>
  <c r="Y986" i="9"/>
  <c r="V986" i="9"/>
  <c r="S986" i="9"/>
  <c r="P986" i="9"/>
  <c r="M986" i="9"/>
  <c r="J986" i="9"/>
  <c r="Y985" i="9"/>
  <c r="V985" i="9"/>
  <c r="S985" i="9"/>
  <c r="P985" i="9"/>
  <c r="M985" i="9"/>
  <c r="J985" i="9"/>
  <c r="Y984" i="9"/>
  <c r="V984" i="9"/>
  <c r="S984" i="9"/>
  <c r="P984" i="9"/>
  <c r="M984" i="9"/>
  <c r="J984" i="9"/>
  <c r="Y983" i="9"/>
  <c r="V983" i="9"/>
  <c r="S983" i="9"/>
  <c r="P983" i="9"/>
  <c r="M983" i="9"/>
  <c r="J983" i="9"/>
  <c r="Y982" i="9"/>
  <c r="V982" i="9"/>
  <c r="S982" i="9"/>
  <c r="P982" i="9"/>
  <c r="M982" i="9"/>
  <c r="J982" i="9"/>
  <c r="Y981" i="9"/>
  <c r="V981" i="9"/>
  <c r="S981" i="9"/>
  <c r="P981" i="9"/>
  <c r="M981" i="9"/>
  <c r="J981" i="9"/>
  <c r="Y979" i="9"/>
  <c r="V979" i="9"/>
  <c r="S979" i="9"/>
  <c r="P979" i="9"/>
  <c r="M979" i="9"/>
  <c r="J979" i="9"/>
  <c r="Y978" i="9"/>
  <c r="V978" i="9"/>
  <c r="S978" i="9"/>
  <c r="P978" i="9"/>
  <c r="M978" i="9"/>
  <c r="J978" i="9"/>
  <c r="Y977" i="9"/>
  <c r="V977" i="9"/>
  <c r="S977" i="9"/>
  <c r="P977" i="9"/>
  <c r="M977" i="9"/>
  <c r="J977" i="9"/>
  <c r="Y976" i="9"/>
  <c r="V976" i="9"/>
  <c r="S976" i="9"/>
  <c r="P976" i="9"/>
  <c r="M976" i="9"/>
  <c r="J976" i="9"/>
  <c r="Y975" i="9"/>
  <c r="V975" i="9"/>
  <c r="S975" i="9"/>
  <c r="P975" i="9"/>
  <c r="M975" i="9"/>
  <c r="J975" i="9"/>
  <c r="Y974" i="9"/>
  <c r="V974" i="9"/>
  <c r="S974" i="9"/>
  <c r="P974" i="9"/>
  <c r="M974" i="9"/>
  <c r="J974" i="9"/>
  <c r="Y973" i="9"/>
  <c r="V973" i="9"/>
  <c r="S973" i="9"/>
  <c r="P973" i="9"/>
  <c r="M973" i="9"/>
  <c r="J973" i="9"/>
  <c r="Y939" i="9"/>
  <c r="V939" i="9"/>
  <c r="S939" i="9"/>
  <c r="P939" i="9"/>
  <c r="M939" i="9"/>
  <c r="J939" i="9"/>
  <c r="Y938" i="9"/>
  <c r="V938" i="9"/>
  <c r="S938" i="9"/>
  <c r="P938" i="9"/>
  <c r="M938" i="9"/>
  <c r="J938" i="9"/>
  <c r="Y937" i="9"/>
  <c r="V937" i="9"/>
  <c r="S937" i="9"/>
  <c r="P937" i="9"/>
  <c r="M937" i="9"/>
  <c r="J937" i="9"/>
  <c r="Y936" i="9"/>
  <c r="V936" i="9"/>
  <c r="S936" i="9"/>
  <c r="P936" i="9"/>
  <c r="M936" i="9"/>
  <c r="J936" i="9"/>
  <c r="Y935" i="9"/>
  <c r="V935" i="9"/>
  <c r="S935" i="9"/>
  <c r="P935" i="9"/>
  <c r="M935" i="9"/>
  <c r="J935" i="9"/>
  <c r="Y934" i="9"/>
  <c r="V934" i="9"/>
  <c r="S934" i="9"/>
  <c r="P934" i="9"/>
  <c r="M934" i="9"/>
  <c r="J934" i="9"/>
  <c r="Y933" i="9"/>
  <c r="V933" i="9"/>
  <c r="S933" i="9"/>
  <c r="P933" i="9"/>
  <c r="M933" i="9"/>
  <c r="J933" i="9"/>
  <c r="Y931" i="9"/>
  <c r="V931" i="9"/>
  <c r="S931" i="9"/>
  <c r="P931" i="9"/>
  <c r="M931" i="9"/>
  <c r="J931" i="9"/>
  <c r="Y930" i="9"/>
  <c r="V930" i="9"/>
  <c r="S930" i="9"/>
  <c r="P930" i="9"/>
  <c r="M930" i="9"/>
  <c r="J930" i="9"/>
  <c r="Y929" i="9"/>
  <c r="V929" i="9"/>
  <c r="S929" i="9"/>
  <c r="P929" i="9"/>
  <c r="M929" i="9"/>
  <c r="J929" i="9"/>
  <c r="Y928" i="9"/>
  <c r="V928" i="9"/>
  <c r="S928" i="9"/>
  <c r="P928" i="9"/>
  <c r="M928" i="9"/>
  <c r="J928" i="9"/>
  <c r="Y927" i="9"/>
  <c r="V927" i="9"/>
  <c r="S927" i="9"/>
  <c r="P927" i="9"/>
  <c r="M927" i="9"/>
  <c r="J927" i="9"/>
  <c r="Y926" i="9"/>
  <c r="V926" i="9"/>
  <c r="S926" i="9"/>
  <c r="P926" i="9"/>
  <c r="M926" i="9"/>
  <c r="J926" i="9"/>
  <c r="Y925" i="9"/>
  <c r="V925" i="9"/>
  <c r="S925" i="9"/>
  <c r="P925" i="9"/>
  <c r="M925" i="9"/>
  <c r="J925" i="9"/>
  <c r="Y923" i="9"/>
  <c r="V923" i="9"/>
  <c r="S923" i="9"/>
  <c r="P923" i="9"/>
  <c r="M923" i="9"/>
  <c r="J923" i="9"/>
  <c r="Y922" i="9"/>
  <c r="V922" i="9"/>
  <c r="S922" i="9"/>
  <c r="P922" i="9"/>
  <c r="M922" i="9"/>
  <c r="J922" i="9"/>
  <c r="Y921" i="9"/>
  <c r="V921" i="9"/>
  <c r="S921" i="9"/>
  <c r="P921" i="9"/>
  <c r="M921" i="9"/>
  <c r="J921" i="9"/>
  <c r="Y920" i="9"/>
  <c r="V920" i="9"/>
  <c r="S920" i="9"/>
  <c r="P920" i="9"/>
  <c r="M920" i="9"/>
  <c r="J920" i="9"/>
  <c r="Y919" i="9"/>
  <c r="V919" i="9"/>
  <c r="S919" i="9"/>
  <c r="P919" i="9"/>
  <c r="M919" i="9"/>
  <c r="J919" i="9"/>
  <c r="Y918" i="9"/>
  <c r="V918" i="9"/>
  <c r="S918" i="9"/>
  <c r="P918" i="9"/>
  <c r="M918" i="9"/>
  <c r="J918" i="9"/>
  <c r="Y917" i="9"/>
  <c r="V917" i="9"/>
  <c r="S917" i="9"/>
  <c r="P917" i="9"/>
  <c r="M917" i="9"/>
  <c r="J917" i="9"/>
  <c r="Y915" i="9"/>
  <c r="V915" i="9"/>
  <c r="S915" i="9"/>
  <c r="P915" i="9"/>
  <c r="M915" i="9"/>
  <c r="J915" i="9"/>
  <c r="Y914" i="9"/>
  <c r="V914" i="9"/>
  <c r="S914" i="9"/>
  <c r="P914" i="9"/>
  <c r="M914" i="9"/>
  <c r="J914" i="9"/>
  <c r="Y913" i="9"/>
  <c r="V913" i="9"/>
  <c r="S913" i="9"/>
  <c r="P913" i="9"/>
  <c r="M913" i="9"/>
  <c r="J913" i="9"/>
  <c r="Y912" i="9"/>
  <c r="V912" i="9"/>
  <c r="S912" i="9"/>
  <c r="P912" i="9"/>
  <c r="M912" i="9"/>
  <c r="J912" i="9"/>
  <c r="Y911" i="9"/>
  <c r="V911" i="9"/>
  <c r="S911" i="9"/>
  <c r="P911" i="9"/>
  <c r="M911" i="9"/>
  <c r="J911" i="9"/>
  <c r="Y910" i="9"/>
  <c r="V910" i="9"/>
  <c r="S910" i="9"/>
  <c r="P910" i="9"/>
  <c r="M910" i="9"/>
  <c r="J910" i="9"/>
  <c r="Y909" i="9"/>
  <c r="V909" i="9"/>
  <c r="S909" i="9"/>
  <c r="P909" i="9"/>
  <c r="M909" i="9"/>
  <c r="J909" i="9"/>
  <c r="Y907" i="9"/>
  <c r="V907" i="9"/>
  <c r="S907" i="9"/>
  <c r="P907" i="9"/>
  <c r="M907" i="9"/>
  <c r="J907" i="9"/>
  <c r="Y906" i="9"/>
  <c r="V906" i="9"/>
  <c r="S906" i="9"/>
  <c r="P906" i="9"/>
  <c r="M906" i="9"/>
  <c r="J906" i="9"/>
  <c r="Y905" i="9"/>
  <c r="V905" i="9"/>
  <c r="S905" i="9"/>
  <c r="P905" i="9"/>
  <c r="M905" i="9"/>
  <c r="J905" i="9"/>
  <c r="Y904" i="9"/>
  <c r="V904" i="9"/>
  <c r="S904" i="9"/>
  <c r="P904" i="9"/>
  <c r="M904" i="9"/>
  <c r="J904" i="9"/>
  <c r="Y903" i="9"/>
  <c r="V903" i="9"/>
  <c r="S903" i="9"/>
  <c r="P903" i="9"/>
  <c r="M903" i="9"/>
  <c r="J903" i="9"/>
  <c r="Y902" i="9"/>
  <c r="V902" i="9"/>
  <c r="S902" i="9"/>
  <c r="P902" i="9"/>
  <c r="M902" i="9"/>
  <c r="J902" i="9"/>
  <c r="Y901" i="9"/>
  <c r="V901" i="9"/>
  <c r="S901" i="9"/>
  <c r="P901" i="9"/>
  <c r="M901" i="9"/>
  <c r="J901" i="9"/>
  <c r="Y899" i="9"/>
  <c r="V899" i="9"/>
  <c r="S899" i="9"/>
  <c r="P899" i="9"/>
  <c r="M899" i="9"/>
  <c r="J899" i="9"/>
  <c r="Y898" i="9"/>
  <c r="V898" i="9"/>
  <c r="S898" i="9"/>
  <c r="P898" i="9"/>
  <c r="M898" i="9"/>
  <c r="J898" i="9"/>
  <c r="Y897" i="9"/>
  <c r="V897" i="9"/>
  <c r="S897" i="9"/>
  <c r="P897" i="9"/>
  <c r="M897" i="9"/>
  <c r="J897" i="9"/>
  <c r="Y896" i="9"/>
  <c r="V896" i="9"/>
  <c r="S896" i="9"/>
  <c r="P896" i="9"/>
  <c r="M896" i="9"/>
  <c r="J896" i="9"/>
  <c r="Y895" i="9"/>
  <c r="V895" i="9"/>
  <c r="S895" i="9"/>
  <c r="P895" i="9"/>
  <c r="M895" i="9"/>
  <c r="J895" i="9"/>
  <c r="Y894" i="9"/>
  <c r="V894" i="9"/>
  <c r="S894" i="9"/>
  <c r="P894" i="9"/>
  <c r="M894" i="9"/>
  <c r="J894" i="9"/>
  <c r="Y893" i="9"/>
  <c r="V893" i="9"/>
  <c r="S893" i="9"/>
  <c r="P893" i="9"/>
  <c r="M893" i="9"/>
  <c r="J893" i="9"/>
  <c r="Y891" i="9"/>
  <c r="V891" i="9"/>
  <c r="S891" i="9"/>
  <c r="P891" i="9"/>
  <c r="M891" i="9"/>
  <c r="J891" i="9"/>
  <c r="Y890" i="9"/>
  <c r="V890" i="9"/>
  <c r="S890" i="9"/>
  <c r="P890" i="9"/>
  <c r="M890" i="9"/>
  <c r="J890" i="9"/>
  <c r="Y889" i="9"/>
  <c r="V889" i="9"/>
  <c r="S889" i="9"/>
  <c r="P889" i="9"/>
  <c r="M889" i="9"/>
  <c r="J889" i="9"/>
  <c r="Y888" i="9"/>
  <c r="V888" i="9"/>
  <c r="S888" i="9"/>
  <c r="P888" i="9"/>
  <c r="M888" i="9"/>
  <c r="J888" i="9"/>
  <c r="Y887" i="9"/>
  <c r="V887" i="9"/>
  <c r="S887" i="9"/>
  <c r="P887" i="9"/>
  <c r="M887" i="9"/>
  <c r="J887" i="9"/>
  <c r="Y886" i="9"/>
  <c r="V886" i="9"/>
  <c r="S886" i="9"/>
  <c r="P886" i="9"/>
  <c r="M886" i="9"/>
  <c r="J886" i="9"/>
  <c r="Y885" i="9"/>
  <c r="V885" i="9"/>
  <c r="S885" i="9"/>
  <c r="P885" i="9"/>
  <c r="M885" i="9"/>
  <c r="J885" i="9"/>
  <c r="Y883" i="9"/>
  <c r="V883" i="9"/>
  <c r="S883" i="9"/>
  <c r="P883" i="9"/>
  <c r="M883" i="9"/>
  <c r="J883" i="9"/>
  <c r="Y882" i="9"/>
  <c r="V882" i="9"/>
  <c r="S882" i="9"/>
  <c r="P882" i="9"/>
  <c r="M882" i="9"/>
  <c r="J882" i="9"/>
  <c r="Y881" i="9"/>
  <c r="V881" i="9"/>
  <c r="S881" i="9"/>
  <c r="P881" i="9"/>
  <c r="M881" i="9"/>
  <c r="J881" i="9"/>
  <c r="Y880" i="9"/>
  <c r="V880" i="9"/>
  <c r="S880" i="9"/>
  <c r="P880" i="9"/>
  <c r="M880" i="9"/>
  <c r="J880" i="9"/>
  <c r="Y879" i="9"/>
  <c r="V879" i="9"/>
  <c r="S879" i="9"/>
  <c r="P879" i="9"/>
  <c r="M879" i="9"/>
  <c r="J879" i="9"/>
  <c r="Y878" i="9"/>
  <c r="V878" i="9"/>
  <c r="S878" i="9"/>
  <c r="P878" i="9"/>
  <c r="M878" i="9"/>
  <c r="J878" i="9"/>
  <c r="Y877" i="9"/>
  <c r="V877" i="9"/>
  <c r="S877" i="9"/>
  <c r="P877" i="9"/>
  <c r="M877" i="9"/>
  <c r="J877" i="9"/>
  <c r="Y875" i="9"/>
  <c r="V875" i="9"/>
  <c r="S875" i="9"/>
  <c r="P875" i="9"/>
  <c r="M875" i="9"/>
  <c r="J875" i="9"/>
  <c r="Y874" i="9"/>
  <c r="V874" i="9"/>
  <c r="S874" i="9"/>
  <c r="P874" i="9"/>
  <c r="M874" i="9"/>
  <c r="J874" i="9"/>
  <c r="Y873" i="9"/>
  <c r="V873" i="9"/>
  <c r="S873" i="9"/>
  <c r="P873" i="9"/>
  <c r="M873" i="9"/>
  <c r="J873" i="9"/>
  <c r="Y872" i="9"/>
  <c r="V872" i="9"/>
  <c r="S872" i="9"/>
  <c r="P872" i="9"/>
  <c r="M872" i="9"/>
  <c r="J872" i="9"/>
  <c r="Y871" i="9"/>
  <c r="V871" i="9"/>
  <c r="S871" i="9"/>
  <c r="P871" i="9"/>
  <c r="M871" i="9"/>
  <c r="J871" i="9"/>
  <c r="Y870" i="9"/>
  <c r="V870" i="9"/>
  <c r="S870" i="9"/>
  <c r="P870" i="9"/>
  <c r="M870" i="9"/>
  <c r="J870" i="9"/>
  <c r="Y869" i="9"/>
  <c r="V869" i="9"/>
  <c r="S869" i="9"/>
  <c r="P869" i="9"/>
  <c r="M869" i="9"/>
  <c r="J869" i="9"/>
  <c r="Y867" i="9"/>
  <c r="V867" i="9"/>
  <c r="S867" i="9"/>
  <c r="P867" i="9"/>
  <c r="M867" i="9"/>
  <c r="J867" i="9"/>
  <c r="Y866" i="9"/>
  <c r="V866" i="9"/>
  <c r="S866" i="9"/>
  <c r="P866" i="9"/>
  <c r="M866" i="9"/>
  <c r="J866" i="9"/>
  <c r="Y865" i="9"/>
  <c r="V865" i="9"/>
  <c r="S865" i="9"/>
  <c r="P865" i="9"/>
  <c r="M865" i="9"/>
  <c r="J865" i="9"/>
  <c r="Y864" i="9"/>
  <c r="V864" i="9"/>
  <c r="S864" i="9"/>
  <c r="P864" i="9"/>
  <c r="M864" i="9"/>
  <c r="J864" i="9"/>
  <c r="Y863" i="9"/>
  <c r="V863" i="9"/>
  <c r="S863" i="9"/>
  <c r="P863" i="9"/>
  <c r="M863" i="9"/>
  <c r="J863" i="9"/>
  <c r="Y862" i="9"/>
  <c r="V862" i="9"/>
  <c r="S862" i="9"/>
  <c r="P862" i="9"/>
  <c r="M862" i="9"/>
  <c r="J862" i="9"/>
  <c r="Y861" i="9"/>
  <c r="V861" i="9"/>
  <c r="S861" i="9"/>
  <c r="P861" i="9"/>
  <c r="M861" i="9"/>
  <c r="J861" i="9"/>
  <c r="Y859" i="9"/>
  <c r="V859" i="9"/>
  <c r="S859" i="9"/>
  <c r="P859" i="9"/>
  <c r="M859" i="9"/>
  <c r="J859" i="9"/>
  <c r="Y858" i="9"/>
  <c r="V858" i="9"/>
  <c r="S858" i="9"/>
  <c r="P858" i="9"/>
  <c r="M858" i="9"/>
  <c r="J858" i="9"/>
  <c r="Y857" i="9"/>
  <c r="V857" i="9"/>
  <c r="S857" i="9"/>
  <c r="P857" i="9"/>
  <c r="M857" i="9"/>
  <c r="J857" i="9"/>
  <c r="Y856" i="9"/>
  <c r="V856" i="9"/>
  <c r="S856" i="9"/>
  <c r="P856" i="9"/>
  <c r="M856" i="9"/>
  <c r="J856" i="9"/>
  <c r="Y855" i="9"/>
  <c r="V855" i="9"/>
  <c r="S855" i="9"/>
  <c r="P855" i="9"/>
  <c r="M855" i="9"/>
  <c r="J855" i="9"/>
  <c r="Y854" i="9"/>
  <c r="V854" i="9"/>
  <c r="S854" i="9"/>
  <c r="P854" i="9"/>
  <c r="M854" i="9"/>
  <c r="J854" i="9"/>
  <c r="Y853" i="9"/>
  <c r="V853" i="9"/>
  <c r="S853" i="9"/>
  <c r="P853" i="9"/>
  <c r="M853" i="9"/>
  <c r="J853" i="9"/>
  <c r="Y851" i="9"/>
  <c r="V851" i="9"/>
  <c r="S851" i="9"/>
  <c r="P851" i="9"/>
  <c r="M851" i="9"/>
  <c r="J851" i="9"/>
  <c r="Y850" i="9"/>
  <c r="V850" i="9"/>
  <c r="S850" i="9"/>
  <c r="P850" i="9"/>
  <c r="M850" i="9"/>
  <c r="J850" i="9"/>
  <c r="Y849" i="9"/>
  <c r="V849" i="9"/>
  <c r="S849" i="9"/>
  <c r="P849" i="9"/>
  <c r="M849" i="9"/>
  <c r="J849" i="9"/>
  <c r="Y848" i="9"/>
  <c r="V848" i="9"/>
  <c r="S848" i="9"/>
  <c r="P848" i="9"/>
  <c r="M848" i="9"/>
  <c r="J848" i="9"/>
  <c r="Y847" i="9"/>
  <c r="V847" i="9"/>
  <c r="S847" i="9"/>
  <c r="P847" i="9"/>
  <c r="M847" i="9"/>
  <c r="J847" i="9"/>
  <c r="Y846" i="9"/>
  <c r="V846" i="9"/>
  <c r="S846" i="9"/>
  <c r="P846" i="9"/>
  <c r="M846" i="9"/>
  <c r="J846" i="9"/>
  <c r="Y845" i="9"/>
  <c r="V845" i="9"/>
  <c r="S845" i="9"/>
  <c r="P845" i="9"/>
  <c r="M845" i="9"/>
  <c r="J845" i="9"/>
  <c r="Y843" i="9"/>
  <c r="V843" i="9"/>
  <c r="S843" i="9"/>
  <c r="P843" i="9"/>
  <c r="M843" i="9"/>
  <c r="J843" i="9"/>
  <c r="Y842" i="9"/>
  <c r="V842" i="9"/>
  <c r="S842" i="9"/>
  <c r="P842" i="9"/>
  <c r="M842" i="9"/>
  <c r="J842" i="9"/>
  <c r="Y841" i="9"/>
  <c r="V841" i="9"/>
  <c r="S841" i="9"/>
  <c r="P841" i="9"/>
  <c r="M841" i="9"/>
  <c r="J841" i="9"/>
  <c r="Y840" i="9"/>
  <c r="V840" i="9"/>
  <c r="S840" i="9"/>
  <c r="P840" i="9"/>
  <c r="M840" i="9"/>
  <c r="J840" i="9"/>
  <c r="Y839" i="9"/>
  <c r="V839" i="9"/>
  <c r="S839" i="9"/>
  <c r="P839" i="9"/>
  <c r="M839" i="9"/>
  <c r="J839" i="9"/>
  <c r="Y838" i="9"/>
  <c r="V838" i="9"/>
  <c r="S838" i="9"/>
  <c r="P838" i="9"/>
  <c r="M838" i="9"/>
  <c r="J838" i="9"/>
  <c r="Y837" i="9"/>
  <c r="V837" i="9"/>
  <c r="S837" i="9"/>
  <c r="P837" i="9"/>
  <c r="M837" i="9"/>
  <c r="J837" i="9"/>
  <c r="Y835" i="9"/>
  <c r="V835" i="9"/>
  <c r="S835" i="9"/>
  <c r="P835" i="9"/>
  <c r="M835" i="9"/>
  <c r="J835" i="9"/>
  <c r="Y834" i="9"/>
  <c r="V834" i="9"/>
  <c r="S834" i="9"/>
  <c r="P834" i="9"/>
  <c r="M834" i="9"/>
  <c r="J834" i="9"/>
  <c r="Y833" i="9"/>
  <c r="V833" i="9"/>
  <c r="S833" i="9"/>
  <c r="P833" i="9"/>
  <c r="M833" i="9"/>
  <c r="J833" i="9"/>
  <c r="Y832" i="9"/>
  <c r="V832" i="9"/>
  <c r="S832" i="9"/>
  <c r="P832" i="9"/>
  <c r="M832" i="9"/>
  <c r="J832" i="9"/>
  <c r="Y831" i="9"/>
  <c r="V831" i="9"/>
  <c r="S831" i="9"/>
  <c r="P831" i="9"/>
  <c r="M831" i="9"/>
  <c r="J831" i="9"/>
  <c r="Y830" i="9"/>
  <c r="V830" i="9"/>
  <c r="S830" i="9"/>
  <c r="P830" i="9"/>
  <c r="M830" i="9"/>
  <c r="J830" i="9"/>
  <c r="Y829" i="9"/>
  <c r="V829" i="9"/>
  <c r="S829" i="9"/>
  <c r="P829" i="9"/>
  <c r="M829" i="9"/>
  <c r="J829" i="9"/>
  <c r="Y827" i="9"/>
  <c r="V827" i="9"/>
  <c r="S827" i="9"/>
  <c r="P827" i="9"/>
  <c r="M827" i="9"/>
  <c r="J827" i="9"/>
  <c r="Y826" i="9"/>
  <c r="V826" i="9"/>
  <c r="S826" i="9"/>
  <c r="P826" i="9"/>
  <c r="M826" i="9"/>
  <c r="J826" i="9"/>
  <c r="Y825" i="9"/>
  <c r="V825" i="9"/>
  <c r="S825" i="9"/>
  <c r="P825" i="9"/>
  <c r="M825" i="9"/>
  <c r="J825" i="9"/>
  <c r="Y824" i="9"/>
  <c r="V824" i="9"/>
  <c r="S824" i="9"/>
  <c r="P824" i="9"/>
  <c r="M824" i="9"/>
  <c r="J824" i="9"/>
  <c r="Y823" i="9"/>
  <c r="V823" i="9"/>
  <c r="S823" i="9"/>
  <c r="P823" i="9"/>
  <c r="M823" i="9"/>
  <c r="J823" i="9"/>
  <c r="Y822" i="9"/>
  <c r="V822" i="9"/>
  <c r="S822" i="9"/>
  <c r="P822" i="9"/>
  <c r="M822" i="9"/>
  <c r="J822" i="9"/>
  <c r="Y821" i="9"/>
  <c r="V821" i="9"/>
  <c r="S821" i="9"/>
  <c r="P821" i="9"/>
  <c r="M821" i="9"/>
  <c r="J821" i="9"/>
  <c r="Y819" i="9"/>
  <c r="V819" i="9"/>
  <c r="S819" i="9"/>
  <c r="P819" i="9"/>
  <c r="M819" i="9"/>
  <c r="J819" i="9"/>
  <c r="Y818" i="9"/>
  <c r="V818" i="9"/>
  <c r="S818" i="9"/>
  <c r="P818" i="9"/>
  <c r="M818" i="9"/>
  <c r="J818" i="9"/>
  <c r="Y817" i="9"/>
  <c r="V817" i="9"/>
  <c r="S817" i="9"/>
  <c r="P817" i="9"/>
  <c r="M817" i="9"/>
  <c r="J817" i="9"/>
  <c r="Y816" i="9"/>
  <c r="V816" i="9"/>
  <c r="S816" i="9"/>
  <c r="P816" i="9"/>
  <c r="M816" i="9"/>
  <c r="J816" i="9"/>
  <c r="Y815" i="9"/>
  <c r="V815" i="9"/>
  <c r="S815" i="9"/>
  <c r="P815" i="9"/>
  <c r="M815" i="9"/>
  <c r="J815" i="9"/>
  <c r="Y814" i="9"/>
  <c r="V814" i="9"/>
  <c r="S814" i="9"/>
  <c r="P814" i="9"/>
  <c r="M814" i="9"/>
  <c r="J814" i="9"/>
  <c r="Y813" i="9"/>
  <c r="V813" i="9"/>
  <c r="S813" i="9"/>
  <c r="P813" i="9"/>
  <c r="M813" i="9"/>
  <c r="J813" i="9"/>
  <c r="Y811" i="9"/>
  <c r="V811" i="9"/>
  <c r="S811" i="9"/>
  <c r="P811" i="9"/>
  <c r="M811" i="9"/>
  <c r="J811" i="9"/>
  <c r="Y810" i="9"/>
  <c r="V810" i="9"/>
  <c r="S810" i="9"/>
  <c r="P810" i="9"/>
  <c r="M810" i="9"/>
  <c r="J810" i="9"/>
  <c r="Y809" i="9"/>
  <c r="V809" i="9"/>
  <c r="S809" i="9"/>
  <c r="P809" i="9"/>
  <c r="M809" i="9"/>
  <c r="J809" i="9"/>
  <c r="Y808" i="9"/>
  <c r="V808" i="9"/>
  <c r="S808" i="9"/>
  <c r="P808" i="9"/>
  <c r="M808" i="9"/>
  <c r="J808" i="9"/>
  <c r="Y807" i="9"/>
  <c r="V807" i="9"/>
  <c r="S807" i="9"/>
  <c r="P807" i="9"/>
  <c r="M807" i="9"/>
  <c r="J807" i="9"/>
  <c r="Y806" i="9"/>
  <c r="V806" i="9"/>
  <c r="S806" i="9"/>
  <c r="P806" i="9"/>
  <c r="M806" i="9"/>
  <c r="J806" i="9"/>
  <c r="Y805" i="9"/>
  <c r="V805" i="9"/>
  <c r="S805" i="9"/>
  <c r="P805" i="9"/>
  <c r="M805" i="9"/>
  <c r="J805" i="9"/>
  <c r="Y803" i="9"/>
  <c r="V803" i="9"/>
  <c r="S803" i="9"/>
  <c r="P803" i="9"/>
  <c r="M803" i="9"/>
  <c r="J803" i="9"/>
  <c r="Y802" i="9"/>
  <c r="V802" i="9"/>
  <c r="S802" i="9"/>
  <c r="P802" i="9"/>
  <c r="M802" i="9"/>
  <c r="J802" i="9"/>
  <c r="Y801" i="9"/>
  <c r="V801" i="9"/>
  <c r="S801" i="9"/>
  <c r="P801" i="9"/>
  <c r="M801" i="9"/>
  <c r="J801" i="9"/>
  <c r="Y800" i="9"/>
  <c r="V800" i="9"/>
  <c r="S800" i="9"/>
  <c r="P800" i="9"/>
  <c r="M800" i="9"/>
  <c r="J800" i="9"/>
  <c r="Y799" i="9"/>
  <c r="V799" i="9"/>
  <c r="S799" i="9"/>
  <c r="P799" i="9"/>
  <c r="M799" i="9"/>
  <c r="J799" i="9"/>
  <c r="Y798" i="9"/>
  <c r="V798" i="9"/>
  <c r="S798" i="9"/>
  <c r="P798" i="9"/>
  <c r="M798" i="9"/>
  <c r="J798" i="9"/>
  <c r="Y797" i="9"/>
  <c r="V797" i="9"/>
  <c r="S797" i="9"/>
  <c r="P797" i="9"/>
  <c r="M797" i="9"/>
  <c r="J797" i="9"/>
  <c r="Y795" i="9"/>
  <c r="V795" i="9"/>
  <c r="S795" i="9"/>
  <c r="P795" i="9"/>
  <c r="M795" i="9"/>
  <c r="J795" i="9"/>
  <c r="Y794" i="9"/>
  <c r="V794" i="9"/>
  <c r="S794" i="9"/>
  <c r="P794" i="9"/>
  <c r="M794" i="9"/>
  <c r="J794" i="9"/>
  <c r="Y793" i="9"/>
  <c r="V793" i="9"/>
  <c r="S793" i="9"/>
  <c r="P793" i="9"/>
  <c r="M793" i="9"/>
  <c r="J793" i="9"/>
  <c r="Y792" i="9"/>
  <c r="V792" i="9"/>
  <c r="S792" i="9"/>
  <c r="P792" i="9"/>
  <c r="M792" i="9"/>
  <c r="J792" i="9"/>
  <c r="Y791" i="9"/>
  <c r="V791" i="9"/>
  <c r="S791" i="9"/>
  <c r="P791" i="9"/>
  <c r="M791" i="9"/>
  <c r="J791" i="9"/>
  <c r="Y790" i="9"/>
  <c r="V790" i="9"/>
  <c r="S790" i="9"/>
  <c r="P790" i="9"/>
  <c r="M790" i="9"/>
  <c r="J790" i="9"/>
  <c r="Y789" i="9"/>
  <c r="V789" i="9"/>
  <c r="S789" i="9"/>
  <c r="P789" i="9"/>
  <c r="M789" i="9"/>
  <c r="J789" i="9"/>
  <c r="Y787" i="9"/>
  <c r="V787" i="9"/>
  <c r="S787" i="9"/>
  <c r="P787" i="9"/>
  <c r="M787" i="9"/>
  <c r="J787" i="9"/>
  <c r="Y786" i="9"/>
  <c r="V786" i="9"/>
  <c r="S786" i="9"/>
  <c r="P786" i="9"/>
  <c r="M786" i="9"/>
  <c r="J786" i="9"/>
  <c r="Y785" i="9"/>
  <c r="V785" i="9"/>
  <c r="S785" i="9"/>
  <c r="P785" i="9"/>
  <c r="M785" i="9"/>
  <c r="J785" i="9"/>
  <c r="Y784" i="9"/>
  <c r="V784" i="9"/>
  <c r="S784" i="9"/>
  <c r="P784" i="9"/>
  <c r="M784" i="9"/>
  <c r="J784" i="9"/>
  <c r="Y783" i="9"/>
  <c r="V783" i="9"/>
  <c r="S783" i="9"/>
  <c r="P783" i="9"/>
  <c r="M783" i="9"/>
  <c r="J783" i="9"/>
  <c r="Y782" i="9"/>
  <c r="V782" i="9"/>
  <c r="S782" i="9"/>
  <c r="P782" i="9"/>
  <c r="M782" i="9"/>
  <c r="J782" i="9"/>
  <c r="Y781" i="9"/>
  <c r="V781" i="9"/>
  <c r="S781" i="9"/>
  <c r="P781" i="9"/>
  <c r="M781" i="9"/>
  <c r="J781" i="9"/>
  <c r="Y779" i="9"/>
  <c r="V779" i="9"/>
  <c r="S779" i="9"/>
  <c r="P779" i="9"/>
  <c r="M779" i="9"/>
  <c r="J779" i="9"/>
  <c r="Y778" i="9"/>
  <c r="V778" i="9"/>
  <c r="S778" i="9"/>
  <c r="P778" i="9"/>
  <c r="M778" i="9"/>
  <c r="J778" i="9"/>
  <c r="Y777" i="9"/>
  <c r="V777" i="9"/>
  <c r="S777" i="9"/>
  <c r="P777" i="9"/>
  <c r="M777" i="9"/>
  <c r="J777" i="9"/>
  <c r="Y776" i="9"/>
  <c r="V776" i="9"/>
  <c r="S776" i="9"/>
  <c r="P776" i="9"/>
  <c r="M776" i="9"/>
  <c r="J776" i="9"/>
  <c r="Y775" i="9"/>
  <c r="V775" i="9"/>
  <c r="S775" i="9"/>
  <c r="P775" i="9"/>
  <c r="M775" i="9"/>
  <c r="J775" i="9"/>
  <c r="Y774" i="9"/>
  <c r="V774" i="9"/>
  <c r="S774" i="9"/>
  <c r="P774" i="9"/>
  <c r="M774" i="9"/>
  <c r="J774" i="9"/>
  <c r="Y773" i="9"/>
  <c r="V773" i="9"/>
  <c r="S773" i="9"/>
  <c r="P773" i="9"/>
  <c r="M773" i="9"/>
  <c r="J773" i="9"/>
  <c r="Y771" i="9"/>
  <c r="V771" i="9"/>
  <c r="S771" i="9"/>
  <c r="P771" i="9"/>
  <c r="M771" i="9"/>
  <c r="J771" i="9"/>
  <c r="Y770" i="9"/>
  <c r="V770" i="9"/>
  <c r="S770" i="9"/>
  <c r="P770" i="9"/>
  <c r="M770" i="9"/>
  <c r="J770" i="9"/>
  <c r="Y769" i="9"/>
  <c r="V769" i="9"/>
  <c r="S769" i="9"/>
  <c r="P769" i="9"/>
  <c r="M769" i="9"/>
  <c r="J769" i="9"/>
  <c r="Y768" i="9"/>
  <c r="V768" i="9"/>
  <c r="S768" i="9"/>
  <c r="P768" i="9"/>
  <c r="M768" i="9"/>
  <c r="J768" i="9"/>
  <c r="Y767" i="9"/>
  <c r="V767" i="9"/>
  <c r="S767" i="9"/>
  <c r="P767" i="9"/>
  <c r="M767" i="9"/>
  <c r="J767" i="9"/>
  <c r="Y766" i="9"/>
  <c r="V766" i="9"/>
  <c r="S766" i="9"/>
  <c r="P766" i="9"/>
  <c r="M766" i="9"/>
  <c r="J766" i="9"/>
  <c r="Y765" i="9"/>
  <c r="V765" i="9"/>
  <c r="S765" i="9"/>
  <c r="P765" i="9"/>
  <c r="M765" i="9"/>
  <c r="J765" i="9"/>
  <c r="Y763" i="9"/>
  <c r="V763" i="9"/>
  <c r="S763" i="9"/>
  <c r="P763" i="9"/>
  <c r="M763" i="9"/>
  <c r="J763" i="9"/>
  <c r="Y762" i="9"/>
  <c r="V762" i="9"/>
  <c r="S762" i="9"/>
  <c r="P762" i="9"/>
  <c r="M762" i="9"/>
  <c r="J762" i="9"/>
  <c r="Y761" i="9"/>
  <c r="V761" i="9"/>
  <c r="S761" i="9"/>
  <c r="P761" i="9"/>
  <c r="M761" i="9"/>
  <c r="J761" i="9"/>
  <c r="Y760" i="9"/>
  <c r="V760" i="9"/>
  <c r="S760" i="9"/>
  <c r="P760" i="9"/>
  <c r="M760" i="9"/>
  <c r="J760" i="9"/>
  <c r="Y759" i="9"/>
  <c r="V759" i="9"/>
  <c r="S759" i="9"/>
  <c r="P759" i="9"/>
  <c r="M759" i="9"/>
  <c r="J759" i="9"/>
  <c r="Y758" i="9"/>
  <c r="V758" i="9"/>
  <c r="S758" i="9"/>
  <c r="P758" i="9"/>
  <c r="M758" i="9"/>
  <c r="J758" i="9"/>
  <c r="Y757" i="9"/>
  <c r="V757" i="9"/>
  <c r="S757" i="9"/>
  <c r="P757" i="9"/>
  <c r="M757" i="9"/>
  <c r="J757" i="9"/>
  <c r="F21" i="13" l="1"/>
  <c r="G21" i="13" s="1"/>
  <c r="F23" i="13"/>
  <c r="G23" i="13" s="1"/>
  <c r="F22" i="13"/>
  <c r="G22" i="13" s="1"/>
  <c r="F48" i="13"/>
  <c r="G48" i="13" s="1"/>
  <c r="F49" i="13"/>
  <c r="G49" i="13" s="1"/>
  <c r="Q92" i="12"/>
  <c r="K29" i="13" s="1"/>
  <c r="P796" i="9"/>
  <c r="J117" i="10" s="1"/>
  <c r="P868" i="9"/>
  <c r="J126" i="10" s="1"/>
  <c r="J908" i="9"/>
  <c r="H131" i="10" s="1"/>
  <c r="P1100" i="9"/>
  <c r="J155" i="10" s="1"/>
  <c r="M772" i="9"/>
  <c r="I114" i="10" s="1"/>
  <c r="S796" i="9"/>
  <c r="K117" i="10" s="1"/>
  <c r="S804" i="9"/>
  <c r="K118" i="10" s="1"/>
  <c r="J836" i="9"/>
  <c r="H122" i="10" s="1"/>
  <c r="P1028" i="9"/>
  <c r="J146" i="10" s="1"/>
  <c r="V1060" i="9"/>
  <c r="L150" i="10" s="1"/>
  <c r="Y764" i="9"/>
  <c r="M113" i="10" s="1"/>
  <c r="P1092" i="9"/>
  <c r="J154" i="10" s="1"/>
  <c r="V980" i="9"/>
  <c r="L140" i="10" s="1"/>
  <c r="Y836" i="9"/>
  <c r="M122" i="10" s="1"/>
  <c r="S876" i="9"/>
  <c r="K127" i="10" s="1"/>
  <c r="M916" i="9"/>
  <c r="I132" i="10" s="1"/>
  <c r="M1020" i="9"/>
  <c r="I145" i="10" s="1"/>
  <c r="S1044" i="9"/>
  <c r="K148" i="10" s="1"/>
  <c r="Y1068" i="9"/>
  <c r="M151" i="10" s="1"/>
  <c r="V764" i="9"/>
  <c r="L113" i="10" s="1"/>
  <c r="V1052" i="9"/>
  <c r="L149" i="10" s="1"/>
  <c r="J1068" i="9"/>
  <c r="H151" i="10" s="1"/>
  <c r="P860" i="9"/>
  <c r="J125" i="10" s="1"/>
  <c r="J900" i="9"/>
  <c r="H130" i="10" s="1"/>
  <c r="V884" i="9"/>
  <c r="L128" i="10" s="1"/>
  <c r="V828" i="9"/>
  <c r="L121" i="10" s="1"/>
  <c r="J1012" i="9"/>
  <c r="H144" i="10" s="1"/>
  <c r="M836" i="9"/>
  <c r="I122" i="10" s="1"/>
  <c r="M844" i="9"/>
  <c r="I123" i="10" s="1"/>
  <c r="S868" i="9"/>
  <c r="K126" i="10" s="1"/>
  <c r="Y884" i="9"/>
  <c r="M128" i="10" s="1"/>
  <c r="S924" i="9"/>
  <c r="K133" i="10" s="1"/>
  <c r="Y980" i="9"/>
  <c r="M140" i="10" s="1"/>
  <c r="Y988" i="9"/>
  <c r="M141" i="10" s="1"/>
  <c r="S1028" i="9"/>
  <c r="K146" i="10" s="1"/>
  <c r="S1036" i="9"/>
  <c r="K147" i="10" s="1"/>
  <c r="M1068" i="9"/>
  <c r="I151" i="10" s="1"/>
  <c r="S1100" i="9"/>
  <c r="K155" i="10" s="1"/>
  <c r="J788" i="9"/>
  <c r="H116" i="10" s="1"/>
  <c r="J796" i="9"/>
  <c r="H117" i="10" s="1"/>
  <c r="V836" i="9"/>
  <c r="L122" i="10" s="1"/>
  <c r="J860" i="9"/>
  <c r="H125" i="10" s="1"/>
  <c r="P876" i="9"/>
  <c r="J127" i="10" s="1"/>
  <c r="V900" i="9"/>
  <c r="L130" i="10" s="1"/>
  <c r="V908" i="9"/>
  <c r="L131" i="10" s="1"/>
  <c r="J916" i="9"/>
  <c r="H132" i="10" s="1"/>
  <c r="P940" i="9"/>
  <c r="J135" i="10" s="1"/>
  <c r="P980" i="9"/>
  <c r="J140" i="10" s="1"/>
  <c r="V1012" i="9"/>
  <c r="L144" i="10" s="1"/>
  <c r="J1020" i="9"/>
  <c r="H145" i="10" s="1"/>
  <c r="J1028" i="9"/>
  <c r="H146" i="10" s="1"/>
  <c r="V1068" i="9"/>
  <c r="L151" i="10" s="1"/>
  <c r="J1092" i="9"/>
  <c r="H154" i="10" s="1"/>
  <c r="M796" i="9"/>
  <c r="I117" i="10" s="1"/>
  <c r="Y844" i="9"/>
  <c r="M123" i="10" s="1"/>
  <c r="S884" i="9"/>
  <c r="K128" i="10" s="1"/>
  <c r="S980" i="9"/>
  <c r="K140" i="10" s="1"/>
  <c r="S1108" i="9"/>
  <c r="K156" i="10" s="1"/>
  <c r="P764" i="9"/>
  <c r="J113" i="10" s="1"/>
  <c r="V788" i="9"/>
  <c r="L116" i="10" s="1"/>
  <c r="V796" i="9"/>
  <c r="L117" i="10" s="1"/>
  <c r="P828" i="9"/>
  <c r="J121" i="10" s="1"/>
  <c r="P836" i="9"/>
  <c r="J122" i="10" s="1"/>
  <c r="V860" i="9"/>
  <c r="L125" i="10" s="1"/>
  <c r="J868" i="9"/>
  <c r="H126" i="10" s="1"/>
  <c r="J876" i="9"/>
  <c r="H127" i="10" s="1"/>
  <c r="V916" i="9"/>
  <c r="L132" i="10" s="1"/>
  <c r="J940" i="9"/>
  <c r="H135" i="10" s="1"/>
  <c r="V1020" i="9"/>
  <c r="L145" i="10" s="1"/>
  <c r="V1028" i="9"/>
  <c r="L146" i="10" s="1"/>
  <c r="J1036" i="9"/>
  <c r="H147" i="10" s="1"/>
  <c r="P1060" i="9"/>
  <c r="J150" i="10" s="1"/>
  <c r="V1092" i="9"/>
  <c r="L154" i="10" s="1"/>
  <c r="J1100" i="9"/>
  <c r="H155" i="10" s="1"/>
  <c r="Y772" i="9"/>
  <c r="M114" i="10" s="1"/>
  <c r="S764" i="9"/>
  <c r="K113" i="10" s="1"/>
  <c r="S772" i="9"/>
  <c r="K114" i="10" s="1"/>
  <c r="Y796" i="9"/>
  <c r="M117" i="10" s="1"/>
  <c r="M804" i="9"/>
  <c r="I118" i="10" s="1"/>
  <c r="S836" i="9"/>
  <c r="K122" i="10" s="1"/>
  <c r="M868" i="9"/>
  <c r="I126" i="10" s="1"/>
  <c r="S892" i="9"/>
  <c r="K129" i="10" s="1"/>
  <c r="Y916" i="9"/>
  <c r="M132" i="10" s="1"/>
  <c r="S988" i="9"/>
  <c r="K141" i="10" s="1"/>
  <c r="Y1020" i="9"/>
  <c r="M145" i="10" s="1"/>
  <c r="M1036" i="9"/>
  <c r="I147" i="10" s="1"/>
  <c r="S1060" i="9"/>
  <c r="K150" i="10" s="1"/>
  <c r="S1068" i="9"/>
  <c r="K151" i="10" s="1"/>
  <c r="M1100" i="9"/>
  <c r="I155" i="10" s="1"/>
  <c r="M1108" i="9"/>
  <c r="I156" i="10" s="1"/>
  <c r="P788" i="9"/>
  <c r="J116" i="10" s="1"/>
  <c r="J828" i="9"/>
  <c r="H121" i="10" s="1"/>
  <c r="V868" i="9"/>
  <c r="L126" i="10" s="1"/>
  <c r="V876" i="9"/>
  <c r="L127" i="10" s="1"/>
  <c r="J884" i="9"/>
  <c r="H128" i="10" s="1"/>
  <c r="P908" i="9"/>
  <c r="J131" i="10" s="1"/>
  <c r="V940" i="9"/>
  <c r="L135" i="10" s="1"/>
  <c r="J980" i="9"/>
  <c r="H140" i="10" s="1"/>
  <c r="P1012" i="9"/>
  <c r="J144" i="10" s="1"/>
  <c r="P1020" i="9"/>
  <c r="J145" i="10" s="1"/>
  <c r="V1036" i="9"/>
  <c r="L147" i="10" s="1"/>
  <c r="J1052" i="9"/>
  <c r="H149" i="10" s="1"/>
  <c r="J1060" i="9"/>
  <c r="H150" i="10" s="1"/>
  <c r="V1100" i="9"/>
  <c r="L155" i="10" s="1"/>
  <c r="M764" i="9"/>
  <c r="I113" i="10" s="1"/>
  <c r="Y804" i="9"/>
  <c r="M118" i="10" s="1"/>
  <c r="S844" i="9"/>
  <c r="K123" i="10" s="1"/>
  <c r="Y868" i="9"/>
  <c r="M126" i="10" s="1"/>
  <c r="M884" i="9"/>
  <c r="I128" i="10" s="1"/>
  <c r="S908" i="9"/>
  <c r="K131" i="10" s="1"/>
  <c r="S916" i="9"/>
  <c r="K132" i="10" s="1"/>
  <c r="M980" i="9"/>
  <c r="I140" i="10" s="1"/>
  <c r="M988" i="9"/>
  <c r="I141" i="10" s="1"/>
  <c r="S1020" i="9"/>
  <c r="K145" i="10" s="1"/>
  <c r="Y1036" i="9"/>
  <c r="M147" i="10" s="1"/>
  <c r="S1076" i="9"/>
  <c r="K152" i="10" s="1"/>
  <c r="Y1100" i="9"/>
  <c r="M155" i="10" s="1"/>
  <c r="Y1108" i="9"/>
  <c r="M156" i="10" s="1"/>
  <c r="J764" i="9"/>
  <c r="H113" i="10" s="1"/>
  <c r="AE76" i="12"/>
  <c r="S27" i="13" s="1"/>
  <c r="Q100" i="12"/>
  <c r="K30" i="13" s="1"/>
  <c r="K60" i="12"/>
  <c r="I25" i="13" s="1"/>
  <c r="T220" i="12"/>
  <c r="L45" i="13" s="1"/>
  <c r="Q228" i="12"/>
  <c r="K46" i="13" s="1"/>
  <c r="AE276" i="12"/>
  <c r="S54" i="13" s="1"/>
  <c r="Y284" i="12"/>
  <c r="O55" i="13" s="1"/>
  <c r="T292" i="12"/>
  <c r="L56" i="13" s="1"/>
  <c r="Q300" i="12"/>
  <c r="K57" i="13" s="1"/>
  <c r="AH308" i="12"/>
  <c r="T58" i="13" s="1"/>
  <c r="N308" i="12"/>
  <c r="J58" i="13" s="1"/>
  <c r="AE316" i="12"/>
  <c r="S59" i="13" s="1"/>
  <c r="K316" i="12"/>
  <c r="I59" i="13" s="1"/>
  <c r="Y324" i="12"/>
  <c r="O60" i="13" s="1"/>
  <c r="T332" i="12"/>
  <c r="L61" i="13" s="1"/>
  <c r="Q340" i="12"/>
  <c r="K62" i="13" s="1"/>
  <c r="N348" i="12"/>
  <c r="J63" i="13" s="1"/>
  <c r="K356" i="12"/>
  <c r="I64" i="13" s="1"/>
  <c r="Y452" i="12"/>
  <c r="O76" i="13" s="1"/>
  <c r="AH796" i="12"/>
  <c r="T119" i="13" s="1"/>
  <c r="K284" i="12"/>
  <c r="I55" i="13" s="1"/>
  <c r="Q308" i="12"/>
  <c r="K58" i="13" s="1"/>
  <c r="T804" i="12"/>
  <c r="L120" i="13" s="1"/>
  <c r="N276" i="12"/>
  <c r="J54" i="13" s="1"/>
  <c r="T300" i="12"/>
  <c r="L57" i="13" s="1"/>
  <c r="AH404" i="12"/>
  <c r="T70" i="13" s="1"/>
  <c r="N444" i="12"/>
  <c r="J75" i="13" s="1"/>
  <c r="N548" i="12"/>
  <c r="J88" i="13" s="1"/>
  <c r="N676" i="12"/>
  <c r="J104" i="13" s="1"/>
  <c r="Q732" i="12"/>
  <c r="K111" i="13" s="1"/>
  <c r="N740" i="12"/>
  <c r="J112" i="13" s="1"/>
  <c r="T740" i="12"/>
  <c r="L112" i="13" s="1"/>
  <c r="AH164" i="12"/>
  <c r="T38" i="13" s="1"/>
  <c r="AH276" i="12"/>
  <c r="T54" i="13" s="1"/>
  <c r="Y292" i="12"/>
  <c r="O56" i="13" s="1"/>
  <c r="Y420" i="12"/>
  <c r="O72" i="13" s="1"/>
  <c r="K148" i="12"/>
  <c r="I36" i="13" s="1"/>
  <c r="AH228" i="12"/>
  <c r="T46" i="13" s="1"/>
  <c r="AH300" i="12"/>
  <c r="T57" i="13" s="1"/>
  <c r="AE308" i="12"/>
  <c r="S58" i="13" s="1"/>
  <c r="AE348" i="12"/>
  <c r="S63" i="13" s="1"/>
  <c r="T364" i="12"/>
  <c r="L65" i="13" s="1"/>
  <c r="Q372" i="12"/>
  <c r="K66" i="13" s="1"/>
  <c r="N380" i="12"/>
  <c r="J67" i="13" s="1"/>
  <c r="K388" i="12"/>
  <c r="I68" i="13" s="1"/>
  <c r="Y460" i="12"/>
  <c r="O77" i="13" s="1"/>
  <c r="Q668" i="12"/>
  <c r="K103" i="13" s="1"/>
  <c r="Q796" i="12"/>
  <c r="K119" i="13" s="1"/>
  <c r="AE116" i="12"/>
  <c r="S32" i="13" s="1"/>
  <c r="T124" i="12"/>
  <c r="L33" i="13" s="1"/>
  <c r="Q132" i="12"/>
  <c r="K34" i="13" s="1"/>
  <c r="N140" i="12"/>
  <c r="J35" i="13" s="1"/>
  <c r="Y316" i="12"/>
  <c r="O59" i="13" s="1"/>
  <c r="T324" i="12"/>
  <c r="L60" i="13" s="1"/>
  <c r="AH340" i="12"/>
  <c r="T62" i="13" s="1"/>
  <c r="Y356" i="12"/>
  <c r="O64" i="13" s="1"/>
  <c r="AE60" i="12"/>
  <c r="S25" i="13" s="1"/>
  <c r="AE284" i="12"/>
  <c r="S55" i="13" s="1"/>
  <c r="N316" i="12"/>
  <c r="J59" i="13" s="1"/>
  <c r="N84" i="12"/>
  <c r="J28" i="13" s="1"/>
  <c r="AE172" i="12"/>
  <c r="S39" i="13" s="1"/>
  <c r="K324" i="12"/>
  <c r="I60" i="13" s="1"/>
  <c r="T428" i="12"/>
  <c r="L73" i="13" s="1"/>
  <c r="K52" i="12"/>
  <c r="I24" i="13" s="1"/>
  <c r="K124" i="12"/>
  <c r="I33" i="13" s="1"/>
  <c r="AH132" i="12"/>
  <c r="T34" i="13" s="1"/>
  <c r="AE140" i="12"/>
  <c r="S35" i="13" s="1"/>
  <c r="Y148" i="12"/>
  <c r="O36" i="13" s="1"/>
  <c r="T156" i="12"/>
  <c r="L37" i="13" s="1"/>
  <c r="Q164" i="12"/>
  <c r="K38" i="13" s="1"/>
  <c r="N172" i="12"/>
  <c r="J39" i="13" s="1"/>
  <c r="Q276" i="12"/>
  <c r="K54" i="13" s="1"/>
  <c r="N284" i="12"/>
  <c r="J55" i="13" s="1"/>
  <c r="K292" i="12"/>
  <c r="I56" i="13" s="1"/>
  <c r="AH372" i="12"/>
  <c r="T66" i="13" s="1"/>
  <c r="AE380" i="12"/>
  <c r="S67" i="13" s="1"/>
  <c r="Y388" i="12"/>
  <c r="O68" i="13" s="1"/>
  <c r="T396" i="12"/>
  <c r="L69" i="13" s="1"/>
  <c r="Q404" i="12"/>
  <c r="K70" i="13" s="1"/>
  <c r="N412" i="12"/>
  <c r="J71" i="13" s="1"/>
  <c r="K420" i="12"/>
  <c r="I72" i="13" s="1"/>
  <c r="AH604" i="12"/>
  <c r="T95" i="13" s="1"/>
  <c r="AE740" i="12"/>
  <c r="S112" i="13" s="1"/>
  <c r="AE52" i="12"/>
  <c r="S24" i="13" s="1"/>
  <c r="AE412" i="12"/>
  <c r="S71" i="13" s="1"/>
  <c r="AH636" i="12"/>
  <c r="T99" i="13" s="1"/>
  <c r="Q108" i="12"/>
  <c r="K31" i="13" s="1"/>
  <c r="Y60" i="12"/>
  <c r="O25" i="13" s="1"/>
  <c r="AH84" i="12"/>
  <c r="T28" i="13" s="1"/>
  <c r="N108" i="12"/>
  <c r="J31" i="13" s="1"/>
  <c r="I11" i="15"/>
  <c r="C31" i="10"/>
  <c r="I13" i="15"/>
  <c r="I18" i="15"/>
  <c r="C93" i="13"/>
  <c r="Q52" i="12"/>
  <c r="K24" i="13" s="1"/>
  <c r="AH52" i="12"/>
  <c r="T24" i="13" s="1"/>
  <c r="N52" i="12"/>
  <c r="J24" i="13" s="1"/>
  <c r="Q60" i="12"/>
  <c r="K25" i="13" s="1"/>
  <c r="AH60" i="12"/>
  <c r="T25" i="13" s="1"/>
  <c r="N60" i="12"/>
  <c r="J25" i="13" s="1"/>
  <c r="K68" i="12"/>
  <c r="I26" i="13" s="1"/>
  <c r="Y68" i="12"/>
  <c r="O26" i="13" s="1"/>
  <c r="AH76" i="12"/>
  <c r="T27" i="13" s="1"/>
  <c r="Y92" i="12"/>
  <c r="O29" i="13" s="1"/>
  <c r="N116" i="12"/>
  <c r="J32" i="13" s="1"/>
  <c r="Y52" i="12"/>
  <c r="O24" i="13" s="1"/>
  <c r="Q76" i="12"/>
  <c r="K27" i="13" s="1"/>
  <c r="K92" i="12"/>
  <c r="I29" i="13" s="1"/>
  <c r="N100" i="12"/>
  <c r="J30" i="13" s="1"/>
  <c r="AE100" i="12"/>
  <c r="S30" i="13" s="1"/>
  <c r="AH108" i="12"/>
  <c r="T31" i="13" s="1"/>
  <c r="Q516" i="12"/>
  <c r="K84" i="13" s="1"/>
  <c r="AH516" i="12"/>
  <c r="T84" i="13" s="1"/>
  <c r="N516" i="12"/>
  <c r="J84" i="13" s="1"/>
  <c r="AE516" i="12"/>
  <c r="S84" i="13" s="1"/>
  <c r="N524" i="12"/>
  <c r="J85" i="13" s="1"/>
  <c r="AE524" i="12"/>
  <c r="S85" i="13" s="1"/>
  <c r="K524" i="12"/>
  <c r="I85" i="13" s="1"/>
  <c r="K532" i="12"/>
  <c r="I86" i="13" s="1"/>
  <c r="Y532" i="12"/>
  <c r="O86" i="13" s="1"/>
  <c r="T572" i="12"/>
  <c r="L91" i="13" s="1"/>
  <c r="Q572" i="12"/>
  <c r="K91" i="13" s="1"/>
  <c r="AH572" i="12"/>
  <c r="T91" i="13" s="1"/>
  <c r="Q580" i="12"/>
  <c r="K92" i="13" s="1"/>
  <c r="AH580" i="12"/>
  <c r="T92" i="13" s="1"/>
  <c r="N580" i="12"/>
  <c r="J92" i="13" s="1"/>
  <c r="AE580" i="12"/>
  <c r="S92" i="13" s="1"/>
  <c r="N588" i="12"/>
  <c r="J93" i="13" s="1"/>
  <c r="AE588" i="12"/>
  <c r="S93" i="13" s="1"/>
  <c r="K588" i="12"/>
  <c r="I93" i="13" s="1"/>
  <c r="Q644" i="12"/>
  <c r="K100" i="13" s="1"/>
  <c r="AH644" i="12"/>
  <c r="T100" i="13" s="1"/>
  <c r="T644" i="12"/>
  <c r="L100" i="13" s="1"/>
  <c r="N644" i="12"/>
  <c r="J100" i="13" s="1"/>
  <c r="AE644" i="12"/>
  <c r="S100" i="13" s="1"/>
  <c r="N652" i="12"/>
  <c r="J101" i="13" s="1"/>
  <c r="AE652" i="12"/>
  <c r="S101" i="13" s="1"/>
  <c r="Q652" i="12"/>
  <c r="K101" i="13" s="1"/>
  <c r="AH652" i="12"/>
  <c r="T101" i="13" s="1"/>
  <c r="K652" i="12"/>
  <c r="I101" i="13" s="1"/>
  <c r="K660" i="12"/>
  <c r="I102" i="13" s="1"/>
  <c r="Y660" i="12"/>
  <c r="O102" i="13" s="1"/>
  <c r="T668" i="12"/>
  <c r="L103" i="13" s="1"/>
  <c r="AH668" i="12"/>
  <c r="T103" i="13" s="1"/>
  <c r="Q772" i="12"/>
  <c r="K116" i="13" s="1"/>
  <c r="AH772" i="12"/>
  <c r="T116" i="13" s="1"/>
  <c r="K788" i="12"/>
  <c r="I118" i="13" s="1"/>
  <c r="Y788" i="12"/>
  <c r="O118" i="13" s="1"/>
  <c r="I15" i="15"/>
  <c r="C56" i="10"/>
  <c r="Q84" i="12"/>
  <c r="K28" i="13" s="1"/>
  <c r="K100" i="12"/>
  <c r="I30" i="13" s="1"/>
  <c r="Y100" i="12"/>
  <c r="O30" i="13" s="1"/>
  <c r="Q116" i="12"/>
  <c r="K32" i="13" s="1"/>
  <c r="AH116" i="12"/>
  <c r="T32" i="13" s="1"/>
  <c r="N92" i="12"/>
  <c r="J29" i="13" s="1"/>
  <c r="AE92" i="12"/>
  <c r="S29" i="13" s="1"/>
  <c r="AH100" i="12"/>
  <c r="T30" i="13" s="1"/>
  <c r="Q452" i="12"/>
  <c r="K76" i="13" s="1"/>
  <c r="AH452" i="12"/>
  <c r="T76" i="13" s="1"/>
  <c r="T484" i="12"/>
  <c r="L80" i="13" s="1"/>
  <c r="N564" i="12"/>
  <c r="J90" i="13" s="1"/>
  <c r="AE564" i="12"/>
  <c r="S90" i="13" s="1"/>
  <c r="T564" i="12"/>
  <c r="L90" i="13" s="1"/>
  <c r="K700" i="12"/>
  <c r="I107" i="13" s="1"/>
  <c r="Q748" i="12"/>
  <c r="K113" i="13" s="1"/>
  <c r="Y764" i="12"/>
  <c r="O115" i="13" s="1"/>
  <c r="Y828" i="12"/>
  <c r="O123" i="13" s="1"/>
  <c r="H29" i="15"/>
  <c r="H31" i="15" s="1"/>
  <c r="I10" i="15"/>
  <c r="I12" i="15"/>
  <c r="I17" i="15"/>
  <c r="C64" i="10"/>
  <c r="N76" i="12"/>
  <c r="J27" i="13" s="1"/>
  <c r="AE108" i="12"/>
  <c r="S31" i="13" s="1"/>
  <c r="Y76" i="12"/>
  <c r="O27" i="13" s="1"/>
  <c r="AE84" i="12"/>
  <c r="S28" i="13" s="1"/>
  <c r="AH92" i="12"/>
  <c r="T29" i="13" s="1"/>
  <c r="K108" i="12"/>
  <c r="I31" i="13" s="1"/>
  <c r="Y108" i="12"/>
  <c r="O31" i="13" s="1"/>
  <c r="K444" i="12"/>
  <c r="I75" i="13" s="1"/>
  <c r="Y444" i="12"/>
  <c r="O75" i="13" s="1"/>
  <c r="AH476" i="12"/>
  <c r="T79" i="13" s="1"/>
  <c r="Q508" i="12"/>
  <c r="K83" i="13" s="1"/>
  <c r="T556" i="12"/>
  <c r="L89" i="13" s="1"/>
  <c r="K612" i="12"/>
  <c r="I96" i="13" s="1"/>
  <c r="Y612" i="12"/>
  <c r="O96" i="13" s="1"/>
  <c r="N636" i="12"/>
  <c r="J99" i="13" s="1"/>
  <c r="AE636" i="12"/>
  <c r="S99" i="13" s="1"/>
  <c r="Q636" i="12"/>
  <c r="K99" i="13" s="1"/>
  <c r="T684" i="12"/>
  <c r="L105" i="13" s="1"/>
  <c r="Q692" i="12"/>
  <c r="K106" i="13" s="1"/>
  <c r="AH692" i="12"/>
  <c r="T106" i="13" s="1"/>
  <c r="N700" i="12"/>
  <c r="J107" i="13" s="1"/>
  <c r="T748" i="12"/>
  <c r="L113" i="13" s="1"/>
  <c r="AH748" i="12"/>
  <c r="T113" i="13" s="1"/>
  <c r="K804" i="12"/>
  <c r="I120" i="13" s="1"/>
  <c r="Y804" i="12"/>
  <c r="O120" i="13" s="1"/>
  <c r="I16" i="15"/>
  <c r="T660" i="12"/>
  <c r="L102" i="13" s="1"/>
  <c r="Y652" i="12"/>
  <c r="O101" i="13" s="1"/>
  <c r="Y588" i="12"/>
  <c r="O93" i="13" s="1"/>
  <c r="Y524" i="12"/>
  <c r="O85" i="13" s="1"/>
  <c r="N68" i="12"/>
  <c r="J26" i="13" s="1"/>
  <c r="AE148" i="12"/>
  <c r="S36" i="13" s="1"/>
  <c r="T164" i="12"/>
  <c r="L38" i="13" s="1"/>
  <c r="AH172" i="12"/>
  <c r="T39" i="13" s="1"/>
  <c r="K236" i="12"/>
  <c r="I47" i="13" s="1"/>
  <c r="Y236" i="12"/>
  <c r="O47" i="13" s="1"/>
  <c r="T108" i="12"/>
  <c r="L31" i="13" s="1"/>
  <c r="Y124" i="12"/>
  <c r="O33" i="13" s="1"/>
  <c r="T132" i="12"/>
  <c r="L34" i="13" s="1"/>
  <c r="Q140" i="12"/>
  <c r="K35" i="13" s="1"/>
  <c r="K156" i="12"/>
  <c r="I37" i="13" s="1"/>
  <c r="Q172" i="12"/>
  <c r="K39" i="13" s="1"/>
  <c r="Q68" i="12"/>
  <c r="K26" i="13" s="1"/>
  <c r="AH68" i="12"/>
  <c r="T26" i="13" s="1"/>
  <c r="K84" i="12"/>
  <c r="I28" i="13" s="1"/>
  <c r="Y84" i="12"/>
  <c r="O28" i="13" s="1"/>
  <c r="Y556" i="12"/>
  <c r="O89" i="13" s="1"/>
  <c r="T692" i="12"/>
  <c r="L106" i="13" s="1"/>
  <c r="AE68" i="12"/>
  <c r="S26" i="13" s="1"/>
  <c r="AH140" i="12"/>
  <c r="T35" i="13" s="1"/>
  <c r="N148" i="12"/>
  <c r="J36" i="13" s="1"/>
  <c r="Y156" i="12"/>
  <c r="O37" i="13" s="1"/>
  <c r="K76" i="12"/>
  <c r="I27" i="13" s="1"/>
  <c r="Q124" i="12"/>
  <c r="K33" i="13" s="1"/>
  <c r="AH124" i="12"/>
  <c r="T33" i="13" s="1"/>
  <c r="N124" i="12"/>
  <c r="J33" i="13" s="1"/>
  <c r="T532" i="12"/>
  <c r="L86" i="13" s="1"/>
  <c r="T236" i="12"/>
  <c r="L47" i="13" s="1"/>
  <c r="T244" i="12"/>
  <c r="L50" i="13" s="1"/>
  <c r="Q244" i="12"/>
  <c r="K50" i="13" s="1"/>
  <c r="AH244" i="12"/>
  <c r="T50" i="13" s="1"/>
  <c r="Q252" i="12"/>
  <c r="K51" i="13" s="1"/>
  <c r="AH252" i="12"/>
  <c r="T51" i="13" s="1"/>
  <c r="N252" i="12"/>
  <c r="J51" i="13" s="1"/>
  <c r="AE252" i="12"/>
  <c r="S51" i="13" s="1"/>
  <c r="N260" i="12"/>
  <c r="J52" i="13" s="1"/>
  <c r="AE260" i="12"/>
  <c r="S52" i="13" s="1"/>
  <c r="K260" i="12"/>
  <c r="I52" i="13" s="1"/>
  <c r="Y260" i="12"/>
  <c r="O52" i="13" s="1"/>
  <c r="K268" i="12"/>
  <c r="I53" i="13" s="1"/>
  <c r="Y268" i="12"/>
  <c r="O53" i="13" s="1"/>
  <c r="T268" i="12"/>
  <c r="L53" i="13" s="1"/>
  <c r="T276" i="12"/>
  <c r="L54" i="13" s="1"/>
  <c r="Q284" i="12"/>
  <c r="K55" i="13" s="1"/>
  <c r="AH284" i="12"/>
  <c r="T55" i="13" s="1"/>
  <c r="N292" i="12"/>
  <c r="J56" i="13" s="1"/>
  <c r="AE292" i="12"/>
  <c r="S56" i="13" s="1"/>
  <c r="K300" i="12"/>
  <c r="I57" i="13" s="1"/>
  <c r="Y300" i="12"/>
  <c r="O57" i="13" s="1"/>
  <c r="T308" i="12"/>
  <c r="L58" i="13" s="1"/>
  <c r="Q316" i="12"/>
  <c r="K59" i="13" s="1"/>
  <c r="AH316" i="12"/>
  <c r="T59" i="13" s="1"/>
  <c r="N324" i="12"/>
  <c r="J60" i="13" s="1"/>
  <c r="AE324" i="12"/>
  <c r="S60" i="13" s="1"/>
  <c r="K332" i="12"/>
  <c r="I61" i="13" s="1"/>
  <c r="Y332" i="12"/>
  <c r="O61" i="13" s="1"/>
  <c r="T340" i="12"/>
  <c r="L62" i="13" s="1"/>
  <c r="Q348" i="12"/>
  <c r="K63" i="13" s="1"/>
  <c r="AH348" i="12"/>
  <c r="T63" i="13" s="1"/>
  <c r="N356" i="12"/>
  <c r="J64" i="13" s="1"/>
  <c r="AE356" i="12"/>
  <c r="S64" i="13" s="1"/>
  <c r="K364" i="12"/>
  <c r="I65" i="13" s="1"/>
  <c r="Y364" i="12"/>
  <c r="O65" i="13" s="1"/>
  <c r="T372" i="12"/>
  <c r="L66" i="13" s="1"/>
  <c r="Q380" i="12"/>
  <c r="K67" i="13" s="1"/>
  <c r="AH380" i="12"/>
  <c r="T67" i="13" s="1"/>
  <c r="N388" i="12"/>
  <c r="J68" i="13" s="1"/>
  <c r="AE388" i="12"/>
  <c r="S68" i="13" s="1"/>
  <c r="K396" i="12"/>
  <c r="I69" i="13" s="1"/>
  <c r="Y396" i="12"/>
  <c r="O69" i="13" s="1"/>
  <c r="T404" i="12"/>
  <c r="L70" i="13" s="1"/>
  <c r="Q412" i="12"/>
  <c r="K71" i="13" s="1"/>
  <c r="AH412" i="12"/>
  <c r="T71" i="13" s="1"/>
  <c r="N420" i="12"/>
  <c r="J72" i="13" s="1"/>
  <c r="K428" i="12"/>
  <c r="I73" i="13" s="1"/>
  <c r="Y428" i="12"/>
  <c r="O73" i="13" s="1"/>
  <c r="T452" i="12"/>
  <c r="L76" i="13" s="1"/>
  <c r="N460" i="12"/>
  <c r="J77" i="13" s="1"/>
  <c r="AE460" i="12"/>
  <c r="S77" i="13" s="1"/>
  <c r="K460" i="12"/>
  <c r="I77" i="13" s="1"/>
  <c r="K484" i="12"/>
  <c r="I80" i="13" s="1"/>
  <c r="Y484" i="12"/>
  <c r="O80" i="13" s="1"/>
  <c r="N508" i="12"/>
  <c r="J83" i="13" s="1"/>
  <c r="AE508" i="12"/>
  <c r="S83" i="13" s="1"/>
  <c r="N532" i="12"/>
  <c r="J86" i="13" s="1"/>
  <c r="AE532" i="12"/>
  <c r="S86" i="13" s="1"/>
  <c r="T540" i="12"/>
  <c r="L87" i="13" s="1"/>
  <c r="Q540" i="12"/>
  <c r="K87" i="13" s="1"/>
  <c r="AH540" i="12"/>
  <c r="T87" i="13" s="1"/>
  <c r="Q548" i="12"/>
  <c r="K88" i="13" s="1"/>
  <c r="AH548" i="12"/>
  <c r="T88" i="13" s="1"/>
  <c r="AE548" i="12"/>
  <c r="S88" i="13" s="1"/>
  <c r="T580" i="12"/>
  <c r="L92" i="13" s="1"/>
  <c r="Q588" i="12"/>
  <c r="K93" i="13" s="1"/>
  <c r="AH588" i="12"/>
  <c r="T93" i="13" s="1"/>
  <c r="K596" i="12"/>
  <c r="I94" i="13" s="1"/>
  <c r="Y596" i="12"/>
  <c r="O94" i="13" s="1"/>
  <c r="T596" i="12"/>
  <c r="L94" i="13" s="1"/>
  <c r="T604" i="12"/>
  <c r="L95" i="13" s="1"/>
  <c r="Q604" i="12"/>
  <c r="K95" i="13" s="1"/>
  <c r="K668" i="12"/>
  <c r="I103" i="13" s="1"/>
  <c r="Y668" i="12"/>
  <c r="O103" i="13" s="1"/>
  <c r="Q676" i="12"/>
  <c r="K104" i="13" s="1"/>
  <c r="AH676" i="12"/>
  <c r="T104" i="13" s="1"/>
  <c r="AE676" i="12"/>
  <c r="S104" i="13" s="1"/>
  <c r="K116" i="12"/>
  <c r="I32" i="13" s="1"/>
  <c r="Y116" i="12"/>
  <c r="O32" i="13" s="1"/>
  <c r="Q180" i="12"/>
  <c r="K40" i="13" s="1"/>
  <c r="AH180" i="12"/>
  <c r="T40" i="13" s="1"/>
  <c r="N180" i="12"/>
  <c r="J40" i="13" s="1"/>
  <c r="AE180" i="12"/>
  <c r="S40" i="13" s="1"/>
  <c r="N188" i="12"/>
  <c r="J41" i="13" s="1"/>
  <c r="AE188" i="12"/>
  <c r="S41" i="13" s="1"/>
  <c r="K188" i="12"/>
  <c r="I41" i="13" s="1"/>
  <c r="Y188" i="12"/>
  <c r="O41" i="13" s="1"/>
  <c r="K196" i="12"/>
  <c r="I42" i="13" s="1"/>
  <c r="Y196" i="12"/>
  <c r="O42" i="13" s="1"/>
  <c r="T196" i="12"/>
  <c r="L42" i="13" s="1"/>
  <c r="T204" i="12"/>
  <c r="L43" i="13" s="1"/>
  <c r="Q204" i="12"/>
  <c r="K43" i="13" s="1"/>
  <c r="AH204" i="12"/>
  <c r="T43" i="13" s="1"/>
  <c r="Q212" i="12"/>
  <c r="K44" i="13" s="1"/>
  <c r="AH212" i="12"/>
  <c r="T44" i="13" s="1"/>
  <c r="N212" i="12"/>
  <c r="J44" i="13" s="1"/>
  <c r="AE212" i="12"/>
  <c r="S44" i="13" s="1"/>
  <c r="N220" i="12"/>
  <c r="J45" i="13" s="1"/>
  <c r="AE220" i="12"/>
  <c r="S45" i="13" s="1"/>
  <c r="K220" i="12"/>
  <c r="I45" i="13" s="1"/>
  <c r="Y220" i="12"/>
  <c r="O45" i="13" s="1"/>
  <c r="K228" i="12"/>
  <c r="I46" i="13" s="1"/>
  <c r="Y228" i="12"/>
  <c r="O46" i="13" s="1"/>
  <c r="T228" i="12"/>
  <c r="L46" i="13" s="1"/>
  <c r="N236" i="12"/>
  <c r="J47" i="13" s="1"/>
  <c r="AE236" i="12"/>
  <c r="S47" i="13" s="1"/>
  <c r="Q236" i="12"/>
  <c r="K47" i="13" s="1"/>
  <c r="AH236" i="12"/>
  <c r="T47" i="13" s="1"/>
  <c r="K244" i="12"/>
  <c r="I50" i="13" s="1"/>
  <c r="Y244" i="12"/>
  <c r="O50" i="13" s="1"/>
  <c r="N244" i="12"/>
  <c r="J50" i="13" s="1"/>
  <c r="AE244" i="12"/>
  <c r="S50" i="13" s="1"/>
  <c r="T252" i="12"/>
  <c r="L51" i="13" s="1"/>
  <c r="Q260" i="12"/>
  <c r="K52" i="13" s="1"/>
  <c r="AH260" i="12"/>
  <c r="T52" i="13" s="1"/>
  <c r="N268" i="12"/>
  <c r="J53" i="13" s="1"/>
  <c r="AE268" i="12"/>
  <c r="S53" i="13" s="1"/>
  <c r="K276" i="12"/>
  <c r="I54" i="13" s="1"/>
  <c r="Y276" i="12"/>
  <c r="O54" i="13" s="1"/>
  <c r="T284" i="12"/>
  <c r="L55" i="13" s="1"/>
  <c r="Q292" i="12"/>
  <c r="K56" i="13" s="1"/>
  <c r="AH292" i="12"/>
  <c r="T56" i="13" s="1"/>
  <c r="N300" i="12"/>
  <c r="J57" i="13" s="1"/>
  <c r="AE300" i="12"/>
  <c r="S57" i="13" s="1"/>
  <c r="K308" i="12"/>
  <c r="I58" i="13" s="1"/>
  <c r="Y308" i="12"/>
  <c r="O58" i="13" s="1"/>
  <c r="T316" i="12"/>
  <c r="L59" i="13" s="1"/>
  <c r="Q324" i="12"/>
  <c r="K60" i="13" s="1"/>
  <c r="AH324" i="12"/>
  <c r="T60" i="13" s="1"/>
  <c r="Q388" i="12"/>
  <c r="K68" i="13" s="1"/>
  <c r="AH388" i="12"/>
  <c r="T68" i="13" s="1"/>
  <c r="N428" i="12"/>
  <c r="J73" i="13" s="1"/>
  <c r="T436" i="12"/>
  <c r="L74" i="13" s="1"/>
  <c r="Q436" i="12"/>
  <c r="K74" i="13" s="1"/>
  <c r="AH436" i="12"/>
  <c r="T74" i="13" s="1"/>
  <c r="Q444" i="12"/>
  <c r="K75" i="13" s="1"/>
  <c r="AH444" i="12"/>
  <c r="T75" i="13" s="1"/>
  <c r="AE444" i="12"/>
  <c r="S75" i="13" s="1"/>
  <c r="Q460" i="12"/>
  <c r="K77" i="13" s="1"/>
  <c r="AH460" i="12"/>
  <c r="T77" i="13" s="1"/>
  <c r="K468" i="12"/>
  <c r="I78" i="13" s="1"/>
  <c r="Y468" i="12"/>
  <c r="O78" i="13" s="1"/>
  <c r="T468" i="12"/>
  <c r="L78" i="13" s="1"/>
  <c r="T476" i="12"/>
  <c r="L79" i="13" s="1"/>
  <c r="Q476" i="12"/>
  <c r="K79" i="13" s="1"/>
  <c r="Q532" i="12"/>
  <c r="K86" i="13" s="1"/>
  <c r="AH532" i="12"/>
  <c r="T86" i="13" s="1"/>
  <c r="K540" i="12"/>
  <c r="I87" i="13" s="1"/>
  <c r="Y540" i="12"/>
  <c r="O87" i="13" s="1"/>
  <c r="N556" i="12"/>
  <c r="J89" i="13" s="1"/>
  <c r="AE556" i="12"/>
  <c r="S89" i="13" s="1"/>
  <c r="K556" i="12"/>
  <c r="I89" i="13" s="1"/>
  <c r="K580" i="12"/>
  <c r="I92" i="13" s="1"/>
  <c r="Y580" i="12"/>
  <c r="O92" i="13" s="1"/>
  <c r="Q612" i="12"/>
  <c r="K96" i="13" s="1"/>
  <c r="AH612" i="12"/>
  <c r="T96" i="13" s="1"/>
  <c r="N612" i="12"/>
  <c r="J96" i="13" s="1"/>
  <c r="AE612" i="12"/>
  <c r="S96" i="13" s="1"/>
  <c r="N620" i="12"/>
  <c r="J97" i="13" s="1"/>
  <c r="AE620" i="12"/>
  <c r="S97" i="13" s="1"/>
  <c r="K620" i="12"/>
  <c r="I97" i="13" s="1"/>
  <c r="Y620" i="12"/>
  <c r="O97" i="13" s="1"/>
  <c r="K628" i="12"/>
  <c r="I98" i="13" s="1"/>
  <c r="Y628" i="12"/>
  <c r="O98" i="13" s="1"/>
  <c r="T628" i="12"/>
  <c r="L98" i="13" s="1"/>
  <c r="T636" i="12"/>
  <c r="L99" i="13" s="1"/>
  <c r="K636" i="12"/>
  <c r="I99" i="13" s="1"/>
  <c r="Y636" i="12"/>
  <c r="O99" i="13" s="1"/>
  <c r="Q660" i="12"/>
  <c r="K102" i="13" s="1"/>
  <c r="AH660" i="12"/>
  <c r="T102" i="13" s="1"/>
  <c r="N668" i="12"/>
  <c r="J103" i="13" s="1"/>
  <c r="AE668" i="12"/>
  <c r="S103" i="13" s="1"/>
  <c r="N684" i="12"/>
  <c r="J105" i="13" s="1"/>
  <c r="AE684" i="12"/>
  <c r="S105" i="13" s="1"/>
  <c r="K684" i="12"/>
  <c r="I105" i="13" s="1"/>
  <c r="Y684" i="12"/>
  <c r="O105" i="13" s="1"/>
  <c r="K692" i="12"/>
  <c r="I106" i="13" s="1"/>
  <c r="Y692" i="12"/>
  <c r="O106" i="13" s="1"/>
  <c r="Q756" i="12"/>
  <c r="K114" i="13" s="1"/>
  <c r="AH756" i="12"/>
  <c r="T114" i="13" s="1"/>
  <c r="N756" i="12"/>
  <c r="J114" i="13" s="1"/>
  <c r="AE756" i="12"/>
  <c r="S114" i="13" s="1"/>
  <c r="N764" i="12"/>
  <c r="J115" i="13" s="1"/>
  <c r="AE764" i="12"/>
  <c r="S115" i="13" s="1"/>
  <c r="K764" i="12"/>
  <c r="I115" i="13" s="1"/>
  <c r="N788" i="12"/>
  <c r="J118" i="13" s="1"/>
  <c r="Y796" i="12"/>
  <c r="O119" i="13" s="1"/>
  <c r="AE124" i="12"/>
  <c r="S33" i="13" s="1"/>
  <c r="N132" i="12"/>
  <c r="J34" i="13" s="1"/>
  <c r="AE132" i="12"/>
  <c r="S34" i="13" s="1"/>
  <c r="K132" i="12"/>
  <c r="I34" i="13" s="1"/>
  <c r="Y132" i="12"/>
  <c r="O34" i="13" s="1"/>
  <c r="K140" i="12"/>
  <c r="I35" i="13" s="1"/>
  <c r="Y140" i="12"/>
  <c r="O35" i="13" s="1"/>
  <c r="T140" i="12"/>
  <c r="L35" i="13" s="1"/>
  <c r="T148" i="12"/>
  <c r="L36" i="13" s="1"/>
  <c r="Q148" i="12"/>
  <c r="K36" i="13" s="1"/>
  <c r="AH148" i="12"/>
  <c r="T36" i="13" s="1"/>
  <c r="Q156" i="12"/>
  <c r="K37" i="13" s="1"/>
  <c r="AH156" i="12"/>
  <c r="T37" i="13" s="1"/>
  <c r="N156" i="12"/>
  <c r="J37" i="13" s="1"/>
  <c r="AE156" i="12"/>
  <c r="S37" i="13" s="1"/>
  <c r="N164" i="12"/>
  <c r="J38" i="13" s="1"/>
  <c r="AE164" i="12"/>
  <c r="S38" i="13" s="1"/>
  <c r="K164" i="12"/>
  <c r="I38" i="13" s="1"/>
  <c r="Y164" i="12"/>
  <c r="O38" i="13" s="1"/>
  <c r="K172" i="12"/>
  <c r="I39" i="13" s="1"/>
  <c r="Y172" i="12"/>
  <c r="O39" i="13" s="1"/>
  <c r="T172" i="12"/>
  <c r="L39" i="13" s="1"/>
  <c r="T180" i="12"/>
  <c r="L40" i="13" s="1"/>
  <c r="K180" i="12"/>
  <c r="I40" i="13" s="1"/>
  <c r="Y180" i="12"/>
  <c r="O40" i="13" s="1"/>
  <c r="Q188" i="12"/>
  <c r="K41" i="13" s="1"/>
  <c r="AH188" i="12"/>
  <c r="T41" i="13" s="1"/>
  <c r="T188" i="12"/>
  <c r="L41" i="13" s="1"/>
  <c r="N196" i="12"/>
  <c r="J42" i="13" s="1"/>
  <c r="AE196" i="12"/>
  <c r="S42" i="13" s="1"/>
  <c r="Q196" i="12"/>
  <c r="K42" i="13" s="1"/>
  <c r="AH196" i="12"/>
  <c r="T42" i="13" s="1"/>
  <c r="K204" i="12"/>
  <c r="I43" i="13" s="1"/>
  <c r="Y204" i="12"/>
  <c r="O43" i="13" s="1"/>
  <c r="N204" i="12"/>
  <c r="J43" i="13" s="1"/>
  <c r="AE204" i="12"/>
  <c r="S43" i="13" s="1"/>
  <c r="T212" i="12"/>
  <c r="L44" i="13" s="1"/>
  <c r="K212" i="12"/>
  <c r="I44" i="13" s="1"/>
  <c r="Y212" i="12"/>
  <c r="O44" i="13" s="1"/>
  <c r="Q220" i="12"/>
  <c r="K45" i="13" s="1"/>
  <c r="AH220" i="12"/>
  <c r="T45" i="13" s="1"/>
  <c r="N228" i="12"/>
  <c r="J46" i="13" s="1"/>
  <c r="AE228" i="12"/>
  <c r="S46" i="13" s="1"/>
  <c r="K252" i="12"/>
  <c r="I51" i="13" s="1"/>
  <c r="Y252" i="12"/>
  <c r="O51" i="13" s="1"/>
  <c r="T260" i="12"/>
  <c r="L52" i="13" s="1"/>
  <c r="Q268" i="12"/>
  <c r="K53" i="13" s="1"/>
  <c r="AH268" i="12"/>
  <c r="T53" i="13" s="1"/>
  <c r="Q332" i="12"/>
  <c r="K61" i="13" s="1"/>
  <c r="AH332" i="12"/>
  <c r="T61" i="13" s="1"/>
  <c r="N332" i="12"/>
  <c r="J61" i="13" s="1"/>
  <c r="AE332" i="12"/>
  <c r="S61" i="13" s="1"/>
  <c r="N340" i="12"/>
  <c r="J62" i="13" s="1"/>
  <c r="AE340" i="12"/>
  <c r="S62" i="13" s="1"/>
  <c r="K340" i="12"/>
  <c r="I62" i="13" s="1"/>
  <c r="Y340" i="12"/>
  <c r="O62" i="13" s="1"/>
  <c r="K348" i="12"/>
  <c r="I63" i="13" s="1"/>
  <c r="Y348" i="12"/>
  <c r="O63" i="13" s="1"/>
  <c r="T348" i="12"/>
  <c r="L63" i="13" s="1"/>
  <c r="T356" i="12"/>
  <c r="L64" i="13" s="1"/>
  <c r="Q356" i="12"/>
  <c r="K64" i="13" s="1"/>
  <c r="AH356" i="12"/>
  <c r="T64" i="13" s="1"/>
  <c r="Q364" i="12"/>
  <c r="K65" i="13" s="1"/>
  <c r="AH364" i="12"/>
  <c r="T65" i="13" s="1"/>
  <c r="N364" i="12"/>
  <c r="J65" i="13" s="1"/>
  <c r="AE364" i="12"/>
  <c r="S65" i="13" s="1"/>
  <c r="N372" i="12"/>
  <c r="J66" i="13" s="1"/>
  <c r="AE372" i="12"/>
  <c r="S66" i="13" s="1"/>
  <c r="K372" i="12"/>
  <c r="I66" i="13" s="1"/>
  <c r="Y372" i="12"/>
  <c r="O66" i="13" s="1"/>
  <c r="K380" i="12"/>
  <c r="I67" i="13" s="1"/>
  <c r="Y380" i="12"/>
  <c r="O67" i="13" s="1"/>
  <c r="T380" i="12"/>
  <c r="L67" i="13" s="1"/>
  <c r="T388" i="12"/>
  <c r="L68" i="13" s="1"/>
  <c r="Q396" i="12"/>
  <c r="K69" i="13" s="1"/>
  <c r="AH396" i="12"/>
  <c r="T69" i="13" s="1"/>
  <c r="N396" i="12"/>
  <c r="J69" i="13" s="1"/>
  <c r="AE396" i="12"/>
  <c r="S69" i="13" s="1"/>
  <c r="N404" i="12"/>
  <c r="J70" i="13" s="1"/>
  <c r="AE404" i="12"/>
  <c r="S70" i="13" s="1"/>
  <c r="K404" i="12"/>
  <c r="I70" i="13" s="1"/>
  <c r="Y404" i="12"/>
  <c r="O70" i="13" s="1"/>
  <c r="K412" i="12"/>
  <c r="I71" i="13" s="1"/>
  <c r="Y412" i="12"/>
  <c r="O71" i="13" s="1"/>
  <c r="T412" i="12"/>
  <c r="L71" i="13" s="1"/>
  <c r="T420" i="12"/>
  <c r="L72" i="13" s="1"/>
  <c r="Q420" i="12"/>
  <c r="K72" i="13" s="1"/>
  <c r="Q428" i="12"/>
  <c r="K73" i="13" s="1"/>
  <c r="AH428" i="12"/>
  <c r="T73" i="13" s="1"/>
  <c r="K436" i="12"/>
  <c r="I74" i="13" s="1"/>
  <c r="Y436" i="12"/>
  <c r="O74" i="13" s="1"/>
  <c r="N452" i="12"/>
  <c r="J76" i="13" s="1"/>
  <c r="AE452" i="12"/>
  <c r="S76" i="13" s="1"/>
  <c r="K452" i="12"/>
  <c r="I76" i="13" s="1"/>
  <c r="Q484" i="12"/>
  <c r="K80" i="13" s="1"/>
  <c r="AH484" i="12"/>
  <c r="T80" i="13" s="1"/>
  <c r="N484" i="12"/>
  <c r="J80" i="13" s="1"/>
  <c r="AE484" i="12"/>
  <c r="S80" i="13" s="1"/>
  <c r="N492" i="12"/>
  <c r="J81" i="13" s="1"/>
  <c r="AE492" i="12"/>
  <c r="S81" i="13" s="1"/>
  <c r="K492" i="12"/>
  <c r="I81" i="13" s="1"/>
  <c r="Y492" i="12"/>
  <c r="O81" i="13" s="1"/>
  <c r="K500" i="12"/>
  <c r="I82" i="13" s="1"/>
  <c r="Y500" i="12"/>
  <c r="O82" i="13" s="1"/>
  <c r="T500" i="12"/>
  <c r="L82" i="13" s="1"/>
  <c r="T508" i="12"/>
  <c r="L83" i="13" s="1"/>
  <c r="AH508" i="12"/>
  <c r="T83" i="13" s="1"/>
  <c r="K548" i="12"/>
  <c r="I88" i="13" s="1"/>
  <c r="Y548" i="12"/>
  <c r="O88" i="13" s="1"/>
  <c r="Q556" i="12"/>
  <c r="K89" i="13" s="1"/>
  <c r="AH556" i="12"/>
  <c r="T89" i="13" s="1"/>
  <c r="K564" i="12"/>
  <c r="I90" i="13" s="1"/>
  <c r="Y564" i="12"/>
  <c r="O90" i="13" s="1"/>
  <c r="T612" i="12"/>
  <c r="L96" i="13" s="1"/>
  <c r="N692" i="12"/>
  <c r="J106" i="13" s="1"/>
  <c r="AE692" i="12"/>
  <c r="S106" i="13" s="1"/>
  <c r="T700" i="12"/>
  <c r="L107" i="13" s="1"/>
  <c r="Q700" i="12"/>
  <c r="K107" i="13" s="1"/>
  <c r="AH700" i="12"/>
  <c r="T107" i="13" s="1"/>
  <c r="Q708" i="12"/>
  <c r="K108" i="13" s="1"/>
  <c r="AH708" i="12"/>
  <c r="T108" i="13" s="1"/>
  <c r="N708" i="12"/>
  <c r="J108" i="13" s="1"/>
  <c r="AE708" i="12"/>
  <c r="S108" i="13" s="1"/>
  <c r="N716" i="12"/>
  <c r="J109" i="13" s="1"/>
  <c r="AE716" i="12"/>
  <c r="S109" i="13" s="1"/>
  <c r="K716" i="12"/>
  <c r="I109" i="13" s="1"/>
  <c r="Y716" i="12"/>
  <c r="O109" i="13" s="1"/>
  <c r="K724" i="12"/>
  <c r="I110" i="13" s="1"/>
  <c r="Y724" i="12"/>
  <c r="O110" i="13" s="1"/>
  <c r="T724" i="12"/>
  <c r="L110" i="13" s="1"/>
  <c r="T732" i="12"/>
  <c r="L111" i="13" s="1"/>
  <c r="Q740" i="12"/>
  <c r="K112" i="13" s="1"/>
  <c r="AH740" i="12"/>
  <c r="T112" i="13" s="1"/>
  <c r="T796" i="12"/>
  <c r="L119" i="13" s="1"/>
  <c r="N804" i="12"/>
  <c r="J120" i="13" s="1"/>
  <c r="AE804" i="12"/>
  <c r="S120" i="13" s="1"/>
  <c r="T812" i="12"/>
  <c r="L121" i="13" s="1"/>
  <c r="Q812" i="12"/>
  <c r="K121" i="13" s="1"/>
  <c r="AH812" i="12"/>
  <c r="T121" i="13" s="1"/>
  <c r="Q820" i="12"/>
  <c r="K122" i="13" s="1"/>
  <c r="AH820" i="12"/>
  <c r="T122" i="13" s="1"/>
  <c r="N820" i="12"/>
  <c r="J122" i="13" s="1"/>
  <c r="AE820" i="12"/>
  <c r="S122" i="13" s="1"/>
  <c r="N828" i="12"/>
  <c r="J123" i="13" s="1"/>
  <c r="AE828" i="12"/>
  <c r="S123" i="13" s="1"/>
  <c r="K828" i="12"/>
  <c r="I123" i="13" s="1"/>
  <c r="Y700" i="12"/>
  <c r="O107" i="13" s="1"/>
  <c r="T708" i="12"/>
  <c r="L108" i="13" s="1"/>
  <c r="Q716" i="12"/>
  <c r="K109" i="13" s="1"/>
  <c r="AH716" i="12"/>
  <c r="T109" i="13" s="1"/>
  <c r="N724" i="12"/>
  <c r="J110" i="13" s="1"/>
  <c r="AE724" i="12"/>
  <c r="S110" i="13" s="1"/>
  <c r="K732" i="12"/>
  <c r="I111" i="13" s="1"/>
  <c r="Y732" i="12"/>
  <c r="O111" i="13" s="1"/>
  <c r="N748" i="12"/>
  <c r="J113" i="13" s="1"/>
  <c r="AE748" i="12"/>
  <c r="S113" i="13" s="1"/>
  <c r="Q764" i="12"/>
  <c r="K115" i="13" s="1"/>
  <c r="AH764" i="12"/>
  <c r="T115" i="13" s="1"/>
  <c r="K772" i="12"/>
  <c r="I116" i="13" s="1"/>
  <c r="Y772" i="12"/>
  <c r="O116" i="13" s="1"/>
  <c r="T772" i="12"/>
  <c r="L116" i="13" s="1"/>
  <c r="T780" i="12"/>
  <c r="L117" i="13" s="1"/>
  <c r="Q780" i="12"/>
  <c r="K117" i="13" s="1"/>
  <c r="AH780" i="12"/>
  <c r="T117" i="13" s="1"/>
  <c r="Q788" i="12"/>
  <c r="K118" i="13" s="1"/>
  <c r="AH788" i="12"/>
  <c r="T118" i="13" s="1"/>
  <c r="AE788" i="12"/>
  <c r="S118" i="13" s="1"/>
  <c r="Q828" i="12"/>
  <c r="K123" i="13" s="1"/>
  <c r="AH828" i="12"/>
  <c r="T123" i="13" s="1"/>
  <c r="K836" i="12"/>
  <c r="I124" i="13" s="1"/>
  <c r="Y836" i="12"/>
  <c r="O124" i="13" s="1"/>
  <c r="T836" i="12"/>
  <c r="L124" i="13" s="1"/>
  <c r="AE700" i="12"/>
  <c r="S107" i="13" s="1"/>
  <c r="K708" i="12"/>
  <c r="I108" i="13" s="1"/>
  <c r="Y708" i="12"/>
  <c r="O108" i="13" s="1"/>
  <c r="T716" i="12"/>
  <c r="L109" i="13" s="1"/>
  <c r="Q724" i="12"/>
  <c r="K110" i="13" s="1"/>
  <c r="AH724" i="12"/>
  <c r="T110" i="13" s="1"/>
  <c r="K740" i="12"/>
  <c r="I112" i="13" s="1"/>
  <c r="Y740" i="12"/>
  <c r="O112" i="13" s="1"/>
  <c r="T764" i="12"/>
  <c r="L115" i="13" s="1"/>
  <c r="K780" i="12"/>
  <c r="I117" i="13" s="1"/>
  <c r="Y780" i="12"/>
  <c r="O117" i="13" s="1"/>
  <c r="N796" i="12"/>
  <c r="J119" i="13" s="1"/>
  <c r="AE796" i="12"/>
  <c r="S119" i="13" s="1"/>
  <c r="K796" i="12"/>
  <c r="I119" i="13" s="1"/>
  <c r="K820" i="12"/>
  <c r="I122" i="13" s="1"/>
  <c r="Y820" i="12"/>
  <c r="O122" i="13" s="1"/>
  <c r="P772" i="9"/>
  <c r="J114" i="10" s="1"/>
  <c r="J772" i="9"/>
  <c r="H114" i="10" s="1"/>
  <c r="V772" i="9"/>
  <c r="L114" i="10" s="1"/>
  <c r="J780" i="9"/>
  <c r="H115" i="10" s="1"/>
  <c r="V780" i="9"/>
  <c r="L115" i="10" s="1"/>
  <c r="P780" i="9"/>
  <c r="J115" i="10" s="1"/>
  <c r="P804" i="9"/>
  <c r="J118" i="10" s="1"/>
  <c r="J804" i="9"/>
  <c r="H118" i="10" s="1"/>
  <c r="V804" i="9"/>
  <c r="L118" i="10" s="1"/>
  <c r="J812" i="9"/>
  <c r="H119" i="10" s="1"/>
  <c r="V812" i="9"/>
  <c r="L119" i="10" s="1"/>
  <c r="P812" i="9"/>
  <c r="J119" i="10" s="1"/>
  <c r="P820" i="9"/>
  <c r="J120" i="10" s="1"/>
  <c r="J820" i="9"/>
  <c r="H120" i="10" s="1"/>
  <c r="V820" i="9"/>
  <c r="L120" i="10" s="1"/>
  <c r="J844" i="9"/>
  <c r="H123" i="10" s="1"/>
  <c r="V844" i="9"/>
  <c r="L123" i="10" s="1"/>
  <c r="P844" i="9"/>
  <c r="J123" i="10" s="1"/>
  <c r="P852" i="9"/>
  <c r="J124" i="10" s="1"/>
  <c r="J852" i="9"/>
  <c r="H124" i="10" s="1"/>
  <c r="V852" i="9"/>
  <c r="L124" i="10" s="1"/>
  <c r="P884" i="9"/>
  <c r="J128" i="10" s="1"/>
  <c r="J892" i="9"/>
  <c r="H129" i="10" s="1"/>
  <c r="V892" i="9"/>
  <c r="L129" i="10" s="1"/>
  <c r="P892" i="9"/>
  <c r="J129" i="10" s="1"/>
  <c r="P900" i="9"/>
  <c r="J130" i="10" s="1"/>
  <c r="P916" i="9"/>
  <c r="J132" i="10" s="1"/>
  <c r="J924" i="9"/>
  <c r="H133" i="10" s="1"/>
  <c r="V924" i="9"/>
  <c r="L133" i="10" s="1"/>
  <c r="P924" i="9"/>
  <c r="J133" i="10" s="1"/>
  <c r="P932" i="9"/>
  <c r="J134" i="10" s="1"/>
  <c r="J932" i="9"/>
  <c r="H134" i="10" s="1"/>
  <c r="V932" i="9"/>
  <c r="L134" i="10" s="1"/>
  <c r="J988" i="9"/>
  <c r="H141" i="10" s="1"/>
  <c r="V988" i="9"/>
  <c r="L141" i="10" s="1"/>
  <c r="P988" i="9"/>
  <c r="J141" i="10" s="1"/>
  <c r="P1004" i="9"/>
  <c r="J143" i="10" s="1"/>
  <c r="J1004" i="9"/>
  <c r="H143" i="10" s="1"/>
  <c r="V1004" i="9"/>
  <c r="L143" i="10" s="1"/>
  <c r="P1036" i="9"/>
  <c r="J147" i="10" s="1"/>
  <c r="J1044" i="9"/>
  <c r="H148" i="10" s="1"/>
  <c r="V1044" i="9"/>
  <c r="L148" i="10" s="1"/>
  <c r="P1044" i="9"/>
  <c r="J148" i="10" s="1"/>
  <c r="P1052" i="9"/>
  <c r="J149" i="10" s="1"/>
  <c r="P1068" i="9"/>
  <c r="J151" i="10" s="1"/>
  <c r="J1076" i="9"/>
  <c r="H152" i="10" s="1"/>
  <c r="V1076" i="9"/>
  <c r="L152" i="10" s="1"/>
  <c r="P1076" i="9"/>
  <c r="J152" i="10" s="1"/>
  <c r="P1084" i="9"/>
  <c r="J153" i="10" s="1"/>
  <c r="J1084" i="9"/>
  <c r="H153" i="10" s="1"/>
  <c r="V1084" i="9"/>
  <c r="L153" i="10" s="1"/>
  <c r="J1108" i="9"/>
  <c r="H156" i="10" s="1"/>
  <c r="V1108" i="9"/>
  <c r="L156" i="10" s="1"/>
  <c r="P1108" i="9"/>
  <c r="J156" i="10" s="1"/>
  <c r="P1116" i="9"/>
  <c r="J157" i="10" s="1"/>
  <c r="J1116" i="9"/>
  <c r="H157" i="10" s="1"/>
  <c r="V1116" i="9"/>
  <c r="L157" i="10" s="1"/>
  <c r="M780" i="9"/>
  <c r="I115" i="10" s="1"/>
  <c r="Y780" i="9"/>
  <c r="M115" i="10" s="1"/>
  <c r="S780" i="9"/>
  <c r="K115" i="10" s="1"/>
  <c r="S788" i="9"/>
  <c r="K116" i="10" s="1"/>
  <c r="M788" i="9"/>
  <c r="I116" i="10" s="1"/>
  <c r="Y788" i="9"/>
  <c r="M116" i="10" s="1"/>
  <c r="M812" i="9"/>
  <c r="I119" i="10" s="1"/>
  <c r="Y812" i="9"/>
  <c r="M119" i="10" s="1"/>
  <c r="S812" i="9"/>
  <c r="K119" i="10" s="1"/>
  <c r="S820" i="9"/>
  <c r="K120" i="10" s="1"/>
  <c r="M820" i="9"/>
  <c r="I120" i="10" s="1"/>
  <c r="Y820" i="9"/>
  <c r="M120" i="10" s="1"/>
  <c r="M828" i="9"/>
  <c r="I121" i="10" s="1"/>
  <c r="Y828" i="9"/>
  <c r="M121" i="10" s="1"/>
  <c r="S828" i="9"/>
  <c r="K121" i="10" s="1"/>
  <c r="S852" i="9"/>
  <c r="K124" i="10" s="1"/>
  <c r="M852" i="9"/>
  <c r="I124" i="10" s="1"/>
  <c r="Y852" i="9"/>
  <c r="M124" i="10" s="1"/>
  <c r="M860" i="9"/>
  <c r="I125" i="10" s="1"/>
  <c r="Y860" i="9"/>
  <c r="M125" i="10" s="1"/>
  <c r="S860" i="9"/>
  <c r="K125" i="10" s="1"/>
  <c r="M876" i="9"/>
  <c r="I127" i="10" s="1"/>
  <c r="Y876" i="9"/>
  <c r="M127" i="10" s="1"/>
  <c r="M892" i="9"/>
  <c r="I129" i="10" s="1"/>
  <c r="Y892" i="9"/>
  <c r="M129" i="10" s="1"/>
  <c r="S900" i="9"/>
  <c r="K130" i="10" s="1"/>
  <c r="M900" i="9"/>
  <c r="I130" i="10" s="1"/>
  <c r="Y900" i="9"/>
  <c r="M130" i="10" s="1"/>
  <c r="M908" i="9"/>
  <c r="I131" i="10" s="1"/>
  <c r="Y908" i="9"/>
  <c r="M131" i="10" s="1"/>
  <c r="M924" i="9"/>
  <c r="I133" i="10" s="1"/>
  <c r="Y924" i="9"/>
  <c r="M133" i="10" s="1"/>
  <c r="S932" i="9"/>
  <c r="K134" i="10" s="1"/>
  <c r="M932" i="9"/>
  <c r="I134" i="10" s="1"/>
  <c r="Y932" i="9"/>
  <c r="M134" i="10" s="1"/>
  <c r="M940" i="9"/>
  <c r="I135" i="10" s="1"/>
  <c r="Y940" i="9"/>
  <c r="M135" i="10" s="1"/>
  <c r="S940" i="9"/>
  <c r="K135" i="10" s="1"/>
  <c r="S1004" i="9"/>
  <c r="K143" i="10" s="1"/>
  <c r="M1004" i="9"/>
  <c r="I143" i="10" s="1"/>
  <c r="Y1004" i="9"/>
  <c r="M143" i="10" s="1"/>
  <c r="M1012" i="9"/>
  <c r="I144" i="10" s="1"/>
  <c r="Y1012" i="9"/>
  <c r="M144" i="10" s="1"/>
  <c r="S1012" i="9"/>
  <c r="K144" i="10" s="1"/>
  <c r="M1028" i="9"/>
  <c r="I146" i="10" s="1"/>
  <c r="Y1028" i="9"/>
  <c r="M146" i="10" s="1"/>
  <c r="M1044" i="9"/>
  <c r="I148" i="10" s="1"/>
  <c r="Y1044" i="9"/>
  <c r="M148" i="10" s="1"/>
  <c r="S1052" i="9"/>
  <c r="K149" i="10" s="1"/>
  <c r="M1052" i="9"/>
  <c r="I149" i="10" s="1"/>
  <c r="Y1052" i="9"/>
  <c r="M149" i="10" s="1"/>
  <c r="M1060" i="9"/>
  <c r="I150" i="10" s="1"/>
  <c r="Y1060" i="9"/>
  <c r="M150" i="10" s="1"/>
  <c r="M1076" i="9"/>
  <c r="I152" i="10" s="1"/>
  <c r="Y1076" i="9"/>
  <c r="M152" i="10" s="1"/>
  <c r="S1084" i="9"/>
  <c r="K153" i="10" s="1"/>
  <c r="M1084" i="9"/>
  <c r="I153" i="10" s="1"/>
  <c r="Y1084" i="9"/>
  <c r="M153" i="10" s="1"/>
  <c r="M1092" i="9"/>
  <c r="I154" i="10" s="1"/>
  <c r="Y1092" i="9"/>
  <c r="M154" i="10" s="1"/>
  <c r="S1092" i="9"/>
  <c r="K154" i="10" s="1"/>
  <c r="S1116" i="9"/>
  <c r="K157" i="10" s="1"/>
  <c r="M1116" i="9"/>
  <c r="I157" i="10" s="1"/>
  <c r="Y1116" i="9"/>
  <c r="M157" i="10" s="1"/>
  <c r="I19" i="15"/>
  <c r="T756" i="12"/>
  <c r="L114" i="13" s="1"/>
  <c r="N780" i="12"/>
  <c r="J117" i="13" s="1"/>
  <c r="AE780" i="12"/>
  <c r="S117" i="13" s="1"/>
  <c r="Q804" i="12"/>
  <c r="K120" i="13" s="1"/>
  <c r="AH804" i="12"/>
  <c r="T120" i="13" s="1"/>
  <c r="K812" i="12"/>
  <c r="I121" i="13" s="1"/>
  <c r="Y812" i="12"/>
  <c r="O121" i="13" s="1"/>
  <c r="T828" i="12"/>
  <c r="L123" i="13" s="1"/>
  <c r="N836" i="12"/>
  <c r="J124" i="13" s="1"/>
  <c r="AE836" i="12"/>
  <c r="S124" i="13" s="1"/>
  <c r="N732" i="12"/>
  <c r="J111" i="13" s="1"/>
  <c r="AE732" i="12"/>
  <c r="S111" i="13" s="1"/>
  <c r="K756" i="12"/>
  <c r="I114" i="13" s="1"/>
  <c r="Y756" i="12"/>
  <c r="O114" i="13" s="1"/>
  <c r="T788" i="12"/>
  <c r="L118" i="13" s="1"/>
  <c r="N812" i="12"/>
  <c r="J121" i="13" s="1"/>
  <c r="AE812" i="12"/>
  <c r="S121" i="13" s="1"/>
  <c r="Q836" i="12"/>
  <c r="K124" i="13" s="1"/>
  <c r="AH836" i="12"/>
  <c r="T124" i="13" s="1"/>
  <c r="AH732" i="12"/>
  <c r="T111" i="13" s="1"/>
  <c r="K748" i="12"/>
  <c r="I113" i="13" s="1"/>
  <c r="Y748" i="12"/>
  <c r="O113" i="13" s="1"/>
  <c r="N772" i="12"/>
  <c r="J116" i="13" s="1"/>
  <c r="AE772" i="12"/>
  <c r="S116" i="13" s="1"/>
  <c r="T820" i="12"/>
  <c r="L122" i="13" s="1"/>
  <c r="N436" i="12"/>
  <c r="J74" i="13" s="1"/>
  <c r="AE436" i="12"/>
  <c r="S74" i="13" s="1"/>
  <c r="T460" i="12"/>
  <c r="L77" i="13" s="1"/>
  <c r="N468" i="12"/>
  <c r="J78" i="13" s="1"/>
  <c r="AE468" i="12"/>
  <c r="S78" i="13" s="1"/>
  <c r="Q492" i="12"/>
  <c r="K81" i="13" s="1"/>
  <c r="AH492" i="12"/>
  <c r="T81" i="13" s="1"/>
  <c r="T516" i="12"/>
  <c r="L84" i="13" s="1"/>
  <c r="N540" i="12"/>
  <c r="J87" i="13" s="1"/>
  <c r="AE540" i="12"/>
  <c r="S87" i="13" s="1"/>
  <c r="Q564" i="12"/>
  <c r="K90" i="13" s="1"/>
  <c r="AH564" i="12"/>
  <c r="T90" i="13" s="1"/>
  <c r="K572" i="12"/>
  <c r="I91" i="13" s="1"/>
  <c r="Y572" i="12"/>
  <c r="O91" i="13" s="1"/>
  <c r="T588" i="12"/>
  <c r="L93" i="13" s="1"/>
  <c r="N596" i="12"/>
  <c r="J94" i="13" s="1"/>
  <c r="AE596" i="12"/>
  <c r="S94" i="13" s="1"/>
  <c r="Q620" i="12"/>
  <c r="K97" i="13" s="1"/>
  <c r="AH620" i="12"/>
  <c r="T97" i="13" s="1"/>
  <c r="AE420" i="12"/>
  <c r="S72" i="13" s="1"/>
  <c r="T444" i="12"/>
  <c r="L75" i="13" s="1"/>
  <c r="Q468" i="12"/>
  <c r="K78" i="13" s="1"/>
  <c r="AH468" i="12"/>
  <c r="T78" i="13" s="1"/>
  <c r="K476" i="12"/>
  <c r="I79" i="13" s="1"/>
  <c r="Y476" i="12"/>
  <c r="O79" i="13" s="1"/>
  <c r="T492" i="12"/>
  <c r="L81" i="13" s="1"/>
  <c r="N500" i="12"/>
  <c r="J82" i="13" s="1"/>
  <c r="AE500" i="12"/>
  <c r="S82" i="13" s="1"/>
  <c r="K516" i="12"/>
  <c r="I84" i="13" s="1"/>
  <c r="Y516" i="12"/>
  <c r="O84" i="13" s="1"/>
  <c r="Q524" i="12"/>
  <c r="K85" i="13" s="1"/>
  <c r="AH524" i="12"/>
  <c r="T85" i="13" s="1"/>
  <c r="T548" i="12"/>
  <c r="L88" i="13" s="1"/>
  <c r="N572" i="12"/>
  <c r="J91" i="13" s="1"/>
  <c r="AE572" i="12"/>
  <c r="S91" i="13" s="1"/>
  <c r="Q596" i="12"/>
  <c r="K94" i="13" s="1"/>
  <c r="AH596" i="12"/>
  <c r="T94" i="13" s="1"/>
  <c r="K604" i="12"/>
  <c r="I95" i="13" s="1"/>
  <c r="Y604" i="12"/>
  <c r="O95" i="13" s="1"/>
  <c r="T620" i="12"/>
  <c r="L97" i="13" s="1"/>
  <c r="N628" i="12"/>
  <c r="J98" i="13" s="1"/>
  <c r="AE628" i="12"/>
  <c r="S98" i="13" s="1"/>
  <c r="K644" i="12"/>
  <c r="I100" i="13" s="1"/>
  <c r="Y644" i="12"/>
  <c r="O100" i="13" s="1"/>
  <c r="T676" i="12"/>
  <c r="L104" i="13" s="1"/>
  <c r="AH420" i="12"/>
  <c r="T72" i="13" s="1"/>
  <c r="AE428" i="12"/>
  <c r="S73" i="13" s="1"/>
  <c r="N476" i="12"/>
  <c r="J79" i="13" s="1"/>
  <c r="AE476" i="12"/>
  <c r="S79" i="13" s="1"/>
  <c r="Q500" i="12"/>
  <c r="K82" i="13" s="1"/>
  <c r="AH500" i="12"/>
  <c r="T82" i="13" s="1"/>
  <c r="K508" i="12"/>
  <c r="I83" i="13" s="1"/>
  <c r="Y508" i="12"/>
  <c r="O83" i="13" s="1"/>
  <c r="T524" i="12"/>
  <c r="L85" i="13" s="1"/>
  <c r="N604" i="12"/>
  <c r="J95" i="13" s="1"/>
  <c r="AE604" i="12"/>
  <c r="S95" i="13" s="1"/>
  <c r="Q628" i="12"/>
  <c r="K98" i="13" s="1"/>
  <c r="AH628" i="12"/>
  <c r="T98" i="13" s="1"/>
  <c r="T652" i="12"/>
  <c r="L101" i="13" s="1"/>
  <c r="N660" i="12"/>
  <c r="J102" i="13" s="1"/>
  <c r="AE660" i="12"/>
  <c r="S102" i="13" s="1"/>
  <c r="K676" i="12"/>
  <c r="I104" i="13" s="1"/>
  <c r="Y676" i="12"/>
  <c r="O104" i="13" s="1"/>
  <c r="Q684" i="12"/>
  <c r="K105" i="13" s="1"/>
  <c r="AH684" i="12"/>
  <c r="T105" i="13" s="1"/>
  <c r="T116" i="12"/>
  <c r="L32" i="13" s="1"/>
  <c r="T100" i="12"/>
  <c r="L30" i="13" s="1"/>
  <c r="T92" i="12"/>
  <c r="L29" i="13" s="1"/>
  <c r="T84" i="12"/>
  <c r="L28" i="13" s="1"/>
  <c r="T76" i="12"/>
  <c r="L27" i="13" s="1"/>
  <c r="T68" i="12"/>
  <c r="L26" i="13" s="1"/>
  <c r="T60" i="12"/>
  <c r="L25" i="13" s="1"/>
  <c r="T52" i="12"/>
  <c r="L24" i="13" s="1"/>
  <c r="C37" i="9"/>
  <c r="C29" i="9"/>
  <c r="D29" i="9"/>
  <c r="C24" i="10"/>
  <c r="Y755" i="9"/>
  <c r="V755" i="9"/>
  <c r="S755" i="9"/>
  <c r="P755" i="9"/>
  <c r="M755" i="9"/>
  <c r="J755" i="9"/>
  <c r="Y754" i="9"/>
  <c r="V754" i="9"/>
  <c r="S754" i="9"/>
  <c r="P754" i="9"/>
  <c r="M754" i="9"/>
  <c r="J754" i="9"/>
  <c r="Y753" i="9"/>
  <c r="V753" i="9"/>
  <c r="S753" i="9"/>
  <c r="P753" i="9"/>
  <c r="M753" i="9"/>
  <c r="J753" i="9"/>
  <c r="Y752" i="9"/>
  <c r="V752" i="9"/>
  <c r="S752" i="9"/>
  <c r="P752" i="9"/>
  <c r="M752" i="9"/>
  <c r="J752" i="9"/>
  <c r="Y751" i="9"/>
  <c r="V751" i="9"/>
  <c r="S751" i="9"/>
  <c r="P751" i="9"/>
  <c r="M751" i="9"/>
  <c r="J751" i="9"/>
  <c r="Y750" i="9"/>
  <c r="V750" i="9"/>
  <c r="S750" i="9"/>
  <c r="P750" i="9"/>
  <c r="M750" i="9"/>
  <c r="J750" i="9"/>
  <c r="Y749" i="9"/>
  <c r="V749" i="9"/>
  <c r="S749" i="9"/>
  <c r="P749" i="9"/>
  <c r="M749" i="9"/>
  <c r="J749" i="9"/>
  <c r="Y747" i="9"/>
  <c r="V747" i="9"/>
  <c r="S747" i="9"/>
  <c r="P747" i="9"/>
  <c r="M747" i="9"/>
  <c r="J747" i="9"/>
  <c r="Y746" i="9"/>
  <c r="V746" i="9"/>
  <c r="S746" i="9"/>
  <c r="P746" i="9"/>
  <c r="M746" i="9"/>
  <c r="J746" i="9"/>
  <c r="Y745" i="9"/>
  <c r="V745" i="9"/>
  <c r="S745" i="9"/>
  <c r="P745" i="9"/>
  <c r="M745" i="9"/>
  <c r="J745" i="9"/>
  <c r="Y744" i="9"/>
  <c r="V744" i="9"/>
  <c r="S744" i="9"/>
  <c r="P744" i="9"/>
  <c r="M744" i="9"/>
  <c r="J744" i="9"/>
  <c r="Y743" i="9"/>
  <c r="V743" i="9"/>
  <c r="S743" i="9"/>
  <c r="P743" i="9"/>
  <c r="M743" i="9"/>
  <c r="J743" i="9"/>
  <c r="Y742" i="9"/>
  <c r="V742" i="9"/>
  <c r="S742" i="9"/>
  <c r="P742" i="9"/>
  <c r="M742" i="9"/>
  <c r="J742" i="9"/>
  <c r="Y741" i="9"/>
  <c r="V741" i="9"/>
  <c r="S741" i="9"/>
  <c r="P741" i="9"/>
  <c r="M741" i="9"/>
  <c r="J741" i="9"/>
  <c r="Y739" i="9"/>
  <c r="V739" i="9"/>
  <c r="S739" i="9"/>
  <c r="P739" i="9"/>
  <c r="M739" i="9"/>
  <c r="J739" i="9"/>
  <c r="Y738" i="9"/>
  <c r="V738" i="9"/>
  <c r="S738" i="9"/>
  <c r="P738" i="9"/>
  <c r="M738" i="9"/>
  <c r="J738" i="9"/>
  <c r="Y737" i="9"/>
  <c r="V737" i="9"/>
  <c r="S737" i="9"/>
  <c r="P737" i="9"/>
  <c r="M737" i="9"/>
  <c r="J737" i="9"/>
  <c r="Y736" i="9"/>
  <c r="V736" i="9"/>
  <c r="S736" i="9"/>
  <c r="P736" i="9"/>
  <c r="M736" i="9"/>
  <c r="J736" i="9"/>
  <c r="Y735" i="9"/>
  <c r="V735" i="9"/>
  <c r="S735" i="9"/>
  <c r="P735" i="9"/>
  <c r="M735" i="9"/>
  <c r="J735" i="9"/>
  <c r="Y734" i="9"/>
  <c r="V734" i="9"/>
  <c r="S734" i="9"/>
  <c r="P734" i="9"/>
  <c r="M734" i="9"/>
  <c r="J734" i="9"/>
  <c r="Y733" i="9"/>
  <c r="V733" i="9"/>
  <c r="S733" i="9"/>
  <c r="P733" i="9"/>
  <c r="M733" i="9"/>
  <c r="J733" i="9"/>
  <c r="Y731" i="9"/>
  <c r="V731" i="9"/>
  <c r="S731" i="9"/>
  <c r="P731" i="9"/>
  <c r="M731" i="9"/>
  <c r="J731" i="9"/>
  <c r="Y730" i="9"/>
  <c r="V730" i="9"/>
  <c r="S730" i="9"/>
  <c r="P730" i="9"/>
  <c r="M730" i="9"/>
  <c r="J730" i="9"/>
  <c r="Y729" i="9"/>
  <c r="V729" i="9"/>
  <c r="S729" i="9"/>
  <c r="P729" i="9"/>
  <c r="M729" i="9"/>
  <c r="J729" i="9"/>
  <c r="Y728" i="9"/>
  <c r="V728" i="9"/>
  <c r="S728" i="9"/>
  <c r="P728" i="9"/>
  <c r="M728" i="9"/>
  <c r="J728" i="9"/>
  <c r="Y727" i="9"/>
  <c r="V727" i="9"/>
  <c r="S727" i="9"/>
  <c r="P727" i="9"/>
  <c r="M727" i="9"/>
  <c r="J727" i="9"/>
  <c r="Y726" i="9"/>
  <c r="V726" i="9"/>
  <c r="S726" i="9"/>
  <c r="P726" i="9"/>
  <c r="M726" i="9"/>
  <c r="J726" i="9"/>
  <c r="Y725" i="9"/>
  <c r="V725" i="9"/>
  <c r="S725" i="9"/>
  <c r="P725" i="9"/>
  <c r="M725" i="9"/>
  <c r="J725" i="9"/>
  <c r="Y723" i="9"/>
  <c r="V723" i="9"/>
  <c r="S723" i="9"/>
  <c r="P723" i="9"/>
  <c r="M723" i="9"/>
  <c r="J723" i="9"/>
  <c r="Y722" i="9"/>
  <c r="V722" i="9"/>
  <c r="S722" i="9"/>
  <c r="P722" i="9"/>
  <c r="M722" i="9"/>
  <c r="J722" i="9"/>
  <c r="Y721" i="9"/>
  <c r="V721" i="9"/>
  <c r="S721" i="9"/>
  <c r="P721" i="9"/>
  <c r="M721" i="9"/>
  <c r="J721" i="9"/>
  <c r="Y720" i="9"/>
  <c r="V720" i="9"/>
  <c r="S720" i="9"/>
  <c r="P720" i="9"/>
  <c r="M720" i="9"/>
  <c r="J720" i="9"/>
  <c r="Y719" i="9"/>
  <c r="V719" i="9"/>
  <c r="S719" i="9"/>
  <c r="P719" i="9"/>
  <c r="M719" i="9"/>
  <c r="J719" i="9"/>
  <c r="Y718" i="9"/>
  <c r="V718" i="9"/>
  <c r="S718" i="9"/>
  <c r="P718" i="9"/>
  <c r="M718" i="9"/>
  <c r="J718" i="9"/>
  <c r="Y717" i="9"/>
  <c r="V717" i="9"/>
  <c r="S717" i="9"/>
  <c r="P717" i="9"/>
  <c r="M717" i="9"/>
  <c r="J717" i="9"/>
  <c r="Y715" i="9"/>
  <c r="V715" i="9"/>
  <c r="S715" i="9"/>
  <c r="P715" i="9"/>
  <c r="M715" i="9"/>
  <c r="J715" i="9"/>
  <c r="Y714" i="9"/>
  <c r="V714" i="9"/>
  <c r="S714" i="9"/>
  <c r="P714" i="9"/>
  <c r="M714" i="9"/>
  <c r="J714" i="9"/>
  <c r="Y713" i="9"/>
  <c r="V713" i="9"/>
  <c r="S713" i="9"/>
  <c r="P713" i="9"/>
  <c r="M713" i="9"/>
  <c r="J713" i="9"/>
  <c r="Y712" i="9"/>
  <c r="V712" i="9"/>
  <c r="S712" i="9"/>
  <c r="P712" i="9"/>
  <c r="M712" i="9"/>
  <c r="J712" i="9"/>
  <c r="Y711" i="9"/>
  <c r="V711" i="9"/>
  <c r="S711" i="9"/>
  <c r="P711" i="9"/>
  <c r="M711" i="9"/>
  <c r="J711" i="9"/>
  <c r="Y710" i="9"/>
  <c r="V710" i="9"/>
  <c r="S710" i="9"/>
  <c r="P710" i="9"/>
  <c r="M710" i="9"/>
  <c r="J710" i="9"/>
  <c r="Y709" i="9"/>
  <c r="V709" i="9"/>
  <c r="S709" i="9"/>
  <c r="P709" i="9"/>
  <c r="M709" i="9"/>
  <c r="J709" i="9"/>
  <c r="Y707" i="9"/>
  <c r="V707" i="9"/>
  <c r="S707" i="9"/>
  <c r="P707" i="9"/>
  <c r="M707" i="9"/>
  <c r="J707" i="9"/>
  <c r="Y706" i="9"/>
  <c r="V706" i="9"/>
  <c r="S706" i="9"/>
  <c r="P706" i="9"/>
  <c r="M706" i="9"/>
  <c r="J706" i="9"/>
  <c r="Y705" i="9"/>
  <c r="V705" i="9"/>
  <c r="S705" i="9"/>
  <c r="P705" i="9"/>
  <c r="M705" i="9"/>
  <c r="J705" i="9"/>
  <c r="Y704" i="9"/>
  <c r="V704" i="9"/>
  <c r="S704" i="9"/>
  <c r="P704" i="9"/>
  <c r="M704" i="9"/>
  <c r="J704" i="9"/>
  <c r="Y703" i="9"/>
  <c r="V703" i="9"/>
  <c r="S703" i="9"/>
  <c r="P703" i="9"/>
  <c r="M703" i="9"/>
  <c r="J703" i="9"/>
  <c r="Y702" i="9"/>
  <c r="V702" i="9"/>
  <c r="S702" i="9"/>
  <c r="P702" i="9"/>
  <c r="M702" i="9"/>
  <c r="J702" i="9"/>
  <c r="Y701" i="9"/>
  <c r="V701" i="9"/>
  <c r="S701" i="9"/>
  <c r="P701" i="9"/>
  <c r="M701" i="9"/>
  <c r="J701" i="9"/>
  <c r="Y699" i="9"/>
  <c r="V699" i="9"/>
  <c r="S699" i="9"/>
  <c r="P699" i="9"/>
  <c r="M699" i="9"/>
  <c r="J699" i="9"/>
  <c r="Y698" i="9"/>
  <c r="V698" i="9"/>
  <c r="S698" i="9"/>
  <c r="P698" i="9"/>
  <c r="M698" i="9"/>
  <c r="J698" i="9"/>
  <c r="Y697" i="9"/>
  <c r="V697" i="9"/>
  <c r="S697" i="9"/>
  <c r="P697" i="9"/>
  <c r="M697" i="9"/>
  <c r="J697" i="9"/>
  <c r="Y696" i="9"/>
  <c r="V696" i="9"/>
  <c r="S696" i="9"/>
  <c r="P696" i="9"/>
  <c r="M696" i="9"/>
  <c r="J696" i="9"/>
  <c r="Y695" i="9"/>
  <c r="V695" i="9"/>
  <c r="S695" i="9"/>
  <c r="P695" i="9"/>
  <c r="M695" i="9"/>
  <c r="J695" i="9"/>
  <c r="Y694" i="9"/>
  <c r="V694" i="9"/>
  <c r="S694" i="9"/>
  <c r="P694" i="9"/>
  <c r="M694" i="9"/>
  <c r="J694" i="9"/>
  <c r="Y693" i="9"/>
  <c r="V693" i="9"/>
  <c r="S693" i="9"/>
  <c r="P693" i="9"/>
  <c r="M693" i="9"/>
  <c r="J693" i="9"/>
  <c r="Y691" i="9"/>
  <c r="V691" i="9"/>
  <c r="S691" i="9"/>
  <c r="P691" i="9"/>
  <c r="M691" i="9"/>
  <c r="J691" i="9"/>
  <c r="Y690" i="9"/>
  <c r="V690" i="9"/>
  <c r="S690" i="9"/>
  <c r="P690" i="9"/>
  <c r="M690" i="9"/>
  <c r="J690" i="9"/>
  <c r="Y689" i="9"/>
  <c r="V689" i="9"/>
  <c r="S689" i="9"/>
  <c r="P689" i="9"/>
  <c r="M689" i="9"/>
  <c r="J689" i="9"/>
  <c r="Y688" i="9"/>
  <c r="V688" i="9"/>
  <c r="S688" i="9"/>
  <c r="P688" i="9"/>
  <c r="M688" i="9"/>
  <c r="J688" i="9"/>
  <c r="Y687" i="9"/>
  <c r="V687" i="9"/>
  <c r="S687" i="9"/>
  <c r="P687" i="9"/>
  <c r="M687" i="9"/>
  <c r="J687" i="9"/>
  <c r="Y686" i="9"/>
  <c r="V686" i="9"/>
  <c r="S686" i="9"/>
  <c r="P686" i="9"/>
  <c r="M686" i="9"/>
  <c r="J686" i="9"/>
  <c r="Y685" i="9"/>
  <c r="V685" i="9"/>
  <c r="S685" i="9"/>
  <c r="P685" i="9"/>
  <c r="M685" i="9"/>
  <c r="J685" i="9"/>
  <c r="Y683" i="9"/>
  <c r="V683" i="9"/>
  <c r="S683" i="9"/>
  <c r="P683" i="9"/>
  <c r="M683" i="9"/>
  <c r="J683" i="9"/>
  <c r="Y682" i="9"/>
  <c r="V682" i="9"/>
  <c r="S682" i="9"/>
  <c r="P682" i="9"/>
  <c r="M682" i="9"/>
  <c r="J682" i="9"/>
  <c r="Y681" i="9"/>
  <c r="V681" i="9"/>
  <c r="S681" i="9"/>
  <c r="P681" i="9"/>
  <c r="M681" i="9"/>
  <c r="J681" i="9"/>
  <c r="Y680" i="9"/>
  <c r="V680" i="9"/>
  <c r="S680" i="9"/>
  <c r="P680" i="9"/>
  <c r="M680" i="9"/>
  <c r="J680" i="9"/>
  <c r="Y679" i="9"/>
  <c r="V679" i="9"/>
  <c r="S679" i="9"/>
  <c r="P679" i="9"/>
  <c r="M679" i="9"/>
  <c r="J679" i="9"/>
  <c r="Y678" i="9"/>
  <c r="V678" i="9"/>
  <c r="S678" i="9"/>
  <c r="P678" i="9"/>
  <c r="M678" i="9"/>
  <c r="J678" i="9"/>
  <c r="Y677" i="9"/>
  <c r="V677" i="9"/>
  <c r="S677" i="9"/>
  <c r="P677" i="9"/>
  <c r="M677" i="9"/>
  <c r="J677" i="9"/>
  <c r="Y675" i="9"/>
  <c r="V675" i="9"/>
  <c r="S675" i="9"/>
  <c r="P675" i="9"/>
  <c r="M675" i="9"/>
  <c r="J675" i="9"/>
  <c r="Y674" i="9"/>
  <c r="V674" i="9"/>
  <c r="S674" i="9"/>
  <c r="P674" i="9"/>
  <c r="M674" i="9"/>
  <c r="J674" i="9"/>
  <c r="Y673" i="9"/>
  <c r="V673" i="9"/>
  <c r="S673" i="9"/>
  <c r="P673" i="9"/>
  <c r="M673" i="9"/>
  <c r="J673" i="9"/>
  <c r="Y672" i="9"/>
  <c r="V672" i="9"/>
  <c r="S672" i="9"/>
  <c r="P672" i="9"/>
  <c r="M672" i="9"/>
  <c r="J672" i="9"/>
  <c r="Y671" i="9"/>
  <c r="V671" i="9"/>
  <c r="S671" i="9"/>
  <c r="P671" i="9"/>
  <c r="M671" i="9"/>
  <c r="J671" i="9"/>
  <c r="Y670" i="9"/>
  <c r="V670" i="9"/>
  <c r="S670" i="9"/>
  <c r="P670" i="9"/>
  <c r="M670" i="9"/>
  <c r="J670" i="9"/>
  <c r="Y669" i="9"/>
  <c r="V669" i="9"/>
  <c r="S669" i="9"/>
  <c r="P669" i="9"/>
  <c r="M669" i="9"/>
  <c r="J669" i="9"/>
  <c r="Y667" i="9"/>
  <c r="V667" i="9"/>
  <c r="S667" i="9"/>
  <c r="P667" i="9"/>
  <c r="M667" i="9"/>
  <c r="J667" i="9"/>
  <c r="Y666" i="9"/>
  <c r="V666" i="9"/>
  <c r="S666" i="9"/>
  <c r="P666" i="9"/>
  <c r="M666" i="9"/>
  <c r="J666" i="9"/>
  <c r="Y665" i="9"/>
  <c r="V665" i="9"/>
  <c r="S665" i="9"/>
  <c r="P665" i="9"/>
  <c r="M665" i="9"/>
  <c r="J665" i="9"/>
  <c r="Y664" i="9"/>
  <c r="V664" i="9"/>
  <c r="S664" i="9"/>
  <c r="P664" i="9"/>
  <c r="M664" i="9"/>
  <c r="J664" i="9"/>
  <c r="Y663" i="9"/>
  <c r="V663" i="9"/>
  <c r="S663" i="9"/>
  <c r="P663" i="9"/>
  <c r="M663" i="9"/>
  <c r="J663" i="9"/>
  <c r="Y662" i="9"/>
  <c r="V662" i="9"/>
  <c r="S662" i="9"/>
  <c r="P662" i="9"/>
  <c r="M662" i="9"/>
  <c r="J662" i="9"/>
  <c r="Y661" i="9"/>
  <c r="V661" i="9"/>
  <c r="S661" i="9"/>
  <c r="P661" i="9"/>
  <c r="M661" i="9"/>
  <c r="J661" i="9"/>
  <c r="Y659" i="9"/>
  <c r="V659" i="9"/>
  <c r="S659" i="9"/>
  <c r="P659" i="9"/>
  <c r="M659" i="9"/>
  <c r="J659" i="9"/>
  <c r="Y658" i="9"/>
  <c r="V658" i="9"/>
  <c r="S658" i="9"/>
  <c r="P658" i="9"/>
  <c r="M658" i="9"/>
  <c r="J658" i="9"/>
  <c r="Y657" i="9"/>
  <c r="V657" i="9"/>
  <c r="S657" i="9"/>
  <c r="P657" i="9"/>
  <c r="M657" i="9"/>
  <c r="J657" i="9"/>
  <c r="Y656" i="9"/>
  <c r="V656" i="9"/>
  <c r="S656" i="9"/>
  <c r="P656" i="9"/>
  <c r="M656" i="9"/>
  <c r="J656" i="9"/>
  <c r="Y655" i="9"/>
  <c r="V655" i="9"/>
  <c r="S655" i="9"/>
  <c r="P655" i="9"/>
  <c r="M655" i="9"/>
  <c r="J655" i="9"/>
  <c r="Y654" i="9"/>
  <c r="V654" i="9"/>
  <c r="S654" i="9"/>
  <c r="P654" i="9"/>
  <c r="M654" i="9"/>
  <c r="J654" i="9"/>
  <c r="Y653" i="9"/>
  <c r="V653" i="9"/>
  <c r="S653" i="9"/>
  <c r="P653" i="9"/>
  <c r="M653" i="9"/>
  <c r="J653" i="9"/>
  <c r="Y651" i="9"/>
  <c r="V651" i="9"/>
  <c r="S651" i="9"/>
  <c r="P651" i="9"/>
  <c r="M651" i="9"/>
  <c r="J651" i="9"/>
  <c r="Y650" i="9"/>
  <c r="V650" i="9"/>
  <c r="S650" i="9"/>
  <c r="P650" i="9"/>
  <c r="M650" i="9"/>
  <c r="J650" i="9"/>
  <c r="Y649" i="9"/>
  <c r="V649" i="9"/>
  <c r="S649" i="9"/>
  <c r="P649" i="9"/>
  <c r="M649" i="9"/>
  <c r="J649" i="9"/>
  <c r="Y648" i="9"/>
  <c r="V648" i="9"/>
  <c r="S648" i="9"/>
  <c r="P648" i="9"/>
  <c r="M648" i="9"/>
  <c r="J648" i="9"/>
  <c r="Y647" i="9"/>
  <c r="V647" i="9"/>
  <c r="S647" i="9"/>
  <c r="P647" i="9"/>
  <c r="M647" i="9"/>
  <c r="J647" i="9"/>
  <c r="Y646" i="9"/>
  <c r="V646" i="9"/>
  <c r="S646" i="9"/>
  <c r="P646" i="9"/>
  <c r="M646" i="9"/>
  <c r="J646" i="9"/>
  <c r="Y645" i="9"/>
  <c r="V645" i="9"/>
  <c r="S645" i="9"/>
  <c r="P645" i="9"/>
  <c r="M645" i="9"/>
  <c r="J645" i="9"/>
  <c r="Y643" i="9"/>
  <c r="V643" i="9"/>
  <c r="S643" i="9"/>
  <c r="P643" i="9"/>
  <c r="M643" i="9"/>
  <c r="J643" i="9"/>
  <c r="Y642" i="9"/>
  <c r="V642" i="9"/>
  <c r="S642" i="9"/>
  <c r="P642" i="9"/>
  <c r="M642" i="9"/>
  <c r="J642" i="9"/>
  <c r="Y641" i="9"/>
  <c r="V641" i="9"/>
  <c r="S641" i="9"/>
  <c r="P641" i="9"/>
  <c r="M641" i="9"/>
  <c r="J641" i="9"/>
  <c r="Y640" i="9"/>
  <c r="V640" i="9"/>
  <c r="S640" i="9"/>
  <c r="P640" i="9"/>
  <c r="M640" i="9"/>
  <c r="J640" i="9"/>
  <c r="Y639" i="9"/>
  <c r="V639" i="9"/>
  <c r="S639" i="9"/>
  <c r="P639" i="9"/>
  <c r="M639" i="9"/>
  <c r="J639" i="9"/>
  <c r="Y638" i="9"/>
  <c r="V638" i="9"/>
  <c r="S638" i="9"/>
  <c r="P638" i="9"/>
  <c r="M638" i="9"/>
  <c r="J638" i="9"/>
  <c r="Y637" i="9"/>
  <c r="V637" i="9"/>
  <c r="S637" i="9"/>
  <c r="P637" i="9"/>
  <c r="M637" i="9"/>
  <c r="J637" i="9"/>
  <c r="Y635" i="9"/>
  <c r="V635" i="9"/>
  <c r="S635" i="9"/>
  <c r="P635" i="9"/>
  <c r="M635" i="9"/>
  <c r="J635" i="9"/>
  <c r="Y634" i="9"/>
  <c r="V634" i="9"/>
  <c r="S634" i="9"/>
  <c r="P634" i="9"/>
  <c r="M634" i="9"/>
  <c r="J634" i="9"/>
  <c r="Y633" i="9"/>
  <c r="V633" i="9"/>
  <c r="S633" i="9"/>
  <c r="P633" i="9"/>
  <c r="M633" i="9"/>
  <c r="J633" i="9"/>
  <c r="Y632" i="9"/>
  <c r="V632" i="9"/>
  <c r="S632" i="9"/>
  <c r="P632" i="9"/>
  <c r="M632" i="9"/>
  <c r="J632" i="9"/>
  <c r="Y631" i="9"/>
  <c r="V631" i="9"/>
  <c r="S631" i="9"/>
  <c r="P631" i="9"/>
  <c r="M631" i="9"/>
  <c r="J631" i="9"/>
  <c r="Y630" i="9"/>
  <c r="V630" i="9"/>
  <c r="S630" i="9"/>
  <c r="P630" i="9"/>
  <c r="M630" i="9"/>
  <c r="J630" i="9"/>
  <c r="Y629" i="9"/>
  <c r="V629" i="9"/>
  <c r="S629" i="9"/>
  <c r="P629" i="9"/>
  <c r="M629" i="9"/>
  <c r="J629" i="9"/>
  <c r="Y563" i="9"/>
  <c r="V563" i="9"/>
  <c r="S563" i="9"/>
  <c r="P563" i="9"/>
  <c r="M563" i="9"/>
  <c r="J563" i="9"/>
  <c r="Y562" i="9"/>
  <c r="V562" i="9"/>
  <c r="S562" i="9"/>
  <c r="P562" i="9"/>
  <c r="M562" i="9"/>
  <c r="J562" i="9"/>
  <c r="Y561" i="9"/>
  <c r="V561" i="9"/>
  <c r="S561" i="9"/>
  <c r="P561" i="9"/>
  <c r="M561" i="9"/>
  <c r="J561" i="9"/>
  <c r="Y560" i="9"/>
  <c r="V560" i="9"/>
  <c r="S560" i="9"/>
  <c r="P560" i="9"/>
  <c r="M560" i="9"/>
  <c r="J560" i="9"/>
  <c r="Y559" i="9"/>
  <c r="V559" i="9"/>
  <c r="S559" i="9"/>
  <c r="P559" i="9"/>
  <c r="M559" i="9"/>
  <c r="J559" i="9"/>
  <c r="Y558" i="9"/>
  <c r="V558" i="9"/>
  <c r="S558" i="9"/>
  <c r="P558" i="9"/>
  <c r="M558" i="9"/>
  <c r="J558" i="9"/>
  <c r="Y557" i="9"/>
  <c r="V557" i="9"/>
  <c r="S557" i="9"/>
  <c r="P557" i="9"/>
  <c r="M557" i="9"/>
  <c r="J557" i="9"/>
  <c r="Y555" i="9"/>
  <c r="V555" i="9"/>
  <c r="S555" i="9"/>
  <c r="P555" i="9"/>
  <c r="M555" i="9"/>
  <c r="J555" i="9"/>
  <c r="Y554" i="9"/>
  <c r="V554" i="9"/>
  <c r="S554" i="9"/>
  <c r="P554" i="9"/>
  <c r="M554" i="9"/>
  <c r="J554" i="9"/>
  <c r="Y553" i="9"/>
  <c r="V553" i="9"/>
  <c r="S553" i="9"/>
  <c r="P553" i="9"/>
  <c r="M553" i="9"/>
  <c r="J553" i="9"/>
  <c r="Y552" i="9"/>
  <c r="V552" i="9"/>
  <c r="S552" i="9"/>
  <c r="P552" i="9"/>
  <c r="M552" i="9"/>
  <c r="J552" i="9"/>
  <c r="Y551" i="9"/>
  <c r="V551" i="9"/>
  <c r="S551" i="9"/>
  <c r="P551" i="9"/>
  <c r="M551" i="9"/>
  <c r="J551" i="9"/>
  <c r="Y550" i="9"/>
  <c r="V550" i="9"/>
  <c r="S550" i="9"/>
  <c r="P550" i="9"/>
  <c r="M550" i="9"/>
  <c r="J550" i="9"/>
  <c r="Y549" i="9"/>
  <c r="V549" i="9"/>
  <c r="S549" i="9"/>
  <c r="P549" i="9"/>
  <c r="M549" i="9"/>
  <c r="J549" i="9"/>
  <c r="Y547" i="9"/>
  <c r="V547" i="9"/>
  <c r="S547" i="9"/>
  <c r="P547" i="9"/>
  <c r="M547" i="9"/>
  <c r="J547" i="9"/>
  <c r="Y546" i="9"/>
  <c r="V546" i="9"/>
  <c r="S546" i="9"/>
  <c r="P546" i="9"/>
  <c r="M546" i="9"/>
  <c r="J546" i="9"/>
  <c r="Y545" i="9"/>
  <c r="V545" i="9"/>
  <c r="S545" i="9"/>
  <c r="P545" i="9"/>
  <c r="M545" i="9"/>
  <c r="J545" i="9"/>
  <c r="Y544" i="9"/>
  <c r="V544" i="9"/>
  <c r="S544" i="9"/>
  <c r="P544" i="9"/>
  <c r="M544" i="9"/>
  <c r="J544" i="9"/>
  <c r="Y543" i="9"/>
  <c r="V543" i="9"/>
  <c r="S543" i="9"/>
  <c r="P543" i="9"/>
  <c r="M543" i="9"/>
  <c r="J543" i="9"/>
  <c r="Y542" i="9"/>
  <c r="V542" i="9"/>
  <c r="S542" i="9"/>
  <c r="P542" i="9"/>
  <c r="M542" i="9"/>
  <c r="J542" i="9"/>
  <c r="Y541" i="9"/>
  <c r="V541" i="9"/>
  <c r="S541" i="9"/>
  <c r="P541" i="9"/>
  <c r="M541" i="9"/>
  <c r="J541" i="9"/>
  <c r="Y539" i="9"/>
  <c r="V539" i="9"/>
  <c r="S539" i="9"/>
  <c r="P539" i="9"/>
  <c r="M539" i="9"/>
  <c r="J539" i="9"/>
  <c r="Y538" i="9"/>
  <c r="V538" i="9"/>
  <c r="S538" i="9"/>
  <c r="P538" i="9"/>
  <c r="M538" i="9"/>
  <c r="J538" i="9"/>
  <c r="Y537" i="9"/>
  <c r="V537" i="9"/>
  <c r="S537" i="9"/>
  <c r="P537" i="9"/>
  <c r="M537" i="9"/>
  <c r="J537" i="9"/>
  <c r="Y536" i="9"/>
  <c r="V536" i="9"/>
  <c r="S536" i="9"/>
  <c r="P536" i="9"/>
  <c r="M536" i="9"/>
  <c r="J536" i="9"/>
  <c r="Y535" i="9"/>
  <c r="V535" i="9"/>
  <c r="S535" i="9"/>
  <c r="P535" i="9"/>
  <c r="M535" i="9"/>
  <c r="J535" i="9"/>
  <c r="Y534" i="9"/>
  <c r="V534" i="9"/>
  <c r="S534" i="9"/>
  <c r="P534" i="9"/>
  <c r="M534" i="9"/>
  <c r="J534" i="9"/>
  <c r="Y533" i="9"/>
  <c r="V533" i="9"/>
  <c r="S533" i="9"/>
  <c r="P533" i="9"/>
  <c r="M533" i="9"/>
  <c r="J533" i="9"/>
  <c r="Y531" i="9"/>
  <c r="V531" i="9"/>
  <c r="S531" i="9"/>
  <c r="P531" i="9"/>
  <c r="M531" i="9"/>
  <c r="J531" i="9"/>
  <c r="Y530" i="9"/>
  <c r="V530" i="9"/>
  <c r="S530" i="9"/>
  <c r="P530" i="9"/>
  <c r="M530" i="9"/>
  <c r="J530" i="9"/>
  <c r="Y529" i="9"/>
  <c r="V529" i="9"/>
  <c r="S529" i="9"/>
  <c r="P529" i="9"/>
  <c r="M529" i="9"/>
  <c r="J529" i="9"/>
  <c r="Y528" i="9"/>
  <c r="V528" i="9"/>
  <c r="S528" i="9"/>
  <c r="P528" i="9"/>
  <c r="M528" i="9"/>
  <c r="J528" i="9"/>
  <c r="Y527" i="9"/>
  <c r="V527" i="9"/>
  <c r="S527" i="9"/>
  <c r="P527" i="9"/>
  <c r="M527" i="9"/>
  <c r="J527" i="9"/>
  <c r="Y526" i="9"/>
  <c r="V526" i="9"/>
  <c r="S526" i="9"/>
  <c r="P526" i="9"/>
  <c r="M526" i="9"/>
  <c r="J526" i="9"/>
  <c r="Y525" i="9"/>
  <c r="V525" i="9"/>
  <c r="S525" i="9"/>
  <c r="P525" i="9"/>
  <c r="M525" i="9"/>
  <c r="J525" i="9"/>
  <c r="Y523" i="9"/>
  <c r="V523" i="9"/>
  <c r="S523" i="9"/>
  <c r="P523" i="9"/>
  <c r="M523" i="9"/>
  <c r="J523" i="9"/>
  <c r="Y522" i="9"/>
  <c r="V522" i="9"/>
  <c r="S522" i="9"/>
  <c r="P522" i="9"/>
  <c r="M522" i="9"/>
  <c r="J522" i="9"/>
  <c r="Y521" i="9"/>
  <c r="V521" i="9"/>
  <c r="S521" i="9"/>
  <c r="P521" i="9"/>
  <c r="M521" i="9"/>
  <c r="J521" i="9"/>
  <c r="Y520" i="9"/>
  <c r="V520" i="9"/>
  <c r="S520" i="9"/>
  <c r="P520" i="9"/>
  <c r="M520" i="9"/>
  <c r="J520" i="9"/>
  <c r="Y519" i="9"/>
  <c r="V519" i="9"/>
  <c r="S519" i="9"/>
  <c r="P519" i="9"/>
  <c r="M519" i="9"/>
  <c r="J519" i="9"/>
  <c r="Y518" i="9"/>
  <c r="V518" i="9"/>
  <c r="S518" i="9"/>
  <c r="P518" i="9"/>
  <c r="M518" i="9"/>
  <c r="J518" i="9"/>
  <c r="Y517" i="9"/>
  <c r="V517" i="9"/>
  <c r="S517" i="9"/>
  <c r="P517" i="9"/>
  <c r="M517" i="9"/>
  <c r="J517" i="9"/>
  <c r="Y515" i="9"/>
  <c r="V515" i="9"/>
  <c r="S515" i="9"/>
  <c r="P515" i="9"/>
  <c r="M515" i="9"/>
  <c r="J515" i="9"/>
  <c r="Y514" i="9"/>
  <c r="V514" i="9"/>
  <c r="S514" i="9"/>
  <c r="P514" i="9"/>
  <c r="M514" i="9"/>
  <c r="J514" i="9"/>
  <c r="Y513" i="9"/>
  <c r="V513" i="9"/>
  <c r="S513" i="9"/>
  <c r="P513" i="9"/>
  <c r="M513" i="9"/>
  <c r="J513" i="9"/>
  <c r="Y512" i="9"/>
  <c r="V512" i="9"/>
  <c r="S512" i="9"/>
  <c r="P512" i="9"/>
  <c r="M512" i="9"/>
  <c r="J512" i="9"/>
  <c r="Y511" i="9"/>
  <c r="V511" i="9"/>
  <c r="S511" i="9"/>
  <c r="P511" i="9"/>
  <c r="M511" i="9"/>
  <c r="J511" i="9"/>
  <c r="Y510" i="9"/>
  <c r="V510" i="9"/>
  <c r="S510" i="9"/>
  <c r="P510" i="9"/>
  <c r="M510" i="9"/>
  <c r="J510" i="9"/>
  <c r="Y509" i="9"/>
  <c r="V509" i="9"/>
  <c r="S509" i="9"/>
  <c r="P509" i="9"/>
  <c r="M509" i="9"/>
  <c r="J509" i="9"/>
  <c r="Y507" i="9"/>
  <c r="V507" i="9"/>
  <c r="S507" i="9"/>
  <c r="P507" i="9"/>
  <c r="M507" i="9"/>
  <c r="J507" i="9"/>
  <c r="Y506" i="9"/>
  <c r="V506" i="9"/>
  <c r="S506" i="9"/>
  <c r="P506" i="9"/>
  <c r="M506" i="9"/>
  <c r="J506" i="9"/>
  <c r="Y505" i="9"/>
  <c r="V505" i="9"/>
  <c r="S505" i="9"/>
  <c r="P505" i="9"/>
  <c r="M505" i="9"/>
  <c r="J505" i="9"/>
  <c r="Y504" i="9"/>
  <c r="V504" i="9"/>
  <c r="S504" i="9"/>
  <c r="P504" i="9"/>
  <c r="M504" i="9"/>
  <c r="J504" i="9"/>
  <c r="Y503" i="9"/>
  <c r="V503" i="9"/>
  <c r="S503" i="9"/>
  <c r="P503" i="9"/>
  <c r="M503" i="9"/>
  <c r="J503" i="9"/>
  <c r="Y502" i="9"/>
  <c r="V502" i="9"/>
  <c r="S502" i="9"/>
  <c r="P502" i="9"/>
  <c r="M502" i="9"/>
  <c r="J502" i="9"/>
  <c r="Y501" i="9"/>
  <c r="V501" i="9"/>
  <c r="S501" i="9"/>
  <c r="P501" i="9"/>
  <c r="M501" i="9"/>
  <c r="J501" i="9"/>
  <c r="Y499" i="9"/>
  <c r="V499" i="9"/>
  <c r="S499" i="9"/>
  <c r="P499" i="9"/>
  <c r="M499" i="9"/>
  <c r="J499" i="9"/>
  <c r="Y498" i="9"/>
  <c r="V498" i="9"/>
  <c r="S498" i="9"/>
  <c r="P498" i="9"/>
  <c r="M498" i="9"/>
  <c r="J498" i="9"/>
  <c r="Y497" i="9"/>
  <c r="V497" i="9"/>
  <c r="S497" i="9"/>
  <c r="P497" i="9"/>
  <c r="M497" i="9"/>
  <c r="J497" i="9"/>
  <c r="Y496" i="9"/>
  <c r="V496" i="9"/>
  <c r="S496" i="9"/>
  <c r="P496" i="9"/>
  <c r="M496" i="9"/>
  <c r="J496" i="9"/>
  <c r="Y495" i="9"/>
  <c r="V495" i="9"/>
  <c r="S495" i="9"/>
  <c r="P495" i="9"/>
  <c r="M495" i="9"/>
  <c r="J495" i="9"/>
  <c r="Y494" i="9"/>
  <c r="V494" i="9"/>
  <c r="S494" i="9"/>
  <c r="P494" i="9"/>
  <c r="M494" i="9"/>
  <c r="J494" i="9"/>
  <c r="Y493" i="9"/>
  <c r="V493" i="9"/>
  <c r="S493" i="9"/>
  <c r="P493" i="9"/>
  <c r="M493" i="9"/>
  <c r="J493" i="9"/>
  <c r="Y491" i="9"/>
  <c r="V491" i="9"/>
  <c r="S491" i="9"/>
  <c r="P491" i="9"/>
  <c r="M491" i="9"/>
  <c r="J491" i="9"/>
  <c r="Y490" i="9"/>
  <c r="V490" i="9"/>
  <c r="S490" i="9"/>
  <c r="P490" i="9"/>
  <c r="M490" i="9"/>
  <c r="J490" i="9"/>
  <c r="Y489" i="9"/>
  <c r="V489" i="9"/>
  <c r="S489" i="9"/>
  <c r="P489" i="9"/>
  <c r="M489" i="9"/>
  <c r="J489" i="9"/>
  <c r="Y488" i="9"/>
  <c r="V488" i="9"/>
  <c r="S488" i="9"/>
  <c r="P488" i="9"/>
  <c r="M488" i="9"/>
  <c r="J488" i="9"/>
  <c r="Y487" i="9"/>
  <c r="V487" i="9"/>
  <c r="S487" i="9"/>
  <c r="P487" i="9"/>
  <c r="M487" i="9"/>
  <c r="J487" i="9"/>
  <c r="Y486" i="9"/>
  <c r="V486" i="9"/>
  <c r="S486" i="9"/>
  <c r="P486" i="9"/>
  <c r="M486" i="9"/>
  <c r="J486" i="9"/>
  <c r="Y485" i="9"/>
  <c r="V485" i="9"/>
  <c r="S485" i="9"/>
  <c r="P485" i="9"/>
  <c r="M485" i="9"/>
  <c r="J485" i="9"/>
  <c r="Y483" i="9"/>
  <c r="V483" i="9"/>
  <c r="S483" i="9"/>
  <c r="P483" i="9"/>
  <c r="M483" i="9"/>
  <c r="J483" i="9"/>
  <c r="Y482" i="9"/>
  <c r="V482" i="9"/>
  <c r="S482" i="9"/>
  <c r="P482" i="9"/>
  <c r="M482" i="9"/>
  <c r="J482" i="9"/>
  <c r="Y481" i="9"/>
  <c r="V481" i="9"/>
  <c r="S481" i="9"/>
  <c r="P481" i="9"/>
  <c r="M481" i="9"/>
  <c r="J481" i="9"/>
  <c r="Y480" i="9"/>
  <c r="V480" i="9"/>
  <c r="S480" i="9"/>
  <c r="P480" i="9"/>
  <c r="M480" i="9"/>
  <c r="J480" i="9"/>
  <c r="Y479" i="9"/>
  <c r="V479" i="9"/>
  <c r="S479" i="9"/>
  <c r="P479" i="9"/>
  <c r="M479" i="9"/>
  <c r="J479" i="9"/>
  <c r="Y478" i="9"/>
  <c r="V478" i="9"/>
  <c r="S478" i="9"/>
  <c r="P478" i="9"/>
  <c r="M478" i="9"/>
  <c r="J478" i="9"/>
  <c r="Y477" i="9"/>
  <c r="V477" i="9"/>
  <c r="S477" i="9"/>
  <c r="P477" i="9"/>
  <c r="M477" i="9"/>
  <c r="J477" i="9"/>
  <c r="Y475" i="9"/>
  <c r="V475" i="9"/>
  <c r="S475" i="9"/>
  <c r="P475" i="9"/>
  <c r="M475" i="9"/>
  <c r="J475" i="9"/>
  <c r="Y474" i="9"/>
  <c r="V474" i="9"/>
  <c r="S474" i="9"/>
  <c r="P474" i="9"/>
  <c r="M474" i="9"/>
  <c r="J474" i="9"/>
  <c r="Y473" i="9"/>
  <c r="V473" i="9"/>
  <c r="S473" i="9"/>
  <c r="P473" i="9"/>
  <c r="M473" i="9"/>
  <c r="J473" i="9"/>
  <c r="Y472" i="9"/>
  <c r="V472" i="9"/>
  <c r="S472" i="9"/>
  <c r="P472" i="9"/>
  <c r="M472" i="9"/>
  <c r="J472" i="9"/>
  <c r="Y471" i="9"/>
  <c r="V471" i="9"/>
  <c r="S471" i="9"/>
  <c r="P471" i="9"/>
  <c r="M471" i="9"/>
  <c r="J471" i="9"/>
  <c r="Y470" i="9"/>
  <c r="V470" i="9"/>
  <c r="S470" i="9"/>
  <c r="P470" i="9"/>
  <c r="M470" i="9"/>
  <c r="J470" i="9"/>
  <c r="Y469" i="9"/>
  <c r="V469" i="9"/>
  <c r="S469" i="9"/>
  <c r="P469" i="9"/>
  <c r="M469" i="9"/>
  <c r="J469" i="9"/>
  <c r="Y467" i="9"/>
  <c r="V467" i="9"/>
  <c r="S467" i="9"/>
  <c r="P467" i="9"/>
  <c r="M467" i="9"/>
  <c r="J467" i="9"/>
  <c r="Y466" i="9"/>
  <c r="V466" i="9"/>
  <c r="S466" i="9"/>
  <c r="P466" i="9"/>
  <c r="M466" i="9"/>
  <c r="J466" i="9"/>
  <c r="Y465" i="9"/>
  <c r="V465" i="9"/>
  <c r="S465" i="9"/>
  <c r="P465" i="9"/>
  <c r="M465" i="9"/>
  <c r="J465" i="9"/>
  <c r="Y464" i="9"/>
  <c r="V464" i="9"/>
  <c r="S464" i="9"/>
  <c r="P464" i="9"/>
  <c r="M464" i="9"/>
  <c r="J464" i="9"/>
  <c r="Y463" i="9"/>
  <c r="V463" i="9"/>
  <c r="S463" i="9"/>
  <c r="P463" i="9"/>
  <c r="M463" i="9"/>
  <c r="J463" i="9"/>
  <c r="Y462" i="9"/>
  <c r="V462" i="9"/>
  <c r="S462" i="9"/>
  <c r="P462" i="9"/>
  <c r="M462" i="9"/>
  <c r="J462" i="9"/>
  <c r="Y461" i="9"/>
  <c r="V461" i="9"/>
  <c r="S461" i="9"/>
  <c r="P461" i="9"/>
  <c r="M461" i="9"/>
  <c r="J461" i="9"/>
  <c r="Y459" i="9"/>
  <c r="V459" i="9"/>
  <c r="S459" i="9"/>
  <c r="P459" i="9"/>
  <c r="M459" i="9"/>
  <c r="J459" i="9"/>
  <c r="Y458" i="9"/>
  <c r="V458" i="9"/>
  <c r="S458" i="9"/>
  <c r="P458" i="9"/>
  <c r="M458" i="9"/>
  <c r="J458" i="9"/>
  <c r="Y457" i="9"/>
  <c r="V457" i="9"/>
  <c r="S457" i="9"/>
  <c r="P457" i="9"/>
  <c r="M457" i="9"/>
  <c r="J457" i="9"/>
  <c r="Y456" i="9"/>
  <c r="V456" i="9"/>
  <c r="S456" i="9"/>
  <c r="P456" i="9"/>
  <c r="M456" i="9"/>
  <c r="J456" i="9"/>
  <c r="Y455" i="9"/>
  <c r="V455" i="9"/>
  <c r="S455" i="9"/>
  <c r="P455" i="9"/>
  <c r="M455" i="9"/>
  <c r="J455" i="9"/>
  <c r="Y454" i="9"/>
  <c r="V454" i="9"/>
  <c r="S454" i="9"/>
  <c r="P454" i="9"/>
  <c r="M454" i="9"/>
  <c r="J454" i="9"/>
  <c r="Y453" i="9"/>
  <c r="V453" i="9"/>
  <c r="S453" i="9"/>
  <c r="P453" i="9"/>
  <c r="M453" i="9"/>
  <c r="J453" i="9"/>
  <c r="Y451" i="9"/>
  <c r="V451" i="9"/>
  <c r="S451" i="9"/>
  <c r="P451" i="9"/>
  <c r="M451" i="9"/>
  <c r="J451" i="9"/>
  <c r="Y450" i="9"/>
  <c r="V450" i="9"/>
  <c r="S450" i="9"/>
  <c r="P450" i="9"/>
  <c r="M450" i="9"/>
  <c r="J450" i="9"/>
  <c r="Y449" i="9"/>
  <c r="V449" i="9"/>
  <c r="S449" i="9"/>
  <c r="P449" i="9"/>
  <c r="M449" i="9"/>
  <c r="J449" i="9"/>
  <c r="Y448" i="9"/>
  <c r="V448" i="9"/>
  <c r="S448" i="9"/>
  <c r="P448" i="9"/>
  <c r="M448" i="9"/>
  <c r="J448" i="9"/>
  <c r="Y447" i="9"/>
  <c r="V447" i="9"/>
  <c r="S447" i="9"/>
  <c r="P447" i="9"/>
  <c r="M447" i="9"/>
  <c r="J447" i="9"/>
  <c r="Y446" i="9"/>
  <c r="V446" i="9"/>
  <c r="S446" i="9"/>
  <c r="P446" i="9"/>
  <c r="M446" i="9"/>
  <c r="J446" i="9"/>
  <c r="Y445" i="9"/>
  <c r="V445" i="9"/>
  <c r="S445" i="9"/>
  <c r="P445" i="9"/>
  <c r="M445" i="9"/>
  <c r="J445" i="9"/>
  <c r="Y443" i="9"/>
  <c r="V443" i="9"/>
  <c r="S443" i="9"/>
  <c r="P443" i="9"/>
  <c r="M443" i="9"/>
  <c r="J443" i="9"/>
  <c r="Y442" i="9"/>
  <c r="V442" i="9"/>
  <c r="S442" i="9"/>
  <c r="P442" i="9"/>
  <c r="M442" i="9"/>
  <c r="J442" i="9"/>
  <c r="Y441" i="9"/>
  <c r="V441" i="9"/>
  <c r="S441" i="9"/>
  <c r="P441" i="9"/>
  <c r="M441" i="9"/>
  <c r="J441" i="9"/>
  <c r="Y440" i="9"/>
  <c r="V440" i="9"/>
  <c r="S440" i="9"/>
  <c r="P440" i="9"/>
  <c r="M440" i="9"/>
  <c r="J440" i="9"/>
  <c r="Y439" i="9"/>
  <c r="V439" i="9"/>
  <c r="S439" i="9"/>
  <c r="P439" i="9"/>
  <c r="M439" i="9"/>
  <c r="J439" i="9"/>
  <c r="Y438" i="9"/>
  <c r="V438" i="9"/>
  <c r="S438" i="9"/>
  <c r="P438" i="9"/>
  <c r="M438" i="9"/>
  <c r="J438" i="9"/>
  <c r="Y437" i="9"/>
  <c r="V437" i="9"/>
  <c r="S437" i="9"/>
  <c r="P437" i="9"/>
  <c r="M437" i="9"/>
  <c r="J437" i="9"/>
  <c r="Y435" i="9"/>
  <c r="V435" i="9"/>
  <c r="S435" i="9"/>
  <c r="P435" i="9"/>
  <c r="M435" i="9"/>
  <c r="J435" i="9"/>
  <c r="Y434" i="9"/>
  <c r="V434" i="9"/>
  <c r="S434" i="9"/>
  <c r="P434" i="9"/>
  <c r="M434" i="9"/>
  <c r="J434" i="9"/>
  <c r="Y433" i="9"/>
  <c r="V433" i="9"/>
  <c r="S433" i="9"/>
  <c r="P433" i="9"/>
  <c r="M433" i="9"/>
  <c r="J433" i="9"/>
  <c r="Y432" i="9"/>
  <c r="V432" i="9"/>
  <c r="S432" i="9"/>
  <c r="P432" i="9"/>
  <c r="M432" i="9"/>
  <c r="J432" i="9"/>
  <c r="Y431" i="9"/>
  <c r="V431" i="9"/>
  <c r="S431" i="9"/>
  <c r="P431" i="9"/>
  <c r="M431" i="9"/>
  <c r="J431" i="9"/>
  <c r="Y430" i="9"/>
  <c r="V430" i="9"/>
  <c r="S430" i="9"/>
  <c r="P430" i="9"/>
  <c r="M430" i="9"/>
  <c r="J430" i="9"/>
  <c r="Y429" i="9"/>
  <c r="V429" i="9"/>
  <c r="S429" i="9"/>
  <c r="P429" i="9"/>
  <c r="M429" i="9"/>
  <c r="J429" i="9"/>
  <c r="Y427" i="9"/>
  <c r="V427" i="9"/>
  <c r="S427" i="9"/>
  <c r="P427" i="9"/>
  <c r="M427" i="9"/>
  <c r="J427" i="9"/>
  <c r="Y426" i="9"/>
  <c r="V426" i="9"/>
  <c r="S426" i="9"/>
  <c r="P426" i="9"/>
  <c r="M426" i="9"/>
  <c r="J426" i="9"/>
  <c r="Y425" i="9"/>
  <c r="V425" i="9"/>
  <c r="S425" i="9"/>
  <c r="P425" i="9"/>
  <c r="M425" i="9"/>
  <c r="J425" i="9"/>
  <c r="Y424" i="9"/>
  <c r="V424" i="9"/>
  <c r="S424" i="9"/>
  <c r="P424" i="9"/>
  <c r="M424" i="9"/>
  <c r="J424" i="9"/>
  <c r="Y423" i="9"/>
  <c r="V423" i="9"/>
  <c r="S423" i="9"/>
  <c r="P423" i="9"/>
  <c r="M423" i="9"/>
  <c r="J423" i="9"/>
  <c r="Y422" i="9"/>
  <c r="V422" i="9"/>
  <c r="S422" i="9"/>
  <c r="P422" i="9"/>
  <c r="M422" i="9"/>
  <c r="J422" i="9"/>
  <c r="Y421" i="9"/>
  <c r="V421" i="9"/>
  <c r="S421" i="9"/>
  <c r="P421" i="9"/>
  <c r="M421" i="9"/>
  <c r="J421" i="9"/>
  <c r="Y419" i="9"/>
  <c r="V419" i="9"/>
  <c r="S419" i="9"/>
  <c r="P419" i="9"/>
  <c r="M419" i="9"/>
  <c r="J419" i="9"/>
  <c r="Y418" i="9"/>
  <c r="V418" i="9"/>
  <c r="S418" i="9"/>
  <c r="P418" i="9"/>
  <c r="M418" i="9"/>
  <c r="J418" i="9"/>
  <c r="Y417" i="9"/>
  <c r="V417" i="9"/>
  <c r="S417" i="9"/>
  <c r="P417" i="9"/>
  <c r="M417" i="9"/>
  <c r="J417" i="9"/>
  <c r="Y416" i="9"/>
  <c r="V416" i="9"/>
  <c r="S416" i="9"/>
  <c r="P416" i="9"/>
  <c r="M416" i="9"/>
  <c r="J416" i="9"/>
  <c r="Y415" i="9"/>
  <c r="V415" i="9"/>
  <c r="S415" i="9"/>
  <c r="P415" i="9"/>
  <c r="M415" i="9"/>
  <c r="J415" i="9"/>
  <c r="Y414" i="9"/>
  <c r="V414" i="9"/>
  <c r="S414" i="9"/>
  <c r="P414" i="9"/>
  <c r="M414" i="9"/>
  <c r="J414" i="9"/>
  <c r="Y413" i="9"/>
  <c r="V413" i="9"/>
  <c r="S413" i="9"/>
  <c r="P413" i="9"/>
  <c r="M413" i="9"/>
  <c r="J413" i="9"/>
  <c r="Y411" i="9"/>
  <c r="V411" i="9"/>
  <c r="S411" i="9"/>
  <c r="P411" i="9"/>
  <c r="M411" i="9"/>
  <c r="J411" i="9"/>
  <c r="Y410" i="9"/>
  <c r="V410" i="9"/>
  <c r="S410" i="9"/>
  <c r="P410" i="9"/>
  <c r="M410" i="9"/>
  <c r="J410" i="9"/>
  <c r="Y409" i="9"/>
  <c r="V409" i="9"/>
  <c r="S409" i="9"/>
  <c r="P409" i="9"/>
  <c r="M409" i="9"/>
  <c r="J409" i="9"/>
  <c r="Y408" i="9"/>
  <c r="V408" i="9"/>
  <c r="S408" i="9"/>
  <c r="P408" i="9"/>
  <c r="M408" i="9"/>
  <c r="J408" i="9"/>
  <c r="Y407" i="9"/>
  <c r="V407" i="9"/>
  <c r="S407" i="9"/>
  <c r="P407" i="9"/>
  <c r="M407" i="9"/>
  <c r="J407" i="9"/>
  <c r="Y406" i="9"/>
  <c r="V406" i="9"/>
  <c r="S406" i="9"/>
  <c r="P406" i="9"/>
  <c r="M406" i="9"/>
  <c r="J406" i="9"/>
  <c r="Y405" i="9"/>
  <c r="V405" i="9"/>
  <c r="S405" i="9"/>
  <c r="P405" i="9"/>
  <c r="M405" i="9"/>
  <c r="J405" i="9"/>
  <c r="Y403" i="9"/>
  <c r="V403" i="9"/>
  <c r="S403" i="9"/>
  <c r="P403" i="9"/>
  <c r="M403" i="9"/>
  <c r="J403" i="9"/>
  <c r="Y402" i="9"/>
  <c r="V402" i="9"/>
  <c r="S402" i="9"/>
  <c r="P402" i="9"/>
  <c r="M402" i="9"/>
  <c r="J402" i="9"/>
  <c r="Y401" i="9"/>
  <c r="V401" i="9"/>
  <c r="S401" i="9"/>
  <c r="P401" i="9"/>
  <c r="M401" i="9"/>
  <c r="J401" i="9"/>
  <c r="Y400" i="9"/>
  <c r="V400" i="9"/>
  <c r="S400" i="9"/>
  <c r="P400" i="9"/>
  <c r="M400" i="9"/>
  <c r="J400" i="9"/>
  <c r="Y399" i="9"/>
  <c r="V399" i="9"/>
  <c r="S399" i="9"/>
  <c r="P399" i="9"/>
  <c r="M399" i="9"/>
  <c r="J399" i="9"/>
  <c r="Y398" i="9"/>
  <c r="V398" i="9"/>
  <c r="S398" i="9"/>
  <c r="P398" i="9"/>
  <c r="M398" i="9"/>
  <c r="J398" i="9"/>
  <c r="Y397" i="9"/>
  <c r="V397" i="9"/>
  <c r="S397" i="9"/>
  <c r="P397" i="9"/>
  <c r="M397" i="9"/>
  <c r="J397" i="9"/>
  <c r="Y395" i="9"/>
  <c r="V395" i="9"/>
  <c r="S395" i="9"/>
  <c r="P395" i="9"/>
  <c r="M395" i="9"/>
  <c r="J395" i="9"/>
  <c r="Y394" i="9"/>
  <c r="V394" i="9"/>
  <c r="S394" i="9"/>
  <c r="P394" i="9"/>
  <c r="M394" i="9"/>
  <c r="J394" i="9"/>
  <c r="Y393" i="9"/>
  <c r="V393" i="9"/>
  <c r="S393" i="9"/>
  <c r="P393" i="9"/>
  <c r="M393" i="9"/>
  <c r="J393" i="9"/>
  <c r="Y392" i="9"/>
  <c r="V392" i="9"/>
  <c r="S392" i="9"/>
  <c r="P392" i="9"/>
  <c r="M392" i="9"/>
  <c r="J392" i="9"/>
  <c r="Y391" i="9"/>
  <c r="V391" i="9"/>
  <c r="S391" i="9"/>
  <c r="P391" i="9"/>
  <c r="M391" i="9"/>
  <c r="J391" i="9"/>
  <c r="Y390" i="9"/>
  <c r="V390" i="9"/>
  <c r="S390" i="9"/>
  <c r="P390" i="9"/>
  <c r="M390" i="9"/>
  <c r="J390" i="9"/>
  <c r="Y389" i="9"/>
  <c r="V389" i="9"/>
  <c r="S389" i="9"/>
  <c r="P389" i="9"/>
  <c r="M389" i="9"/>
  <c r="J389" i="9"/>
  <c r="Y387" i="9"/>
  <c r="V387" i="9"/>
  <c r="S387" i="9"/>
  <c r="P387" i="9"/>
  <c r="M387" i="9"/>
  <c r="J387" i="9"/>
  <c r="Y386" i="9"/>
  <c r="V386" i="9"/>
  <c r="S386" i="9"/>
  <c r="P386" i="9"/>
  <c r="M386" i="9"/>
  <c r="J386" i="9"/>
  <c r="Y385" i="9"/>
  <c r="V385" i="9"/>
  <c r="S385" i="9"/>
  <c r="P385" i="9"/>
  <c r="M385" i="9"/>
  <c r="J385" i="9"/>
  <c r="Y384" i="9"/>
  <c r="V384" i="9"/>
  <c r="S384" i="9"/>
  <c r="P384" i="9"/>
  <c r="M384" i="9"/>
  <c r="J384" i="9"/>
  <c r="Y383" i="9"/>
  <c r="V383" i="9"/>
  <c r="S383" i="9"/>
  <c r="P383" i="9"/>
  <c r="M383" i="9"/>
  <c r="J383" i="9"/>
  <c r="Y382" i="9"/>
  <c r="V382" i="9"/>
  <c r="S382" i="9"/>
  <c r="P382" i="9"/>
  <c r="M382" i="9"/>
  <c r="J382" i="9"/>
  <c r="Y381" i="9"/>
  <c r="V381" i="9"/>
  <c r="S381" i="9"/>
  <c r="P381" i="9"/>
  <c r="M381" i="9"/>
  <c r="J381" i="9"/>
  <c r="Y379" i="9"/>
  <c r="V379" i="9"/>
  <c r="S379" i="9"/>
  <c r="P379" i="9"/>
  <c r="M379" i="9"/>
  <c r="J379" i="9"/>
  <c r="Y378" i="9"/>
  <c r="V378" i="9"/>
  <c r="S378" i="9"/>
  <c r="P378" i="9"/>
  <c r="M378" i="9"/>
  <c r="J378" i="9"/>
  <c r="Y377" i="9"/>
  <c r="V377" i="9"/>
  <c r="S377" i="9"/>
  <c r="P377" i="9"/>
  <c r="M377" i="9"/>
  <c r="J377" i="9"/>
  <c r="Y376" i="9"/>
  <c r="V376" i="9"/>
  <c r="S376" i="9"/>
  <c r="P376" i="9"/>
  <c r="M376" i="9"/>
  <c r="J376" i="9"/>
  <c r="Y375" i="9"/>
  <c r="V375" i="9"/>
  <c r="S375" i="9"/>
  <c r="P375" i="9"/>
  <c r="M375" i="9"/>
  <c r="J375" i="9"/>
  <c r="Y374" i="9"/>
  <c r="V374" i="9"/>
  <c r="S374" i="9"/>
  <c r="P374" i="9"/>
  <c r="M374" i="9"/>
  <c r="J374" i="9"/>
  <c r="Y373" i="9"/>
  <c r="V373" i="9"/>
  <c r="S373" i="9"/>
  <c r="P373" i="9"/>
  <c r="M373" i="9"/>
  <c r="J373" i="9"/>
  <c r="Y371" i="9"/>
  <c r="V371" i="9"/>
  <c r="S371" i="9"/>
  <c r="P371" i="9"/>
  <c r="M371" i="9"/>
  <c r="J371" i="9"/>
  <c r="Y370" i="9"/>
  <c r="V370" i="9"/>
  <c r="S370" i="9"/>
  <c r="P370" i="9"/>
  <c r="M370" i="9"/>
  <c r="J370" i="9"/>
  <c r="Y369" i="9"/>
  <c r="V369" i="9"/>
  <c r="S369" i="9"/>
  <c r="P369" i="9"/>
  <c r="M369" i="9"/>
  <c r="J369" i="9"/>
  <c r="Y368" i="9"/>
  <c r="V368" i="9"/>
  <c r="S368" i="9"/>
  <c r="P368" i="9"/>
  <c r="M368" i="9"/>
  <c r="J368" i="9"/>
  <c r="Y367" i="9"/>
  <c r="V367" i="9"/>
  <c r="S367" i="9"/>
  <c r="P367" i="9"/>
  <c r="M367" i="9"/>
  <c r="J367" i="9"/>
  <c r="Y366" i="9"/>
  <c r="V366" i="9"/>
  <c r="S366" i="9"/>
  <c r="P366" i="9"/>
  <c r="M366" i="9"/>
  <c r="J366" i="9"/>
  <c r="Y365" i="9"/>
  <c r="V365" i="9"/>
  <c r="S365" i="9"/>
  <c r="P365" i="9"/>
  <c r="M365" i="9"/>
  <c r="J365" i="9"/>
  <c r="Y355" i="9"/>
  <c r="V355" i="9"/>
  <c r="S355" i="9"/>
  <c r="P355" i="9"/>
  <c r="M355" i="9"/>
  <c r="J355" i="9"/>
  <c r="Y354" i="9"/>
  <c r="V354" i="9"/>
  <c r="S354" i="9"/>
  <c r="P354" i="9"/>
  <c r="M354" i="9"/>
  <c r="J354" i="9"/>
  <c r="Y353" i="9"/>
  <c r="V353" i="9"/>
  <c r="S353" i="9"/>
  <c r="P353" i="9"/>
  <c r="M353" i="9"/>
  <c r="J353" i="9"/>
  <c r="Y352" i="9"/>
  <c r="V352" i="9"/>
  <c r="S352" i="9"/>
  <c r="P352" i="9"/>
  <c r="M352" i="9"/>
  <c r="J352" i="9"/>
  <c r="Y351" i="9"/>
  <c r="V351" i="9"/>
  <c r="S351" i="9"/>
  <c r="P351" i="9"/>
  <c r="M351" i="9"/>
  <c r="J351" i="9"/>
  <c r="Y350" i="9"/>
  <c r="V350" i="9"/>
  <c r="S350" i="9"/>
  <c r="P350" i="9"/>
  <c r="M350" i="9"/>
  <c r="J350" i="9"/>
  <c r="Y349" i="9"/>
  <c r="V349" i="9"/>
  <c r="S349" i="9"/>
  <c r="P349" i="9"/>
  <c r="M349" i="9"/>
  <c r="J349" i="9"/>
  <c r="Y347" i="9"/>
  <c r="V347" i="9"/>
  <c r="S347" i="9"/>
  <c r="P347" i="9"/>
  <c r="M347" i="9"/>
  <c r="J347" i="9"/>
  <c r="Y346" i="9"/>
  <c r="V346" i="9"/>
  <c r="S346" i="9"/>
  <c r="P346" i="9"/>
  <c r="M346" i="9"/>
  <c r="J346" i="9"/>
  <c r="Y345" i="9"/>
  <c r="V345" i="9"/>
  <c r="S345" i="9"/>
  <c r="P345" i="9"/>
  <c r="M345" i="9"/>
  <c r="J345" i="9"/>
  <c r="Y344" i="9"/>
  <c r="V344" i="9"/>
  <c r="S344" i="9"/>
  <c r="P344" i="9"/>
  <c r="M344" i="9"/>
  <c r="J344" i="9"/>
  <c r="Y343" i="9"/>
  <c r="V343" i="9"/>
  <c r="S343" i="9"/>
  <c r="P343" i="9"/>
  <c r="M343" i="9"/>
  <c r="J343" i="9"/>
  <c r="Y342" i="9"/>
  <c r="V342" i="9"/>
  <c r="S342" i="9"/>
  <c r="P342" i="9"/>
  <c r="M342" i="9"/>
  <c r="J342" i="9"/>
  <c r="Y341" i="9"/>
  <c r="V341" i="9"/>
  <c r="S341" i="9"/>
  <c r="P341" i="9"/>
  <c r="M341" i="9"/>
  <c r="J341" i="9"/>
  <c r="Y339" i="9"/>
  <c r="V339" i="9"/>
  <c r="S339" i="9"/>
  <c r="P339" i="9"/>
  <c r="M339" i="9"/>
  <c r="J339" i="9"/>
  <c r="Y338" i="9"/>
  <c r="V338" i="9"/>
  <c r="S338" i="9"/>
  <c r="P338" i="9"/>
  <c r="M338" i="9"/>
  <c r="J338" i="9"/>
  <c r="Y337" i="9"/>
  <c r="V337" i="9"/>
  <c r="S337" i="9"/>
  <c r="P337" i="9"/>
  <c r="M337" i="9"/>
  <c r="J337" i="9"/>
  <c r="Y336" i="9"/>
  <c r="V336" i="9"/>
  <c r="S336" i="9"/>
  <c r="P336" i="9"/>
  <c r="M336" i="9"/>
  <c r="J336" i="9"/>
  <c r="Y335" i="9"/>
  <c r="V335" i="9"/>
  <c r="S335" i="9"/>
  <c r="P335" i="9"/>
  <c r="M335" i="9"/>
  <c r="J335" i="9"/>
  <c r="Y334" i="9"/>
  <c r="V334" i="9"/>
  <c r="S334" i="9"/>
  <c r="P334" i="9"/>
  <c r="M334" i="9"/>
  <c r="J334" i="9"/>
  <c r="Y333" i="9"/>
  <c r="V333" i="9"/>
  <c r="S333" i="9"/>
  <c r="P333" i="9"/>
  <c r="M333" i="9"/>
  <c r="J333" i="9"/>
  <c r="Y331" i="9"/>
  <c r="V331" i="9"/>
  <c r="S331" i="9"/>
  <c r="P331" i="9"/>
  <c r="M331" i="9"/>
  <c r="J331" i="9"/>
  <c r="Y330" i="9"/>
  <c r="V330" i="9"/>
  <c r="S330" i="9"/>
  <c r="P330" i="9"/>
  <c r="M330" i="9"/>
  <c r="J330" i="9"/>
  <c r="Y329" i="9"/>
  <c r="V329" i="9"/>
  <c r="S329" i="9"/>
  <c r="P329" i="9"/>
  <c r="M329" i="9"/>
  <c r="J329" i="9"/>
  <c r="Y328" i="9"/>
  <c r="V328" i="9"/>
  <c r="S328" i="9"/>
  <c r="P328" i="9"/>
  <c r="M328" i="9"/>
  <c r="J328" i="9"/>
  <c r="Y327" i="9"/>
  <c r="V327" i="9"/>
  <c r="S327" i="9"/>
  <c r="P327" i="9"/>
  <c r="M327" i="9"/>
  <c r="J327" i="9"/>
  <c r="Y326" i="9"/>
  <c r="V326" i="9"/>
  <c r="S326" i="9"/>
  <c r="P326" i="9"/>
  <c r="M326" i="9"/>
  <c r="J326" i="9"/>
  <c r="Y325" i="9"/>
  <c r="V325" i="9"/>
  <c r="S325" i="9"/>
  <c r="P325" i="9"/>
  <c r="M325" i="9"/>
  <c r="J325" i="9"/>
  <c r="Y323" i="9"/>
  <c r="V323" i="9"/>
  <c r="S323" i="9"/>
  <c r="P323" i="9"/>
  <c r="M323" i="9"/>
  <c r="J323" i="9"/>
  <c r="Y322" i="9"/>
  <c r="V322" i="9"/>
  <c r="S322" i="9"/>
  <c r="P322" i="9"/>
  <c r="M322" i="9"/>
  <c r="J322" i="9"/>
  <c r="Y321" i="9"/>
  <c r="V321" i="9"/>
  <c r="S321" i="9"/>
  <c r="P321" i="9"/>
  <c r="M321" i="9"/>
  <c r="J321" i="9"/>
  <c r="Y320" i="9"/>
  <c r="V320" i="9"/>
  <c r="S320" i="9"/>
  <c r="P320" i="9"/>
  <c r="M320" i="9"/>
  <c r="J320" i="9"/>
  <c r="Y319" i="9"/>
  <c r="V319" i="9"/>
  <c r="S319" i="9"/>
  <c r="P319" i="9"/>
  <c r="M319" i="9"/>
  <c r="J319" i="9"/>
  <c r="Y318" i="9"/>
  <c r="V318" i="9"/>
  <c r="S318" i="9"/>
  <c r="P318" i="9"/>
  <c r="M318" i="9"/>
  <c r="J318" i="9"/>
  <c r="Y317" i="9"/>
  <c r="V317" i="9"/>
  <c r="S317" i="9"/>
  <c r="P317" i="9"/>
  <c r="M317" i="9"/>
  <c r="J317" i="9"/>
  <c r="Y315" i="9"/>
  <c r="V315" i="9"/>
  <c r="S315" i="9"/>
  <c r="P315" i="9"/>
  <c r="M315" i="9"/>
  <c r="J315" i="9"/>
  <c r="Y314" i="9"/>
  <c r="V314" i="9"/>
  <c r="S314" i="9"/>
  <c r="P314" i="9"/>
  <c r="M314" i="9"/>
  <c r="J314" i="9"/>
  <c r="Y313" i="9"/>
  <c r="V313" i="9"/>
  <c r="S313" i="9"/>
  <c r="P313" i="9"/>
  <c r="M313" i="9"/>
  <c r="J313" i="9"/>
  <c r="Y312" i="9"/>
  <c r="V312" i="9"/>
  <c r="S312" i="9"/>
  <c r="P312" i="9"/>
  <c r="M312" i="9"/>
  <c r="J312" i="9"/>
  <c r="Y311" i="9"/>
  <c r="V311" i="9"/>
  <c r="S311" i="9"/>
  <c r="P311" i="9"/>
  <c r="M311" i="9"/>
  <c r="J311" i="9"/>
  <c r="Y310" i="9"/>
  <c r="V310" i="9"/>
  <c r="S310" i="9"/>
  <c r="P310" i="9"/>
  <c r="M310" i="9"/>
  <c r="J310" i="9"/>
  <c r="Y309" i="9"/>
  <c r="V309" i="9"/>
  <c r="S309" i="9"/>
  <c r="P309" i="9"/>
  <c r="M309" i="9"/>
  <c r="J309" i="9"/>
  <c r="Y307" i="9"/>
  <c r="V307" i="9"/>
  <c r="S307" i="9"/>
  <c r="P307" i="9"/>
  <c r="M307" i="9"/>
  <c r="J307" i="9"/>
  <c r="Y306" i="9"/>
  <c r="V306" i="9"/>
  <c r="S306" i="9"/>
  <c r="P306" i="9"/>
  <c r="M306" i="9"/>
  <c r="J306" i="9"/>
  <c r="Y305" i="9"/>
  <c r="V305" i="9"/>
  <c r="S305" i="9"/>
  <c r="P305" i="9"/>
  <c r="M305" i="9"/>
  <c r="J305" i="9"/>
  <c r="Y304" i="9"/>
  <c r="V304" i="9"/>
  <c r="S304" i="9"/>
  <c r="P304" i="9"/>
  <c r="M304" i="9"/>
  <c r="J304" i="9"/>
  <c r="Y303" i="9"/>
  <c r="V303" i="9"/>
  <c r="S303" i="9"/>
  <c r="P303" i="9"/>
  <c r="M303" i="9"/>
  <c r="J303" i="9"/>
  <c r="Y302" i="9"/>
  <c r="V302" i="9"/>
  <c r="S302" i="9"/>
  <c r="P302" i="9"/>
  <c r="M302" i="9"/>
  <c r="J302" i="9"/>
  <c r="Y301" i="9"/>
  <c r="V301" i="9"/>
  <c r="S301" i="9"/>
  <c r="P301" i="9"/>
  <c r="M301" i="9"/>
  <c r="J301" i="9"/>
  <c r="Y299" i="9"/>
  <c r="V299" i="9"/>
  <c r="S299" i="9"/>
  <c r="P299" i="9"/>
  <c r="M299" i="9"/>
  <c r="J299" i="9"/>
  <c r="Y298" i="9"/>
  <c r="V298" i="9"/>
  <c r="S298" i="9"/>
  <c r="P298" i="9"/>
  <c r="M298" i="9"/>
  <c r="J298" i="9"/>
  <c r="Y297" i="9"/>
  <c r="V297" i="9"/>
  <c r="S297" i="9"/>
  <c r="P297" i="9"/>
  <c r="M297" i="9"/>
  <c r="J297" i="9"/>
  <c r="Y296" i="9"/>
  <c r="V296" i="9"/>
  <c r="S296" i="9"/>
  <c r="P296" i="9"/>
  <c r="M296" i="9"/>
  <c r="J296" i="9"/>
  <c r="Y295" i="9"/>
  <c r="V295" i="9"/>
  <c r="S295" i="9"/>
  <c r="P295" i="9"/>
  <c r="M295" i="9"/>
  <c r="J295" i="9"/>
  <c r="Y294" i="9"/>
  <c r="V294" i="9"/>
  <c r="S294" i="9"/>
  <c r="P294" i="9"/>
  <c r="M294" i="9"/>
  <c r="J294" i="9"/>
  <c r="Y293" i="9"/>
  <c r="V293" i="9"/>
  <c r="S293" i="9"/>
  <c r="P293" i="9"/>
  <c r="M293" i="9"/>
  <c r="J293" i="9"/>
  <c r="Y291" i="9"/>
  <c r="V291" i="9"/>
  <c r="S291" i="9"/>
  <c r="P291" i="9"/>
  <c r="M291" i="9"/>
  <c r="J291" i="9"/>
  <c r="Y290" i="9"/>
  <c r="V290" i="9"/>
  <c r="S290" i="9"/>
  <c r="P290" i="9"/>
  <c r="M290" i="9"/>
  <c r="J290" i="9"/>
  <c r="Y289" i="9"/>
  <c r="V289" i="9"/>
  <c r="S289" i="9"/>
  <c r="P289" i="9"/>
  <c r="M289" i="9"/>
  <c r="J289" i="9"/>
  <c r="Y288" i="9"/>
  <c r="V288" i="9"/>
  <c r="S288" i="9"/>
  <c r="P288" i="9"/>
  <c r="M288" i="9"/>
  <c r="J288" i="9"/>
  <c r="Y287" i="9"/>
  <c r="V287" i="9"/>
  <c r="S287" i="9"/>
  <c r="P287" i="9"/>
  <c r="M287" i="9"/>
  <c r="J287" i="9"/>
  <c r="Y286" i="9"/>
  <c r="V286" i="9"/>
  <c r="S286" i="9"/>
  <c r="P286" i="9"/>
  <c r="M286" i="9"/>
  <c r="J286" i="9"/>
  <c r="Y285" i="9"/>
  <c r="V285" i="9"/>
  <c r="S285" i="9"/>
  <c r="P285" i="9"/>
  <c r="M285" i="9"/>
  <c r="J285" i="9"/>
  <c r="Y283" i="9"/>
  <c r="V283" i="9"/>
  <c r="S283" i="9"/>
  <c r="P283" i="9"/>
  <c r="M283" i="9"/>
  <c r="J283" i="9"/>
  <c r="Y282" i="9"/>
  <c r="V282" i="9"/>
  <c r="S282" i="9"/>
  <c r="P282" i="9"/>
  <c r="M282" i="9"/>
  <c r="J282" i="9"/>
  <c r="Y281" i="9"/>
  <c r="V281" i="9"/>
  <c r="S281" i="9"/>
  <c r="P281" i="9"/>
  <c r="M281" i="9"/>
  <c r="J281" i="9"/>
  <c r="Y280" i="9"/>
  <c r="V280" i="9"/>
  <c r="S280" i="9"/>
  <c r="P280" i="9"/>
  <c r="M280" i="9"/>
  <c r="J280" i="9"/>
  <c r="Y279" i="9"/>
  <c r="V279" i="9"/>
  <c r="S279" i="9"/>
  <c r="P279" i="9"/>
  <c r="M279" i="9"/>
  <c r="J279" i="9"/>
  <c r="Y278" i="9"/>
  <c r="V278" i="9"/>
  <c r="S278" i="9"/>
  <c r="P278" i="9"/>
  <c r="M278" i="9"/>
  <c r="J278" i="9"/>
  <c r="Y277" i="9"/>
  <c r="V277" i="9"/>
  <c r="S277" i="9"/>
  <c r="P277" i="9"/>
  <c r="M277" i="9"/>
  <c r="J277" i="9"/>
  <c r="Y275" i="9"/>
  <c r="V275" i="9"/>
  <c r="S275" i="9"/>
  <c r="P275" i="9"/>
  <c r="M275" i="9"/>
  <c r="J275" i="9"/>
  <c r="Y274" i="9"/>
  <c r="V274" i="9"/>
  <c r="S274" i="9"/>
  <c r="P274" i="9"/>
  <c r="M274" i="9"/>
  <c r="J274" i="9"/>
  <c r="Y273" i="9"/>
  <c r="V273" i="9"/>
  <c r="S273" i="9"/>
  <c r="P273" i="9"/>
  <c r="M273" i="9"/>
  <c r="J273" i="9"/>
  <c r="Y272" i="9"/>
  <c r="V272" i="9"/>
  <c r="S272" i="9"/>
  <c r="P272" i="9"/>
  <c r="M272" i="9"/>
  <c r="J272" i="9"/>
  <c r="Y271" i="9"/>
  <c r="V271" i="9"/>
  <c r="S271" i="9"/>
  <c r="P271" i="9"/>
  <c r="M271" i="9"/>
  <c r="J271" i="9"/>
  <c r="Y270" i="9"/>
  <c r="V270" i="9"/>
  <c r="S270" i="9"/>
  <c r="P270" i="9"/>
  <c r="M270" i="9"/>
  <c r="J270" i="9"/>
  <c r="Y269" i="9"/>
  <c r="V269" i="9"/>
  <c r="S269" i="9"/>
  <c r="P269" i="9"/>
  <c r="M269" i="9"/>
  <c r="J269" i="9"/>
  <c r="Y267" i="9"/>
  <c r="V267" i="9"/>
  <c r="S267" i="9"/>
  <c r="P267" i="9"/>
  <c r="M267" i="9"/>
  <c r="J267" i="9"/>
  <c r="Y266" i="9"/>
  <c r="V266" i="9"/>
  <c r="S266" i="9"/>
  <c r="P266" i="9"/>
  <c r="M266" i="9"/>
  <c r="J266" i="9"/>
  <c r="Y265" i="9"/>
  <c r="V265" i="9"/>
  <c r="S265" i="9"/>
  <c r="P265" i="9"/>
  <c r="M265" i="9"/>
  <c r="J265" i="9"/>
  <c r="Y264" i="9"/>
  <c r="V264" i="9"/>
  <c r="S264" i="9"/>
  <c r="P264" i="9"/>
  <c r="M264" i="9"/>
  <c r="J264" i="9"/>
  <c r="Y263" i="9"/>
  <c r="V263" i="9"/>
  <c r="S263" i="9"/>
  <c r="P263" i="9"/>
  <c r="M263" i="9"/>
  <c r="J263" i="9"/>
  <c r="Y262" i="9"/>
  <c r="V262" i="9"/>
  <c r="S262" i="9"/>
  <c r="P262" i="9"/>
  <c r="M262" i="9"/>
  <c r="J262" i="9"/>
  <c r="Y261" i="9"/>
  <c r="V261" i="9"/>
  <c r="S261" i="9"/>
  <c r="P261" i="9"/>
  <c r="M261" i="9"/>
  <c r="J261" i="9"/>
  <c r="Y259" i="9"/>
  <c r="V259" i="9"/>
  <c r="S259" i="9"/>
  <c r="P259" i="9"/>
  <c r="M259" i="9"/>
  <c r="J259" i="9"/>
  <c r="Y258" i="9"/>
  <c r="V258" i="9"/>
  <c r="S258" i="9"/>
  <c r="P258" i="9"/>
  <c r="M258" i="9"/>
  <c r="J258" i="9"/>
  <c r="Y257" i="9"/>
  <c r="V257" i="9"/>
  <c r="S257" i="9"/>
  <c r="P257" i="9"/>
  <c r="M257" i="9"/>
  <c r="J257" i="9"/>
  <c r="Y256" i="9"/>
  <c r="V256" i="9"/>
  <c r="S256" i="9"/>
  <c r="P256" i="9"/>
  <c r="M256" i="9"/>
  <c r="J256" i="9"/>
  <c r="Y255" i="9"/>
  <c r="V255" i="9"/>
  <c r="S255" i="9"/>
  <c r="P255" i="9"/>
  <c r="M255" i="9"/>
  <c r="J255" i="9"/>
  <c r="Y254" i="9"/>
  <c r="V254" i="9"/>
  <c r="S254" i="9"/>
  <c r="P254" i="9"/>
  <c r="M254" i="9"/>
  <c r="J254" i="9"/>
  <c r="Y253" i="9"/>
  <c r="V253" i="9"/>
  <c r="S253" i="9"/>
  <c r="P253" i="9"/>
  <c r="M253" i="9"/>
  <c r="J253" i="9"/>
  <c r="Y227" i="9"/>
  <c r="V227" i="9"/>
  <c r="S227" i="9"/>
  <c r="P227" i="9"/>
  <c r="M227" i="9"/>
  <c r="J227" i="9"/>
  <c r="Y226" i="9"/>
  <c r="V226" i="9"/>
  <c r="S226" i="9"/>
  <c r="P226" i="9"/>
  <c r="M226" i="9"/>
  <c r="J226" i="9"/>
  <c r="Y225" i="9"/>
  <c r="V225" i="9"/>
  <c r="S225" i="9"/>
  <c r="P225" i="9"/>
  <c r="M225" i="9"/>
  <c r="J225" i="9"/>
  <c r="Y224" i="9"/>
  <c r="V224" i="9"/>
  <c r="S224" i="9"/>
  <c r="P224" i="9"/>
  <c r="M224" i="9"/>
  <c r="J224" i="9"/>
  <c r="Y223" i="9"/>
  <c r="V223" i="9"/>
  <c r="S223" i="9"/>
  <c r="P223" i="9"/>
  <c r="M223" i="9"/>
  <c r="J223" i="9"/>
  <c r="Y222" i="9"/>
  <c r="V222" i="9"/>
  <c r="S222" i="9"/>
  <c r="P222" i="9"/>
  <c r="M222" i="9"/>
  <c r="J222" i="9"/>
  <c r="Y221" i="9"/>
  <c r="V221" i="9"/>
  <c r="S221" i="9"/>
  <c r="P221" i="9"/>
  <c r="M221" i="9"/>
  <c r="J221" i="9"/>
  <c r="Y219" i="9"/>
  <c r="V219" i="9"/>
  <c r="S219" i="9"/>
  <c r="P219" i="9"/>
  <c r="M219" i="9"/>
  <c r="J219" i="9"/>
  <c r="Y218" i="9"/>
  <c r="V218" i="9"/>
  <c r="S218" i="9"/>
  <c r="P218" i="9"/>
  <c r="M218" i="9"/>
  <c r="J218" i="9"/>
  <c r="Y217" i="9"/>
  <c r="V217" i="9"/>
  <c r="S217" i="9"/>
  <c r="P217" i="9"/>
  <c r="M217" i="9"/>
  <c r="J217" i="9"/>
  <c r="Y216" i="9"/>
  <c r="V216" i="9"/>
  <c r="S216" i="9"/>
  <c r="P216" i="9"/>
  <c r="M216" i="9"/>
  <c r="J216" i="9"/>
  <c r="Y215" i="9"/>
  <c r="V215" i="9"/>
  <c r="S215" i="9"/>
  <c r="P215" i="9"/>
  <c r="M215" i="9"/>
  <c r="J215" i="9"/>
  <c r="Y214" i="9"/>
  <c r="V214" i="9"/>
  <c r="S214" i="9"/>
  <c r="P214" i="9"/>
  <c r="M214" i="9"/>
  <c r="J214" i="9"/>
  <c r="Y213" i="9"/>
  <c r="V213" i="9"/>
  <c r="S213" i="9"/>
  <c r="P213" i="9"/>
  <c r="M213" i="9"/>
  <c r="J213" i="9"/>
  <c r="Y211" i="9"/>
  <c r="V211" i="9"/>
  <c r="S211" i="9"/>
  <c r="P211" i="9"/>
  <c r="M211" i="9"/>
  <c r="J211" i="9"/>
  <c r="Y210" i="9"/>
  <c r="V210" i="9"/>
  <c r="S210" i="9"/>
  <c r="P210" i="9"/>
  <c r="M210" i="9"/>
  <c r="J210" i="9"/>
  <c r="Y209" i="9"/>
  <c r="V209" i="9"/>
  <c r="S209" i="9"/>
  <c r="P209" i="9"/>
  <c r="M209" i="9"/>
  <c r="J209" i="9"/>
  <c r="Y208" i="9"/>
  <c r="V208" i="9"/>
  <c r="S208" i="9"/>
  <c r="P208" i="9"/>
  <c r="M208" i="9"/>
  <c r="J208" i="9"/>
  <c r="Y207" i="9"/>
  <c r="V207" i="9"/>
  <c r="S207" i="9"/>
  <c r="P207" i="9"/>
  <c r="M207" i="9"/>
  <c r="J207" i="9"/>
  <c r="Y206" i="9"/>
  <c r="V206" i="9"/>
  <c r="S206" i="9"/>
  <c r="P206" i="9"/>
  <c r="M206" i="9"/>
  <c r="J206" i="9"/>
  <c r="Y205" i="9"/>
  <c r="V205" i="9"/>
  <c r="S205" i="9"/>
  <c r="P205" i="9"/>
  <c r="M205" i="9"/>
  <c r="J205" i="9"/>
  <c r="Y203" i="9"/>
  <c r="V203" i="9"/>
  <c r="S203" i="9"/>
  <c r="P203" i="9"/>
  <c r="M203" i="9"/>
  <c r="J203" i="9"/>
  <c r="Y202" i="9"/>
  <c r="V202" i="9"/>
  <c r="S202" i="9"/>
  <c r="P202" i="9"/>
  <c r="M202" i="9"/>
  <c r="J202" i="9"/>
  <c r="Y201" i="9"/>
  <c r="V201" i="9"/>
  <c r="S201" i="9"/>
  <c r="P201" i="9"/>
  <c r="M201" i="9"/>
  <c r="J201" i="9"/>
  <c r="Y200" i="9"/>
  <c r="V200" i="9"/>
  <c r="S200" i="9"/>
  <c r="P200" i="9"/>
  <c r="M200" i="9"/>
  <c r="J200" i="9"/>
  <c r="Y199" i="9"/>
  <c r="V199" i="9"/>
  <c r="S199" i="9"/>
  <c r="P199" i="9"/>
  <c r="M199" i="9"/>
  <c r="J199" i="9"/>
  <c r="Y198" i="9"/>
  <c r="V198" i="9"/>
  <c r="S198" i="9"/>
  <c r="P198" i="9"/>
  <c r="M198" i="9"/>
  <c r="J198" i="9"/>
  <c r="Y197" i="9"/>
  <c r="V197" i="9"/>
  <c r="S197" i="9"/>
  <c r="P197" i="9"/>
  <c r="M197" i="9"/>
  <c r="J197" i="9"/>
  <c r="Y195" i="9"/>
  <c r="V195" i="9"/>
  <c r="S195" i="9"/>
  <c r="P195" i="9"/>
  <c r="M195" i="9"/>
  <c r="J195" i="9"/>
  <c r="Y194" i="9"/>
  <c r="V194" i="9"/>
  <c r="S194" i="9"/>
  <c r="P194" i="9"/>
  <c r="M194" i="9"/>
  <c r="J194" i="9"/>
  <c r="Y193" i="9"/>
  <c r="V193" i="9"/>
  <c r="S193" i="9"/>
  <c r="P193" i="9"/>
  <c r="M193" i="9"/>
  <c r="J193" i="9"/>
  <c r="Y192" i="9"/>
  <c r="V192" i="9"/>
  <c r="S192" i="9"/>
  <c r="P192" i="9"/>
  <c r="M192" i="9"/>
  <c r="J192" i="9"/>
  <c r="Y191" i="9"/>
  <c r="V191" i="9"/>
  <c r="S191" i="9"/>
  <c r="P191" i="9"/>
  <c r="M191" i="9"/>
  <c r="J191" i="9"/>
  <c r="Y190" i="9"/>
  <c r="V190" i="9"/>
  <c r="S190" i="9"/>
  <c r="P190" i="9"/>
  <c r="M190" i="9"/>
  <c r="J190" i="9"/>
  <c r="Y189" i="9"/>
  <c r="V189" i="9"/>
  <c r="S189" i="9"/>
  <c r="P189" i="9"/>
  <c r="M189" i="9"/>
  <c r="J189" i="9"/>
  <c r="Y187" i="9"/>
  <c r="V187" i="9"/>
  <c r="S187" i="9"/>
  <c r="P187" i="9"/>
  <c r="M187" i="9"/>
  <c r="J187" i="9"/>
  <c r="Y186" i="9"/>
  <c r="V186" i="9"/>
  <c r="S186" i="9"/>
  <c r="P186" i="9"/>
  <c r="M186" i="9"/>
  <c r="J186" i="9"/>
  <c r="Y185" i="9"/>
  <c r="V185" i="9"/>
  <c r="S185" i="9"/>
  <c r="P185" i="9"/>
  <c r="M185" i="9"/>
  <c r="J185" i="9"/>
  <c r="Y184" i="9"/>
  <c r="V184" i="9"/>
  <c r="S184" i="9"/>
  <c r="P184" i="9"/>
  <c r="M184" i="9"/>
  <c r="J184" i="9"/>
  <c r="Y183" i="9"/>
  <c r="V183" i="9"/>
  <c r="S183" i="9"/>
  <c r="P183" i="9"/>
  <c r="M183" i="9"/>
  <c r="J183" i="9"/>
  <c r="Y182" i="9"/>
  <c r="V182" i="9"/>
  <c r="S182" i="9"/>
  <c r="P182" i="9"/>
  <c r="M182" i="9"/>
  <c r="J182" i="9"/>
  <c r="Y181" i="9"/>
  <c r="V181" i="9"/>
  <c r="S181" i="9"/>
  <c r="P181" i="9"/>
  <c r="M181" i="9"/>
  <c r="J181" i="9"/>
  <c r="Y179" i="9"/>
  <c r="V179" i="9"/>
  <c r="S179" i="9"/>
  <c r="P179" i="9"/>
  <c r="M179" i="9"/>
  <c r="J179" i="9"/>
  <c r="Y178" i="9"/>
  <c r="V178" i="9"/>
  <c r="S178" i="9"/>
  <c r="P178" i="9"/>
  <c r="M178" i="9"/>
  <c r="J178" i="9"/>
  <c r="Y177" i="9"/>
  <c r="V177" i="9"/>
  <c r="S177" i="9"/>
  <c r="P177" i="9"/>
  <c r="M177" i="9"/>
  <c r="J177" i="9"/>
  <c r="Y176" i="9"/>
  <c r="V176" i="9"/>
  <c r="S176" i="9"/>
  <c r="P176" i="9"/>
  <c r="M176" i="9"/>
  <c r="J176" i="9"/>
  <c r="Y175" i="9"/>
  <c r="V175" i="9"/>
  <c r="S175" i="9"/>
  <c r="P175" i="9"/>
  <c r="M175" i="9"/>
  <c r="J175" i="9"/>
  <c r="Y174" i="9"/>
  <c r="V174" i="9"/>
  <c r="S174" i="9"/>
  <c r="P174" i="9"/>
  <c r="M174" i="9"/>
  <c r="J174" i="9"/>
  <c r="Y173" i="9"/>
  <c r="V173" i="9"/>
  <c r="S173" i="9"/>
  <c r="P173" i="9"/>
  <c r="M173" i="9"/>
  <c r="J173" i="9"/>
  <c r="Y171" i="9"/>
  <c r="V171" i="9"/>
  <c r="S171" i="9"/>
  <c r="P171" i="9"/>
  <c r="M171" i="9"/>
  <c r="J171" i="9"/>
  <c r="Y170" i="9"/>
  <c r="V170" i="9"/>
  <c r="S170" i="9"/>
  <c r="P170" i="9"/>
  <c r="M170" i="9"/>
  <c r="J170" i="9"/>
  <c r="Y169" i="9"/>
  <c r="V169" i="9"/>
  <c r="S169" i="9"/>
  <c r="P169" i="9"/>
  <c r="M169" i="9"/>
  <c r="J169" i="9"/>
  <c r="Y168" i="9"/>
  <c r="V168" i="9"/>
  <c r="S168" i="9"/>
  <c r="P168" i="9"/>
  <c r="M168" i="9"/>
  <c r="J168" i="9"/>
  <c r="Y167" i="9"/>
  <c r="V167" i="9"/>
  <c r="S167" i="9"/>
  <c r="P167" i="9"/>
  <c r="M167" i="9"/>
  <c r="J167" i="9"/>
  <c r="Y166" i="9"/>
  <c r="V166" i="9"/>
  <c r="S166" i="9"/>
  <c r="P166" i="9"/>
  <c r="M166" i="9"/>
  <c r="J166" i="9"/>
  <c r="Y165" i="9"/>
  <c r="V165" i="9"/>
  <c r="S165" i="9"/>
  <c r="P165" i="9"/>
  <c r="M165" i="9"/>
  <c r="J165" i="9"/>
  <c r="Y163" i="9"/>
  <c r="V163" i="9"/>
  <c r="S163" i="9"/>
  <c r="P163" i="9"/>
  <c r="M163" i="9"/>
  <c r="J163" i="9"/>
  <c r="Y162" i="9"/>
  <c r="V162" i="9"/>
  <c r="S162" i="9"/>
  <c r="P162" i="9"/>
  <c r="M162" i="9"/>
  <c r="J162" i="9"/>
  <c r="Y161" i="9"/>
  <c r="V161" i="9"/>
  <c r="S161" i="9"/>
  <c r="P161" i="9"/>
  <c r="M161" i="9"/>
  <c r="J161" i="9"/>
  <c r="Y160" i="9"/>
  <c r="V160" i="9"/>
  <c r="S160" i="9"/>
  <c r="P160" i="9"/>
  <c r="M160" i="9"/>
  <c r="J160" i="9"/>
  <c r="Y159" i="9"/>
  <c r="V159" i="9"/>
  <c r="S159" i="9"/>
  <c r="P159" i="9"/>
  <c r="M159" i="9"/>
  <c r="J159" i="9"/>
  <c r="Y158" i="9"/>
  <c r="V158" i="9"/>
  <c r="S158" i="9"/>
  <c r="P158" i="9"/>
  <c r="M158" i="9"/>
  <c r="J158" i="9"/>
  <c r="Y157" i="9"/>
  <c r="V157" i="9"/>
  <c r="S157" i="9"/>
  <c r="P157" i="9"/>
  <c r="M157" i="9"/>
  <c r="J157" i="9"/>
  <c r="Y155" i="9"/>
  <c r="V155" i="9"/>
  <c r="S155" i="9"/>
  <c r="P155" i="9"/>
  <c r="M155" i="9"/>
  <c r="J155" i="9"/>
  <c r="Y154" i="9"/>
  <c r="V154" i="9"/>
  <c r="S154" i="9"/>
  <c r="P154" i="9"/>
  <c r="M154" i="9"/>
  <c r="J154" i="9"/>
  <c r="Y153" i="9"/>
  <c r="V153" i="9"/>
  <c r="S153" i="9"/>
  <c r="P153" i="9"/>
  <c r="M153" i="9"/>
  <c r="J153" i="9"/>
  <c r="Y152" i="9"/>
  <c r="V152" i="9"/>
  <c r="S152" i="9"/>
  <c r="P152" i="9"/>
  <c r="M152" i="9"/>
  <c r="J152" i="9"/>
  <c r="Y151" i="9"/>
  <c r="V151" i="9"/>
  <c r="S151" i="9"/>
  <c r="P151" i="9"/>
  <c r="M151" i="9"/>
  <c r="J151" i="9"/>
  <c r="Y150" i="9"/>
  <c r="V150" i="9"/>
  <c r="S150" i="9"/>
  <c r="P150" i="9"/>
  <c r="M150" i="9"/>
  <c r="J150" i="9"/>
  <c r="Y149" i="9"/>
  <c r="V149" i="9"/>
  <c r="S149" i="9"/>
  <c r="P149" i="9"/>
  <c r="M149" i="9"/>
  <c r="J149" i="9"/>
  <c r="Y147" i="9"/>
  <c r="V147" i="9"/>
  <c r="S147" i="9"/>
  <c r="P147" i="9"/>
  <c r="M147" i="9"/>
  <c r="J147" i="9"/>
  <c r="Y146" i="9"/>
  <c r="V146" i="9"/>
  <c r="S146" i="9"/>
  <c r="P146" i="9"/>
  <c r="M146" i="9"/>
  <c r="J146" i="9"/>
  <c r="Y145" i="9"/>
  <c r="V145" i="9"/>
  <c r="S145" i="9"/>
  <c r="P145" i="9"/>
  <c r="M145" i="9"/>
  <c r="J145" i="9"/>
  <c r="Y144" i="9"/>
  <c r="V144" i="9"/>
  <c r="S144" i="9"/>
  <c r="P144" i="9"/>
  <c r="M144" i="9"/>
  <c r="J144" i="9"/>
  <c r="Y143" i="9"/>
  <c r="V143" i="9"/>
  <c r="S143" i="9"/>
  <c r="P143" i="9"/>
  <c r="M143" i="9"/>
  <c r="J143" i="9"/>
  <c r="Y142" i="9"/>
  <c r="V142" i="9"/>
  <c r="S142" i="9"/>
  <c r="P142" i="9"/>
  <c r="M142" i="9"/>
  <c r="J142" i="9"/>
  <c r="Y141" i="9"/>
  <c r="V141" i="9"/>
  <c r="S141" i="9"/>
  <c r="P141" i="9"/>
  <c r="M141" i="9"/>
  <c r="J141" i="9"/>
  <c r="Y139" i="9"/>
  <c r="V139" i="9"/>
  <c r="S139" i="9"/>
  <c r="P139" i="9"/>
  <c r="M139" i="9"/>
  <c r="J139" i="9"/>
  <c r="Y138" i="9"/>
  <c r="V138" i="9"/>
  <c r="S138" i="9"/>
  <c r="P138" i="9"/>
  <c r="M138" i="9"/>
  <c r="J138" i="9"/>
  <c r="Y137" i="9"/>
  <c r="V137" i="9"/>
  <c r="S137" i="9"/>
  <c r="P137" i="9"/>
  <c r="M137" i="9"/>
  <c r="J137" i="9"/>
  <c r="Y136" i="9"/>
  <c r="V136" i="9"/>
  <c r="S136" i="9"/>
  <c r="P136" i="9"/>
  <c r="M136" i="9"/>
  <c r="J136" i="9"/>
  <c r="Y135" i="9"/>
  <c r="V135" i="9"/>
  <c r="S135" i="9"/>
  <c r="P135" i="9"/>
  <c r="M135" i="9"/>
  <c r="J135" i="9"/>
  <c r="Y134" i="9"/>
  <c r="V134" i="9"/>
  <c r="S134" i="9"/>
  <c r="P134" i="9"/>
  <c r="M134" i="9"/>
  <c r="J134" i="9"/>
  <c r="Y133" i="9"/>
  <c r="V133" i="9"/>
  <c r="S133" i="9"/>
  <c r="P133" i="9"/>
  <c r="M133" i="9"/>
  <c r="J133" i="9"/>
  <c r="Y131" i="9"/>
  <c r="V131" i="9"/>
  <c r="S131" i="9"/>
  <c r="P131" i="9"/>
  <c r="M131" i="9"/>
  <c r="J131" i="9"/>
  <c r="Y130" i="9"/>
  <c r="V130" i="9"/>
  <c r="S130" i="9"/>
  <c r="P130" i="9"/>
  <c r="M130" i="9"/>
  <c r="J130" i="9"/>
  <c r="Y129" i="9"/>
  <c r="V129" i="9"/>
  <c r="S129" i="9"/>
  <c r="P129" i="9"/>
  <c r="M129" i="9"/>
  <c r="J129" i="9"/>
  <c r="Y128" i="9"/>
  <c r="V128" i="9"/>
  <c r="S128" i="9"/>
  <c r="P128" i="9"/>
  <c r="M128" i="9"/>
  <c r="J128" i="9"/>
  <c r="Y127" i="9"/>
  <c r="V127" i="9"/>
  <c r="S127" i="9"/>
  <c r="P127" i="9"/>
  <c r="M127" i="9"/>
  <c r="J127" i="9"/>
  <c r="Y126" i="9"/>
  <c r="V126" i="9"/>
  <c r="S126" i="9"/>
  <c r="P126" i="9"/>
  <c r="M126" i="9"/>
  <c r="J126" i="9"/>
  <c r="Y125" i="9"/>
  <c r="V125" i="9"/>
  <c r="S125" i="9"/>
  <c r="P125" i="9"/>
  <c r="M125" i="9"/>
  <c r="J125" i="9"/>
  <c r="Y107" i="9"/>
  <c r="V107" i="9"/>
  <c r="S107" i="9"/>
  <c r="P107" i="9"/>
  <c r="M107" i="9"/>
  <c r="J107" i="9"/>
  <c r="Y106" i="9"/>
  <c r="V106" i="9"/>
  <c r="S106" i="9"/>
  <c r="P106" i="9"/>
  <c r="M106" i="9"/>
  <c r="J106" i="9"/>
  <c r="Y105" i="9"/>
  <c r="V105" i="9"/>
  <c r="S105" i="9"/>
  <c r="P105" i="9"/>
  <c r="M105" i="9"/>
  <c r="J105" i="9"/>
  <c r="Y104" i="9"/>
  <c r="V104" i="9"/>
  <c r="S104" i="9"/>
  <c r="P104" i="9"/>
  <c r="M104" i="9"/>
  <c r="J104" i="9"/>
  <c r="Y103" i="9"/>
  <c r="V103" i="9"/>
  <c r="S103" i="9"/>
  <c r="P103" i="9"/>
  <c r="M103" i="9"/>
  <c r="J103" i="9"/>
  <c r="Y102" i="9"/>
  <c r="V102" i="9"/>
  <c r="S102" i="9"/>
  <c r="P102" i="9"/>
  <c r="M102" i="9"/>
  <c r="J102" i="9"/>
  <c r="Y101" i="9"/>
  <c r="V101" i="9"/>
  <c r="S101" i="9"/>
  <c r="P101" i="9"/>
  <c r="M101" i="9"/>
  <c r="J101" i="9"/>
  <c r="Y91" i="9"/>
  <c r="V91" i="9"/>
  <c r="S91" i="9"/>
  <c r="P91" i="9"/>
  <c r="M91" i="9"/>
  <c r="J91" i="9"/>
  <c r="Y90" i="9"/>
  <c r="V90" i="9"/>
  <c r="S90" i="9"/>
  <c r="P90" i="9"/>
  <c r="M90" i="9"/>
  <c r="J90" i="9"/>
  <c r="Y89" i="9"/>
  <c r="V89" i="9"/>
  <c r="S89" i="9"/>
  <c r="P89" i="9"/>
  <c r="M89" i="9"/>
  <c r="J89" i="9"/>
  <c r="Y88" i="9"/>
  <c r="V88" i="9"/>
  <c r="S88" i="9"/>
  <c r="P88" i="9"/>
  <c r="M88" i="9"/>
  <c r="J88" i="9"/>
  <c r="Y87" i="9"/>
  <c r="V87" i="9"/>
  <c r="S87" i="9"/>
  <c r="P87" i="9"/>
  <c r="M87" i="9"/>
  <c r="J87" i="9"/>
  <c r="Y86" i="9"/>
  <c r="V86" i="9"/>
  <c r="S86" i="9"/>
  <c r="P86" i="9"/>
  <c r="M86" i="9"/>
  <c r="J86" i="9"/>
  <c r="Y85" i="9"/>
  <c r="V85" i="9"/>
  <c r="S85" i="9"/>
  <c r="P85" i="9"/>
  <c r="M85" i="9"/>
  <c r="J85" i="9"/>
  <c r="Y83" i="9"/>
  <c r="V83" i="9"/>
  <c r="S83" i="9"/>
  <c r="P83" i="9"/>
  <c r="M83" i="9"/>
  <c r="J83" i="9"/>
  <c r="Y82" i="9"/>
  <c r="V82" i="9"/>
  <c r="S82" i="9"/>
  <c r="P82" i="9"/>
  <c r="M82" i="9"/>
  <c r="J82" i="9"/>
  <c r="Y81" i="9"/>
  <c r="V81" i="9"/>
  <c r="S81" i="9"/>
  <c r="P81" i="9"/>
  <c r="M81" i="9"/>
  <c r="J81" i="9"/>
  <c r="Y80" i="9"/>
  <c r="V80" i="9"/>
  <c r="S80" i="9"/>
  <c r="P80" i="9"/>
  <c r="M80" i="9"/>
  <c r="J80" i="9"/>
  <c r="Y79" i="9"/>
  <c r="V79" i="9"/>
  <c r="S79" i="9"/>
  <c r="P79" i="9"/>
  <c r="M79" i="9"/>
  <c r="J79" i="9"/>
  <c r="Y78" i="9"/>
  <c r="V78" i="9"/>
  <c r="S78" i="9"/>
  <c r="P78" i="9"/>
  <c r="M78" i="9"/>
  <c r="J78" i="9"/>
  <c r="Y77" i="9"/>
  <c r="V77" i="9"/>
  <c r="S77" i="9"/>
  <c r="P77" i="9"/>
  <c r="M77" i="9"/>
  <c r="J77" i="9"/>
  <c r="Y75" i="9"/>
  <c r="V75" i="9"/>
  <c r="S75" i="9"/>
  <c r="P75" i="9"/>
  <c r="M75" i="9"/>
  <c r="J75" i="9"/>
  <c r="Y74" i="9"/>
  <c r="V74" i="9"/>
  <c r="S74" i="9"/>
  <c r="P74" i="9"/>
  <c r="M74" i="9"/>
  <c r="J74" i="9"/>
  <c r="Y73" i="9"/>
  <c r="V73" i="9"/>
  <c r="S73" i="9"/>
  <c r="P73" i="9"/>
  <c r="M73" i="9"/>
  <c r="J73" i="9"/>
  <c r="Y72" i="9"/>
  <c r="V72" i="9"/>
  <c r="S72" i="9"/>
  <c r="P72" i="9"/>
  <c r="M72" i="9"/>
  <c r="J72" i="9"/>
  <c r="Y71" i="9"/>
  <c r="V71" i="9"/>
  <c r="S71" i="9"/>
  <c r="P71" i="9"/>
  <c r="M71" i="9"/>
  <c r="J71" i="9"/>
  <c r="Y70" i="9"/>
  <c r="V70" i="9"/>
  <c r="S70" i="9"/>
  <c r="P70" i="9"/>
  <c r="M70" i="9"/>
  <c r="J70" i="9"/>
  <c r="Y69" i="9"/>
  <c r="V69" i="9"/>
  <c r="S69" i="9"/>
  <c r="P69" i="9"/>
  <c r="M69" i="9"/>
  <c r="J69" i="9"/>
  <c r="Y67" i="9"/>
  <c r="V67" i="9"/>
  <c r="S67" i="9"/>
  <c r="P67" i="9"/>
  <c r="M67" i="9"/>
  <c r="J67" i="9"/>
  <c r="Y66" i="9"/>
  <c r="V66" i="9"/>
  <c r="S66" i="9"/>
  <c r="P66" i="9"/>
  <c r="M66" i="9"/>
  <c r="J66" i="9"/>
  <c r="Y65" i="9"/>
  <c r="V65" i="9"/>
  <c r="S65" i="9"/>
  <c r="P65" i="9"/>
  <c r="M65" i="9"/>
  <c r="J65" i="9"/>
  <c r="Y64" i="9"/>
  <c r="V64" i="9"/>
  <c r="S64" i="9"/>
  <c r="P64" i="9"/>
  <c r="M64" i="9"/>
  <c r="J64" i="9"/>
  <c r="Y63" i="9"/>
  <c r="V63" i="9"/>
  <c r="S63" i="9"/>
  <c r="P63" i="9"/>
  <c r="M63" i="9"/>
  <c r="J63" i="9"/>
  <c r="Y62" i="9"/>
  <c r="V62" i="9"/>
  <c r="S62" i="9"/>
  <c r="P62" i="9"/>
  <c r="M62" i="9"/>
  <c r="J62" i="9"/>
  <c r="Y61" i="9"/>
  <c r="V61" i="9"/>
  <c r="S61" i="9"/>
  <c r="P61" i="9"/>
  <c r="M61" i="9"/>
  <c r="J61" i="9"/>
  <c r="Y59" i="9"/>
  <c r="V59" i="9"/>
  <c r="S59" i="9"/>
  <c r="P59" i="9"/>
  <c r="M59" i="9"/>
  <c r="J59" i="9"/>
  <c r="Y58" i="9"/>
  <c r="V58" i="9"/>
  <c r="S58" i="9"/>
  <c r="P58" i="9"/>
  <c r="M58" i="9"/>
  <c r="J58" i="9"/>
  <c r="Y57" i="9"/>
  <c r="V57" i="9"/>
  <c r="S57" i="9"/>
  <c r="P57" i="9"/>
  <c r="M57" i="9"/>
  <c r="J57" i="9"/>
  <c r="Y56" i="9"/>
  <c r="V56" i="9"/>
  <c r="S56" i="9"/>
  <c r="P56" i="9"/>
  <c r="M56" i="9"/>
  <c r="J56" i="9"/>
  <c r="Y55" i="9"/>
  <c r="V55" i="9"/>
  <c r="S55" i="9"/>
  <c r="P55" i="9"/>
  <c r="M55" i="9"/>
  <c r="J55" i="9"/>
  <c r="Y54" i="9"/>
  <c r="V54" i="9"/>
  <c r="S54" i="9"/>
  <c r="P54" i="9"/>
  <c r="M54" i="9"/>
  <c r="J54" i="9"/>
  <c r="Y53" i="9"/>
  <c r="V53" i="9"/>
  <c r="S53" i="9"/>
  <c r="P53" i="9"/>
  <c r="M53" i="9"/>
  <c r="J53" i="9"/>
  <c r="Y51" i="9"/>
  <c r="V51" i="9"/>
  <c r="S51" i="9"/>
  <c r="P51" i="9"/>
  <c r="M51" i="9"/>
  <c r="J51" i="9"/>
  <c r="Y50" i="9"/>
  <c r="V50" i="9"/>
  <c r="S50" i="9"/>
  <c r="P50" i="9"/>
  <c r="M50" i="9"/>
  <c r="J50" i="9"/>
  <c r="Y49" i="9"/>
  <c r="V49" i="9"/>
  <c r="S49" i="9"/>
  <c r="P49" i="9"/>
  <c r="M49" i="9"/>
  <c r="J49" i="9"/>
  <c r="Y48" i="9"/>
  <c r="V48" i="9"/>
  <c r="S48" i="9"/>
  <c r="P48" i="9"/>
  <c r="M48" i="9"/>
  <c r="J48" i="9"/>
  <c r="Y47" i="9"/>
  <c r="V47" i="9"/>
  <c r="S47" i="9"/>
  <c r="P47" i="9"/>
  <c r="M47" i="9"/>
  <c r="J47" i="9"/>
  <c r="Y46" i="9"/>
  <c r="V46" i="9"/>
  <c r="S46" i="9"/>
  <c r="P46" i="9"/>
  <c r="M46" i="9"/>
  <c r="J46" i="9"/>
  <c r="Y45" i="9"/>
  <c r="V45" i="9"/>
  <c r="S45" i="9"/>
  <c r="P45" i="9"/>
  <c r="M45" i="9"/>
  <c r="J45" i="9"/>
  <c r="Y43" i="9"/>
  <c r="V43" i="9"/>
  <c r="S43" i="9"/>
  <c r="P43" i="9"/>
  <c r="M43" i="9"/>
  <c r="J43" i="9"/>
  <c r="Y42" i="9"/>
  <c r="V42" i="9"/>
  <c r="S42" i="9"/>
  <c r="P42" i="9"/>
  <c r="M42" i="9"/>
  <c r="J42" i="9"/>
  <c r="Y41" i="9"/>
  <c r="V41" i="9"/>
  <c r="S41" i="9"/>
  <c r="P41" i="9"/>
  <c r="M41" i="9"/>
  <c r="J41" i="9"/>
  <c r="Y40" i="9"/>
  <c r="V40" i="9"/>
  <c r="S40" i="9"/>
  <c r="P40" i="9"/>
  <c r="M40" i="9"/>
  <c r="J40" i="9"/>
  <c r="Y39" i="9"/>
  <c r="V39" i="9"/>
  <c r="S39" i="9"/>
  <c r="P39" i="9"/>
  <c r="M39" i="9"/>
  <c r="J39" i="9"/>
  <c r="Y38" i="9"/>
  <c r="V38" i="9"/>
  <c r="S38" i="9"/>
  <c r="P38" i="9"/>
  <c r="M38" i="9"/>
  <c r="J38" i="9"/>
  <c r="Y37" i="9"/>
  <c r="V37" i="9"/>
  <c r="S37" i="9"/>
  <c r="P37" i="9"/>
  <c r="M37" i="9"/>
  <c r="J37" i="9"/>
  <c r="Y35" i="9"/>
  <c r="V35" i="9"/>
  <c r="S35" i="9"/>
  <c r="P35" i="9"/>
  <c r="M35" i="9"/>
  <c r="J35" i="9"/>
  <c r="Y34" i="9"/>
  <c r="V34" i="9"/>
  <c r="S34" i="9"/>
  <c r="P34" i="9"/>
  <c r="M34" i="9"/>
  <c r="J34" i="9"/>
  <c r="Y33" i="9"/>
  <c r="V33" i="9"/>
  <c r="S33" i="9"/>
  <c r="P33" i="9"/>
  <c r="M33" i="9"/>
  <c r="J33" i="9"/>
  <c r="Y32" i="9"/>
  <c r="V32" i="9"/>
  <c r="S32" i="9"/>
  <c r="P32" i="9"/>
  <c r="M32" i="9"/>
  <c r="J32" i="9"/>
  <c r="Y31" i="9"/>
  <c r="V31" i="9"/>
  <c r="S31" i="9"/>
  <c r="P31" i="9"/>
  <c r="M31" i="9"/>
  <c r="J31" i="9"/>
  <c r="Y30" i="9"/>
  <c r="V30" i="9"/>
  <c r="S30" i="9"/>
  <c r="P30" i="9"/>
  <c r="M30" i="9"/>
  <c r="J30" i="9"/>
  <c r="Y29" i="9"/>
  <c r="V29" i="9"/>
  <c r="S29" i="9"/>
  <c r="P29" i="9"/>
  <c r="M29" i="9"/>
  <c r="J29" i="9"/>
  <c r="Y27" i="9"/>
  <c r="V27" i="9"/>
  <c r="S27" i="9"/>
  <c r="P27" i="9"/>
  <c r="M27" i="9"/>
  <c r="J27" i="9"/>
  <c r="Y26" i="9"/>
  <c r="V26" i="9"/>
  <c r="S26" i="9"/>
  <c r="P26" i="9"/>
  <c r="M26" i="9"/>
  <c r="J26" i="9"/>
  <c r="Y25" i="9"/>
  <c r="V25" i="9"/>
  <c r="S25" i="9"/>
  <c r="P25" i="9"/>
  <c r="M25" i="9"/>
  <c r="J25" i="9"/>
  <c r="Y24" i="9"/>
  <c r="V24" i="9"/>
  <c r="S24" i="9"/>
  <c r="P24" i="9"/>
  <c r="M24" i="9"/>
  <c r="J24" i="9"/>
  <c r="Y23" i="9"/>
  <c r="V23" i="9"/>
  <c r="S23" i="9"/>
  <c r="P23" i="9"/>
  <c r="M23" i="9"/>
  <c r="J23" i="9"/>
  <c r="Y22" i="9"/>
  <c r="V22" i="9"/>
  <c r="S22" i="9"/>
  <c r="P22" i="9"/>
  <c r="M22" i="9"/>
  <c r="J22" i="9"/>
  <c r="Y21" i="9"/>
  <c r="V21" i="9"/>
  <c r="S21" i="9"/>
  <c r="P21" i="9"/>
  <c r="M21" i="9"/>
  <c r="J21" i="9"/>
  <c r="C22" i="8"/>
  <c r="D22" i="8" s="1"/>
  <c r="E141" i="2"/>
  <c r="E133" i="2"/>
  <c r="E125" i="2"/>
  <c r="E117" i="2"/>
  <c r="E109" i="2"/>
  <c r="E101" i="2"/>
  <c r="E93" i="2"/>
  <c r="E85" i="2"/>
  <c r="E77" i="2"/>
  <c r="E69" i="2"/>
  <c r="E61" i="2"/>
  <c r="E53" i="2"/>
  <c r="E37" i="2"/>
  <c r="E29" i="2"/>
  <c r="E21" i="2"/>
  <c r="D21" i="2"/>
  <c r="C21" i="2"/>
  <c r="S36" i="8"/>
  <c r="R36" i="8"/>
  <c r="Q36" i="8"/>
  <c r="P36" i="8"/>
  <c r="N36" i="8"/>
  <c r="M36" i="8"/>
  <c r="L36" i="8"/>
  <c r="K36" i="8"/>
  <c r="H36" i="8"/>
  <c r="P35" i="8"/>
  <c r="N35" i="8"/>
  <c r="P34" i="8"/>
  <c r="N34" i="8"/>
  <c r="P33" i="8"/>
  <c r="N33" i="8"/>
  <c r="P32" i="8"/>
  <c r="N32" i="8"/>
  <c r="P31" i="8"/>
  <c r="N31" i="8"/>
  <c r="P30" i="8"/>
  <c r="N30" i="8"/>
  <c r="P29" i="8"/>
  <c r="N29" i="8"/>
  <c r="P28" i="8"/>
  <c r="N28" i="8"/>
  <c r="P27" i="8"/>
  <c r="N27" i="8"/>
  <c r="N26" i="8"/>
  <c r="P26" i="8"/>
  <c r="P25" i="8"/>
  <c r="N25" i="8"/>
  <c r="P23" i="8"/>
  <c r="N23" i="8"/>
  <c r="P22" i="8"/>
  <c r="N22" i="8"/>
  <c r="P21" i="8"/>
  <c r="N21" i="8"/>
  <c r="AM141" i="2"/>
  <c r="AJ141" i="2"/>
  <c r="AG141" i="2"/>
  <c r="AC141" i="2"/>
  <c r="AC148" i="2" s="1"/>
  <c r="O36" i="8" s="1"/>
  <c r="Y141" i="2"/>
  <c r="V141" i="2"/>
  <c r="S141" i="2"/>
  <c r="P141" i="2"/>
  <c r="P148" i="2" s="1"/>
  <c r="J36" i="8" s="1"/>
  <c r="M141" i="2"/>
  <c r="M148" i="2" s="1"/>
  <c r="I36" i="8" s="1"/>
  <c r="J141" i="2"/>
  <c r="AM139" i="2"/>
  <c r="AJ139" i="2"/>
  <c r="AG139" i="2"/>
  <c r="AC139" i="2"/>
  <c r="Y139" i="2"/>
  <c r="V139" i="2"/>
  <c r="S139" i="2"/>
  <c r="P139" i="2"/>
  <c r="M139" i="2"/>
  <c r="J139" i="2"/>
  <c r="AM138" i="2"/>
  <c r="AJ138" i="2"/>
  <c r="AG138" i="2"/>
  <c r="AC138" i="2"/>
  <c r="Y138" i="2"/>
  <c r="V138" i="2"/>
  <c r="S138" i="2"/>
  <c r="P138" i="2"/>
  <c r="M138" i="2"/>
  <c r="J138" i="2"/>
  <c r="AM137" i="2"/>
  <c r="AJ137" i="2"/>
  <c r="AG137" i="2"/>
  <c r="AC137" i="2"/>
  <c r="Y137" i="2"/>
  <c r="V137" i="2"/>
  <c r="S137" i="2"/>
  <c r="P137" i="2"/>
  <c r="M137" i="2"/>
  <c r="J137" i="2"/>
  <c r="AM136" i="2"/>
  <c r="AJ136" i="2"/>
  <c r="AG136" i="2"/>
  <c r="AC136" i="2"/>
  <c r="Y136" i="2"/>
  <c r="V136" i="2"/>
  <c r="S136" i="2"/>
  <c r="P136" i="2"/>
  <c r="M136" i="2"/>
  <c r="J136" i="2"/>
  <c r="AM135" i="2"/>
  <c r="AJ135" i="2"/>
  <c r="AG135" i="2"/>
  <c r="AC135" i="2"/>
  <c r="Y135" i="2"/>
  <c r="V135" i="2"/>
  <c r="S135" i="2"/>
  <c r="P135" i="2"/>
  <c r="M135" i="2"/>
  <c r="J135" i="2"/>
  <c r="AM134" i="2"/>
  <c r="AJ134" i="2"/>
  <c r="AG134" i="2"/>
  <c r="AC134" i="2"/>
  <c r="Y134" i="2"/>
  <c r="V134" i="2"/>
  <c r="S134" i="2"/>
  <c r="P134" i="2"/>
  <c r="M134" i="2"/>
  <c r="J134" i="2"/>
  <c r="AM133" i="2"/>
  <c r="AJ133" i="2"/>
  <c r="AG133" i="2"/>
  <c r="AC133" i="2"/>
  <c r="Y133" i="2"/>
  <c r="V133" i="2"/>
  <c r="S133" i="2"/>
  <c r="P133" i="2"/>
  <c r="M133" i="2"/>
  <c r="J133" i="2"/>
  <c r="AM131" i="2"/>
  <c r="AJ131" i="2"/>
  <c r="AG131" i="2"/>
  <c r="AC131" i="2"/>
  <c r="Y131" i="2"/>
  <c r="V131" i="2"/>
  <c r="S131" i="2"/>
  <c r="P131" i="2"/>
  <c r="M131" i="2"/>
  <c r="J131" i="2"/>
  <c r="AM130" i="2"/>
  <c r="AJ130" i="2"/>
  <c r="AG130" i="2"/>
  <c r="AC130" i="2"/>
  <c r="Y130" i="2"/>
  <c r="V130" i="2"/>
  <c r="S130" i="2"/>
  <c r="P130" i="2"/>
  <c r="M130" i="2"/>
  <c r="J130" i="2"/>
  <c r="AM129" i="2"/>
  <c r="AJ129" i="2"/>
  <c r="AG129" i="2"/>
  <c r="AC129" i="2"/>
  <c r="Y129" i="2"/>
  <c r="V129" i="2"/>
  <c r="S129" i="2"/>
  <c r="P129" i="2"/>
  <c r="M129" i="2"/>
  <c r="J129" i="2"/>
  <c r="AM128" i="2"/>
  <c r="AJ128" i="2"/>
  <c r="AG128" i="2"/>
  <c r="AC128" i="2"/>
  <c r="Y128" i="2"/>
  <c r="V128" i="2"/>
  <c r="S128" i="2"/>
  <c r="P128" i="2"/>
  <c r="M128" i="2"/>
  <c r="J128" i="2"/>
  <c r="AM127" i="2"/>
  <c r="AJ127" i="2"/>
  <c r="AG127" i="2"/>
  <c r="AC127" i="2"/>
  <c r="Y127" i="2"/>
  <c r="V127" i="2"/>
  <c r="S127" i="2"/>
  <c r="P127" i="2"/>
  <c r="M127" i="2"/>
  <c r="J127" i="2"/>
  <c r="AM126" i="2"/>
  <c r="AJ126" i="2"/>
  <c r="AG126" i="2"/>
  <c r="AC126" i="2"/>
  <c r="Y126" i="2"/>
  <c r="V126" i="2"/>
  <c r="S126" i="2"/>
  <c r="P126" i="2"/>
  <c r="M126" i="2"/>
  <c r="J126" i="2"/>
  <c r="AM125" i="2"/>
  <c r="AJ125" i="2"/>
  <c r="AG125" i="2"/>
  <c r="AC125" i="2"/>
  <c r="Y125" i="2"/>
  <c r="V125" i="2"/>
  <c r="S125" i="2"/>
  <c r="P125" i="2"/>
  <c r="M125" i="2"/>
  <c r="J125" i="2"/>
  <c r="AM123" i="2"/>
  <c r="AJ123" i="2"/>
  <c r="AG123" i="2"/>
  <c r="AC123" i="2"/>
  <c r="Y123" i="2"/>
  <c r="V123" i="2"/>
  <c r="S123" i="2"/>
  <c r="P123" i="2"/>
  <c r="M123" i="2"/>
  <c r="J123" i="2"/>
  <c r="AM122" i="2"/>
  <c r="AJ122" i="2"/>
  <c r="AG122" i="2"/>
  <c r="AC122" i="2"/>
  <c r="Y122" i="2"/>
  <c r="V122" i="2"/>
  <c r="S122" i="2"/>
  <c r="P122" i="2"/>
  <c r="M122" i="2"/>
  <c r="J122" i="2"/>
  <c r="AM121" i="2"/>
  <c r="AJ121" i="2"/>
  <c r="AG121" i="2"/>
  <c r="AC121" i="2"/>
  <c r="Y121" i="2"/>
  <c r="V121" i="2"/>
  <c r="S121" i="2"/>
  <c r="P121" i="2"/>
  <c r="M121" i="2"/>
  <c r="J121" i="2"/>
  <c r="AM120" i="2"/>
  <c r="AJ120" i="2"/>
  <c r="AG120" i="2"/>
  <c r="AC120" i="2"/>
  <c r="Y120" i="2"/>
  <c r="V120" i="2"/>
  <c r="S120" i="2"/>
  <c r="P120" i="2"/>
  <c r="M120" i="2"/>
  <c r="J120" i="2"/>
  <c r="AM119" i="2"/>
  <c r="AJ119" i="2"/>
  <c r="AG119" i="2"/>
  <c r="AC119" i="2"/>
  <c r="Y119" i="2"/>
  <c r="V119" i="2"/>
  <c r="S119" i="2"/>
  <c r="P119" i="2"/>
  <c r="M119" i="2"/>
  <c r="J119" i="2"/>
  <c r="AM118" i="2"/>
  <c r="AJ118" i="2"/>
  <c r="AG118" i="2"/>
  <c r="AC118" i="2"/>
  <c r="Y118" i="2"/>
  <c r="V118" i="2"/>
  <c r="S118" i="2"/>
  <c r="P118" i="2"/>
  <c r="M118" i="2"/>
  <c r="J118" i="2"/>
  <c r="AM117" i="2"/>
  <c r="AJ117" i="2"/>
  <c r="AG117" i="2"/>
  <c r="AC117" i="2"/>
  <c r="Y117" i="2"/>
  <c r="V117" i="2"/>
  <c r="S117" i="2"/>
  <c r="P117" i="2"/>
  <c r="M117" i="2"/>
  <c r="J117" i="2"/>
  <c r="AM115" i="2"/>
  <c r="AJ115" i="2"/>
  <c r="AG115" i="2"/>
  <c r="AC115" i="2"/>
  <c r="Y115" i="2"/>
  <c r="V115" i="2"/>
  <c r="S115" i="2"/>
  <c r="P115" i="2"/>
  <c r="M115" i="2"/>
  <c r="J115" i="2"/>
  <c r="AM114" i="2"/>
  <c r="AJ114" i="2"/>
  <c r="AG114" i="2"/>
  <c r="AC114" i="2"/>
  <c r="Y114" i="2"/>
  <c r="V114" i="2"/>
  <c r="S114" i="2"/>
  <c r="P114" i="2"/>
  <c r="M114" i="2"/>
  <c r="J114" i="2"/>
  <c r="AM113" i="2"/>
  <c r="AJ113" i="2"/>
  <c r="AG113" i="2"/>
  <c r="AC113" i="2"/>
  <c r="Y113" i="2"/>
  <c r="V113" i="2"/>
  <c r="S113" i="2"/>
  <c r="P113" i="2"/>
  <c r="M113" i="2"/>
  <c r="J113" i="2"/>
  <c r="AM112" i="2"/>
  <c r="AJ112" i="2"/>
  <c r="AG112" i="2"/>
  <c r="AC112" i="2"/>
  <c r="Y112" i="2"/>
  <c r="V112" i="2"/>
  <c r="S112" i="2"/>
  <c r="P112" i="2"/>
  <c r="M112" i="2"/>
  <c r="J112" i="2"/>
  <c r="AM111" i="2"/>
  <c r="AJ111" i="2"/>
  <c r="AG111" i="2"/>
  <c r="AC111" i="2"/>
  <c r="Y111" i="2"/>
  <c r="V111" i="2"/>
  <c r="S111" i="2"/>
  <c r="P111" i="2"/>
  <c r="M111" i="2"/>
  <c r="J111" i="2"/>
  <c r="AM110" i="2"/>
  <c r="AJ110" i="2"/>
  <c r="AG110" i="2"/>
  <c r="AC110" i="2"/>
  <c r="Y110" i="2"/>
  <c r="V110" i="2"/>
  <c r="S110" i="2"/>
  <c r="P110" i="2"/>
  <c r="M110" i="2"/>
  <c r="J110" i="2"/>
  <c r="AM109" i="2"/>
  <c r="AJ109" i="2"/>
  <c r="AG109" i="2"/>
  <c r="AC109" i="2"/>
  <c r="Y109" i="2"/>
  <c r="V109" i="2"/>
  <c r="S109" i="2"/>
  <c r="P109" i="2"/>
  <c r="M109" i="2"/>
  <c r="J109" i="2"/>
  <c r="AM107" i="2"/>
  <c r="AJ107" i="2"/>
  <c r="AG107" i="2"/>
  <c r="AC107" i="2"/>
  <c r="Y107" i="2"/>
  <c r="V107" i="2"/>
  <c r="S107" i="2"/>
  <c r="P107" i="2"/>
  <c r="M107" i="2"/>
  <c r="J107" i="2"/>
  <c r="AM106" i="2"/>
  <c r="AJ106" i="2"/>
  <c r="AG106" i="2"/>
  <c r="AC106" i="2"/>
  <c r="Y106" i="2"/>
  <c r="V106" i="2"/>
  <c r="S106" i="2"/>
  <c r="P106" i="2"/>
  <c r="M106" i="2"/>
  <c r="J106" i="2"/>
  <c r="AM105" i="2"/>
  <c r="AJ105" i="2"/>
  <c r="AG105" i="2"/>
  <c r="AC105" i="2"/>
  <c r="Y105" i="2"/>
  <c r="V105" i="2"/>
  <c r="S105" i="2"/>
  <c r="P105" i="2"/>
  <c r="M105" i="2"/>
  <c r="J105" i="2"/>
  <c r="AM104" i="2"/>
  <c r="AJ104" i="2"/>
  <c r="AG104" i="2"/>
  <c r="AC104" i="2"/>
  <c r="Y104" i="2"/>
  <c r="V104" i="2"/>
  <c r="S104" i="2"/>
  <c r="P104" i="2"/>
  <c r="M104" i="2"/>
  <c r="J104" i="2"/>
  <c r="AM103" i="2"/>
  <c r="AJ103" i="2"/>
  <c r="AG103" i="2"/>
  <c r="AC103" i="2"/>
  <c r="Y103" i="2"/>
  <c r="V103" i="2"/>
  <c r="S103" i="2"/>
  <c r="P103" i="2"/>
  <c r="M103" i="2"/>
  <c r="J103" i="2"/>
  <c r="AM102" i="2"/>
  <c r="AJ102" i="2"/>
  <c r="AG102" i="2"/>
  <c r="AC102" i="2"/>
  <c r="Y102" i="2"/>
  <c r="V102" i="2"/>
  <c r="S102" i="2"/>
  <c r="P102" i="2"/>
  <c r="M102" i="2"/>
  <c r="J102" i="2"/>
  <c r="AM101" i="2"/>
  <c r="AJ101" i="2"/>
  <c r="AG101" i="2"/>
  <c r="AC101" i="2"/>
  <c r="Y101" i="2"/>
  <c r="V101" i="2"/>
  <c r="S101" i="2"/>
  <c r="P101" i="2"/>
  <c r="M101" i="2"/>
  <c r="J101" i="2"/>
  <c r="AM99" i="2"/>
  <c r="AJ99" i="2"/>
  <c r="AG99" i="2"/>
  <c r="AC99" i="2"/>
  <c r="Y99" i="2"/>
  <c r="V99" i="2"/>
  <c r="S99" i="2"/>
  <c r="P99" i="2"/>
  <c r="M99" i="2"/>
  <c r="J99" i="2"/>
  <c r="AM98" i="2"/>
  <c r="AJ98" i="2"/>
  <c r="AG98" i="2"/>
  <c r="AC98" i="2"/>
  <c r="Y98" i="2"/>
  <c r="V98" i="2"/>
  <c r="S98" i="2"/>
  <c r="P98" i="2"/>
  <c r="M98" i="2"/>
  <c r="J98" i="2"/>
  <c r="AM97" i="2"/>
  <c r="AJ97" i="2"/>
  <c r="AG97" i="2"/>
  <c r="AC97" i="2"/>
  <c r="Y97" i="2"/>
  <c r="V97" i="2"/>
  <c r="S97" i="2"/>
  <c r="P97" i="2"/>
  <c r="M97" i="2"/>
  <c r="J97" i="2"/>
  <c r="AM96" i="2"/>
  <c r="AJ96" i="2"/>
  <c r="AG96" i="2"/>
  <c r="AC96" i="2"/>
  <c r="Y96" i="2"/>
  <c r="V96" i="2"/>
  <c r="S96" i="2"/>
  <c r="P96" i="2"/>
  <c r="M96" i="2"/>
  <c r="J96" i="2"/>
  <c r="AM95" i="2"/>
  <c r="AJ95" i="2"/>
  <c r="AG95" i="2"/>
  <c r="AC95" i="2"/>
  <c r="Y95" i="2"/>
  <c r="V95" i="2"/>
  <c r="S95" i="2"/>
  <c r="P95" i="2"/>
  <c r="M95" i="2"/>
  <c r="J95" i="2"/>
  <c r="AM94" i="2"/>
  <c r="AJ94" i="2"/>
  <c r="AG94" i="2"/>
  <c r="AC94" i="2"/>
  <c r="Y94" i="2"/>
  <c r="V94" i="2"/>
  <c r="S94" i="2"/>
  <c r="P94" i="2"/>
  <c r="M94" i="2"/>
  <c r="J94" i="2"/>
  <c r="AM93" i="2"/>
  <c r="AJ93" i="2"/>
  <c r="AG93" i="2"/>
  <c r="AC93" i="2"/>
  <c r="Y93" i="2"/>
  <c r="V93" i="2"/>
  <c r="S93" i="2"/>
  <c r="P93" i="2"/>
  <c r="M93" i="2"/>
  <c r="J93" i="2"/>
  <c r="AM91" i="2"/>
  <c r="AJ91" i="2"/>
  <c r="AG91" i="2"/>
  <c r="AC91" i="2"/>
  <c r="Y91" i="2"/>
  <c r="V91" i="2"/>
  <c r="S91" i="2"/>
  <c r="P91" i="2"/>
  <c r="M91" i="2"/>
  <c r="J91" i="2"/>
  <c r="AM90" i="2"/>
  <c r="AJ90" i="2"/>
  <c r="AG90" i="2"/>
  <c r="AC90" i="2"/>
  <c r="Y90" i="2"/>
  <c r="V90" i="2"/>
  <c r="S90" i="2"/>
  <c r="P90" i="2"/>
  <c r="M90" i="2"/>
  <c r="J90" i="2"/>
  <c r="AM89" i="2"/>
  <c r="AJ89" i="2"/>
  <c r="AG89" i="2"/>
  <c r="AC89" i="2"/>
  <c r="Y89" i="2"/>
  <c r="V89" i="2"/>
  <c r="S89" i="2"/>
  <c r="P89" i="2"/>
  <c r="M89" i="2"/>
  <c r="J89" i="2"/>
  <c r="AM88" i="2"/>
  <c r="AJ88" i="2"/>
  <c r="AG88" i="2"/>
  <c r="AC88" i="2"/>
  <c r="Y88" i="2"/>
  <c r="V88" i="2"/>
  <c r="S88" i="2"/>
  <c r="P88" i="2"/>
  <c r="M88" i="2"/>
  <c r="J88" i="2"/>
  <c r="AM87" i="2"/>
  <c r="AJ87" i="2"/>
  <c r="AG87" i="2"/>
  <c r="AC87" i="2"/>
  <c r="Y87" i="2"/>
  <c r="V87" i="2"/>
  <c r="S87" i="2"/>
  <c r="P87" i="2"/>
  <c r="M87" i="2"/>
  <c r="J87" i="2"/>
  <c r="AM86" i="2"/>
  <c r="AJ86" i="2"/>
  <c r="AG86" i="2"/>
  <c r="AC86" i="2"/>
  <c r="Y86" i="2"/>
  <c r="V86" i="2"/>
  <c r="S86" i="2"/>
  <c r="P86" i="2"/>
  <c r="M86" i="2"/>
  <c r="J86" i="2"/>
  <c r="AM85" i="2"/>
  <c r="AJ85" i="2"/>
  <c r="AG85" i="2"/>
  <c r="AC85" i="2"/>
  <c r="Y85" i="2"/>
  <c r="V85" i="2"/>
  <c r="S85" i="2"/>
  <c r="P85" i="2"/>
  <c r="M85" i="2"/>
  <c r="J85" i="2"/>
  <c r="AM83" i="2"/>
  <c r="AJ83" i="2"/>
  <c r="AG83" i="2"/>
  <c r="AC83" i="2"/>
  <c r="Y83" i="2"/>
  <c r="V83" i="2"/>
  <c r="S83" i="2"/>
  <c r="P83" i="2"/>
  <c r="M83" i="2"/>
  <c r="J83" i="2"/>
  <c r="AM82" i="2"/>
  <c r="AJ82" i="2"/>
  <c r="AG82" i="2"/>
  <c r="AC82" i="2"/>
  <c r="Y82" i="2"/>
  <c r="V82" i="2"/>
  <c r="S82" i="2"/>
  <c r="P82" i="2"/>
  <c r="M82" i="2"/>
  <c r="J82" i="2"/>
  <c r="AM81" i="2"/>
  <c r="AJ81" i="2"/>
  <c r="AG81" i="2"/>
  <c r="AC81" i="2"/>
  <c r="Y81" i="2"/>
  <c r="V81" i="2"/>
  <c r="S81" i="2"/>
  <c r="P81" i="2"/>
  <c r="M81" i="2"/>
  <c r="J81" i="2"/>
  <c r="AM80" i="2"/>
  <c r="AJ80" i="2"/>
  <c r="AG80" i="2"/>
  <c r="AC80" i="2"/>
  <c r="Y80" i="2"/>
  <c r="V80" i="2"/>
  <c r="S80" i="2"/>
  <c r="P80" i="2"/>
  <c r="M80" i="2"/>
  <c r="J80" i="2"/>
  <c r="AM79" i="2"/>
  <c r="AJ79" i="2"/>
  <c r="AG79" i="2"/>
  <c r="AC79" i="2"/>
  <c r="Y79" i="2"/>
  <c r="V79" i="2"/>
  <c r="S79" i="2"/>
  <c r="P79" i="2"/>
  <c r="M79" i="2"/>
  <c r="J79" i="2"/>
  <c r="AM78" i="2"/>
  <c r="AJ78" i="2"/>
  <c r="AG78" i="2"/>
  <c r="AC78" i="2"/>
  <c r="Y78" i="2"/>
  <c r="V78" i="2"/>
  <c r="S78" i="2"/>
  <c r="P78" i="2"/>
  <c r="M78" i="2"/>
  <c r="J78" i="2"/>
  <c r="AM77" i="2"/>
  <c r="AJ77" i="2"/>
  <c r="AG77" i="2"/>
  <c r="AC77" i="2"/>
  <c r="Y77" i="2"/>
  <c r="V77" i="2"/>
  <c r="S77" i="2"/>
  <c r="P77" i="2"/>
  <c r="M77" i="2"/>
  <c r="J77" i="2"/>
  <c r="AM75" i="2"/>
  <c r="AJ75" i="2"/>
  <c r="AG75" i="2"/>
  <c r="AC75" i="2"/>
  <c r="Y75" i="2"/>
  <c r="V75" i="2"/>
  <c r="S75" i="2"/>
  <c r="P75" i="2"/>
  <c r="M75" i="2"/>
  <c r="J75" i="2"/>
  <c r="AM74" i="2"/>
  <c r="AJ74" i="2"/>
  <c r="AG74" i="2"/>
  <c r="AC74" i="2"/>
  <c r="Y74" i="2"/>
  <c r="V74" i="2"/>
  <c r="S74" i="2"/>
  <c r="P74" i="2"/>
  <c r="M74" i="2"/>
  <c r="J74" i="2"/>
  <c r="AM73" i="2"/>
  <c r="AJ73" i="2"/>
  <c r="AG73" i="2"/>
  <c r="AC73" i="2"/>
  <c r="Y73" i="2"/>
  <c r="V73" i="2"/>
  <c r="S73" i="2"/>
  <c r="P73" i="2"/>
  <c r="M73" i="2"/>
  <c r="J73" i="2"/>
  <c r="AM72" i="2"/>
  <c r="AJ72" i="2"/>
  <c r="AG72" i="2"/>
  <c r="AC72" i="2"/>
  <c r="Y72" i="2"/>
  <c r="V72" i="2"/>
  <c r="S72" i="2"/>
  <c r="P72" i="2"/>
  <c r="M72" i="2"/>
  <c r="J72" i="2"/>
  <c r="AM71" i="2"/>
  <c r="AJ71" i="2"/>
  <c r="AG71" i="2"/>
  <c r="AC71" i="2"/>
  <c r="Y71" i="2"/>
  <c r="V71" i="2"/>
  <c r="S71" i="2"/>
  <c r="P71" i="2"/>
  <c r="M71" i="2"/>
  <c r="J71" i="2"/>
  <c r="AM70" i="2"/>
  <c r="AJ70" i="2"/>
  <c r="AG70" i="2"/>
  <c r="AC70" i="2"/>
  <c r="Y70" i="2"/>
  <c r="V70" i="2"/>
  <c r="S70" i="2"/>
  <c r="P70" i="2"/>
  <c r="M70" i="2"/>
  <c r="J70" i="2"/>
  <c r="AM69" i="2"/>
  <c r="AJ69" i="2"/>
  <c r="AG69" i="2"/>
  <c r="AC69" i="2"/>
  <c r="Y69" i="2"/>
  <c r="V69" i="2"/>
  <c r="S69" i="2"/>
  <c r="P69" i="2"/>
  <c r="M69" i="2"/>
  <c r="J69" i="2"/>
  <c r="AM67" i="2"/>
  <c r="AJ67" i="2"/>
  <c r="AG67" i="2"/>
  <c r="AC67" i="2"/>
  <c r="Y67" i="2"/>
  <c r="V67" i="2"/>
  <c r="S67" i="2"/>
  <c r="P67" i="2"/>
  <c r="M67" i="2"/>
  <c r="J67" i="2"/>
  <c r="AM66" i="2"/>
  <c r="AJ66" i="2"/>
  <c r="AG66" i="2"/>
  <c r="AC66" i="2"/>
  <c r="Y66" i="2"/>
  <c r="V66" i="2"/>
  <c r="S66" i="2"/>
  <c r="P66" i="2"/>
  <c r="M66" i="2"/>
  <c r="J66" i="2"/>
  <c r="AM65" i="2"/>
  <c r="AJ65" i="2"/>
  <c r="AG65" i="2"/>
  <c r="AC65" i="2"/>
  <c r="Y65" i="2"/>
  <c r="V65" i="2"/>
  <c r="S65" i="2"/>
  <c r="P65" i="2"/>
  <c r="M65" i="2"/>
  <c r="J65" i="2"/>
  <c r="AM64" i="2"/>
  <c r="AJ64" i="2"/>
  <c r="AG64" i="2"/>
  <c r="AC64" i="2"/>
  <c r="Y64" i="2"/>
  <c r="V64" i="2"/>
  <c r="S64" i="2"/>
  <c r="P64" i="2"/>
  <c r="M64" i="2"/>
  <c r="J64" i="2"/>
  <c r="AM63" i="2"/>
  <c r="AJ63" i="2"/>
  <c r="AG63" i="2"/>
  <c r="AC63" i="2"/>
  <c r="Y63" i="2"/>
  <c r="V63" i="2"/>
  <c r="S63" i="2"/>
  <c r="P63" i="2"/>
  <c r="M63" i="2"/>
  <c r="J63" i="2"/>
  <c r="AM62" i="2"/>
  <c r="AJ62" i="2"/>
  <c r="AG62" i="2"/>
  <c r="AC62" i="2"/>
  <c r="Y62" i="2"/>
  <c r="V62" i="2"/>
  <c r="S62" i="2"/>
  <c r="P62" i="2"/>
  <c r="M62" i="2"/>
  <c r="J62" i="2"/>
  <c r="AM61" i="2"/>
  <c r="AJ61" i="2"/>
  <c r="AG61" i="2"/>
  <c r="AC61" i="2"/>
  <c r="Y61" i="2"/>
  <c r="V61" i="2"/>
  <c r="S61" i="2"/>
  <c r="P61" i="2"/>
  <c r="M61" i="2"/>
  <c r="J61" i="2"/>
  <c r="AM59" i="2"/>
  <c r="AJ59" i="2"/>
  <c r="AG59" i="2"/>
  <c r="AC59" i="2"/>
  <c r="Y59" i="2"/>
  <c r="V59" i="2"/>
  <c r="S59" i="2"/>
  <c r="P59" i="2"/>
  <c r="M59" i="2"/>
  <c r="J59" i="2"/>
  <c r="AM58" i="2"/>
  <c r="AJ58" i="2"/>
  <c r="AG58" i="2"/>
  <c r="AC58" i="2"/>
  <c r="Y58" i="2"/>
  <c r="V58" i="2"/>
  <c r="S58" i="2"/>
  <c r="P58" i="2"/>
  <c r="M58" i="2"/>
  <c r="J58" i="2"/>
  <c r="AM57" i="2"/>
  <c r="AJ57" i="2"/>
  <c r="AG57" i="2"/>
  <c r="AC57" i="2"/>
  <c r="Y57" i="2"/>
  <c r="V57" i="2"/>
  <c r="S57" i="2"/>
  <c r="P57" i="2"/>
  <c r="M57" i="2"/>
  <c r="J57" i="2"/>
  <c r="AM56" i="2"/>
  <c r="AJ56" i="2"/>
  <c r="AG56" i="2"/>
  <c r="AC56" i="2"/>
  <c r="Y56" i="2"/>
  <c r="V56" i="2"/>
  <c r="S56" i="2"/>
  <c r="P56" i="2"/>
  <c r="M56" i="2"/>
  <c r="J56" i="2"/>
  <c r="AM55" i="2"/>
  <c r="AJ55" i="2"/>
  <c r="AG55" i="2"/>
  <c r="AC55" i="2"/>
  <c r="Y55" i="2"/>
  <c r="V55" i="2"/>
  <c r="S55" i="2"/>
  <c r="P55" i="2"/>
  <c r="M55" i="2"/>
  <c r="J55" i="2"/>
  <c r="AM54" i="2"/>
  <c r="AJ54" i="2"/>
  <c r="AG54" i="2"/>
  <c r="AC54" i="2"/>
  <c r="Y54" i="2"/>
  <c r="V54" i="2"/>
  <c r="S54" i="2"/>
  <c r="P54" i="2"/>
  <c r="M54" i="2"/>
  <c r="J54" i="2"/>
  <c r="AM53" i="2"/>
  <c r="AJ53" i="2"/>
  <c r="AG53" i="2"/>
  <c r="AC53" i="2"/>
  <c r="Y53" i="2"/>
  <c r="V53" i="2"/>
  <c r="S53" i="2"/>
  <c r="P53" i="2"/>
  <c r="M53" i="2"/>
  <c r="J53" i="2"/>
  <c r="AM43" i="2"/>
  <c r="AJ43" i="2"/>
  <c r="AG43" i="2"/>
  <c r="AC43" i="2"/>
  <c r="Y43" i="2"/>
  <c r="V43" i="2"/>
  <c r="S43" i="2"/>
  <c r="P43" i="2"/>
  <c r="M43" i="2"/>
  <c r="J43" i="2"/>
  <c r="AM42" i="2"/>
  <c r="AJ42" i="2"/>
  <c r="AG42" i="2"/>
  <c r="AC42" i="2"/>
  <c r="Y42" i="2"/>
  <c r="V42" i="2"/>
  <c r="S42" i="2"/>
  <c r="P42" i="2"/>
  <c r="M42" i="2"/>
  <c r="J42" i="2"/>
  <c r="AM41" i="2"/>
  <c r="AJ41" i="2"/>
  <c r="AG41" i="2"/>
  <c r="AC41" i="2"/>
  <c r="Y41" i="2"/>
  <c r="V41" i="2"/>
  <c r="S41" i="2"/>
  <c r="P41" i="2"/>
  <c r="M41" i="2"/>
  <c r="J41" i="2"/>
  <c r="AM40" i="2"/>
  <c r="AJ40" i="2"/>
  <c r="AG40" i="2"/>
  <c r="AC40" i="2"/>
  <c r="Y40" i="2"/>
  <c r="V40" i="2"/>
  <c r="S40" i="2"/>
  <c r="P40" i="2"/>
  <c r="M40" i="2"/>
  <c r="J40" i="2"/>
  <c r="AM39" i="2"/>
  <c r="AJ39" i="2"/>
  <c r="AG39" i="2"/>
  <c r="AC39" i="2"/>
  <c r="Y39" i="2"/>
  <c r="V39" i="2"/>
  <c r="S39" i="2"/>
  <c r="P39" i="2"/>
  <c r="M39" i="2"/>
  <c r="J39" i="2"/>
  <c r="AM38" i="2"/>
  <c r="AJ38" i="2"/>
  <c r="AG38" i="2"/>
  <c r="AC38" i="2"/>
  <c r="Y38" i="2"/>
  <c r="V38" i="2"/>
  <c r="S38" i="2"/>
  <c r="P38" i="2"/>
  <c r="M38" i="2"/>
  <c r="J38" i="2"/>
  <c r="AM37" i="2"/>
  <c r="AJ37" i="2"/>
  <c r="AG37" i="2"/>
  <c r="AC37" i="2"/>
  <c r="Y37" i="2"/>
  <c r="V37" i="2"/>
  <c r="S37" i="2"/>
  <c r="P37" i="2"/>
  <c r="M37" i="2"/>
  <c r="J37" i="2"/>
  <c r="AM35" i="2"/>
  <c r="AJ35" i="2"/>
  <c r="AG35" i="2"/>
  <c r="AC35" i="2"/>
  <c r="Y35" i="2"/>
  <c r="V35" i="2"/>
  <c r="S35" i="2"/>
  <c r="P35" i="2"/>
  <c r="M35" i="2"/>
  <c r="J35" i="2"/>
  <c r="AM34" i="2"/>
  <c r="AJ34" i="2"/>
  <c r="AG34" i="2"/>
  <c r="AC34" i="2"/>
  <c r="Y34" i="2"/>
  <c r="V34" i="2"/>
  <c r="S34" i="2"/>
  <c r="P34" i="2"/>
  <c r="M34" i="2"/>
  <c r="J34" i="2"/>
  <c r="AM33" i="2"/>
  <c r="AJ33" i="2"/>
  <c r="AG33" i="2"/>
  <c r="AC33" i="2"/>
  <c r="Y33" i="2"/>
  <c r="V33" i="2"/>
  <c r="S33" i="2"/>
  <c r="P33" i="2"/>
  <c r="M33" i="2"/>
  <c r="J33" i="2"/>
  <c r="AM32" i="2"/>
  <c r="AJ32" i="2"/>
  <c r="AG32" i="2"/>
  <c r="AC32" i="2"/>
  <c r="Y32" i="2"/>
  <c r="V32" i="2"/>
  <c r="S32" i="2"/>
  <c r="P32" i="2"/>
  <c r="M32" i="2"/>
  <c r="J32" i="2"/>
  <c r="AM31" i="2"/>
  <c r="AJ31" i="2"/>
  <c r="AG31" i="2"/>
  <c r="AC31" i="2"/>
  <c r="Y31" i="2"/>
  <c r="V31" i="2"/>
  <c r="S31" i="2"/>
  <c r="P31" i="2"/>
  <c r="M31" i="2"/>
  <c r="J31" i="2"/>
  <c r="AM30" i="2"/>
  <c r="AJ30" i="2"/>
  <c r="AG30" i="2"/>
  <c r="AC30" i="2"/>
  <c r="Y30" i="2"/>
  <c r="V30" i="2"/>
  <c r="S30" i="2"/>
  <c r="P30" i="2"/>
  <c r="M30" i="2"/>
  <c r="J30" i="2"/>
  <c r="AM29" i="2"/>
  <c r="AJ29" i="2"/>
  <c r="AG29" i="2"/>
  <c r="AC29" i="2"/>
  <c r="Y29" i="2"/>
  <c r="V29" i="2"/>
  <c r="S29" i="2"/>
  <c r="P29" i="2"/>
  <c r="M29" i="2"/>
  <c r="J29" i="2"/>
  <c r="AM27" i="2"/>
  <c r="AJ27" i="2"/>
  <c r="AG27" i="2"/>
  <c r="AC27" i="2"/>
  <c r="Y27" i="2"/>
  <c r="V27" i="2"/>
  <c r="S27" i="2"/>
  <c r="P27" i="2"/>
  <c r="M27" i="2"/>
  <c r="J27" i="2"/>
  <c r="AM26" i="2"/>
  <c r="AJ26" i="2"/>
  <c r="AG26" i="2"/>
  <c r="AC26" i="2"/>
  <c r="Y26" i="2"/>
  <c r="V26" i="2"/>
  <c r="S26" i="2"/>
  <c r="P26" i="2"/>
  <c r="M26" i="2"/>
  <c r="J26" i="2"/>
  <c r="V25" i="2"/>
  <c r="V24" i="2"/>
  <c r="V23" i="2"/>
  <c r="V22" i="2"/>
  <c r="V21" i="2"/>
  <c r="S25" i="2"/>
  <c r="S24" i="2"/>
  <c r="S23" i="2"/>
  <c r="S22" i="2"/>
  <c r="S21" i="2"/>
  <c r="J332" i="9" l="1"/>
  <c r="H59" i="10" s="1"/>
  <c r="J340" i="9"/>
  <c r="H60" i="10" s="1"/>
  <c r="J412" i="9"/>
  <c r="H69" i="10" s="1"/>
  <c r="J532" i="9"/>
  <c r="H84" i="10" s="1"/>
  <c r="P748" i="9"/>
  <c r="J111" i="10" s="1"/>
  <c r="M340" i="9"/>
  <c r="I60" i="10" s="1"/>
  <c r="S356" i="9"/>
  <c r="K62" i="10" s="1"/>
  <c r="Y388" i="9"/>
  <c r="M66" i="10" s="1"/>
  <c r="J52" i="9"/>
  <c r="H24" i="10" s="1"/>
  <c r="P76" i="9"/>
  <c r="J27" i="10" s="1"/>
  <c r="J132" i="9"/>
  <c r="H34" i="10" s="1"/>
  <c r="P156" i="9"/>
  <c r="J37" i="10" s="1"/>
  <c r="J196" i="9"/>
  <c r="H42" i="10" s="1"/>
  <c r="J204" i="9"/>
  <c r="H43" i="10" s="1"/>
  <c r="P220" i="9"/>
  <c r="J45" i="10" s="1"/>
  <c r="M52" i="9"/>
  <c r="I24" i="10" s="1"/>
  <c r="M60" i="9"/>
  <c r="I25" i="10" s="1"/>
  <c r="M140" i="9"/>
  <c r="I35" i="10" s="1"/>
  <c r="Y180" i="9"/>
  <c r="M40" i="10" s="1"/>
  <c r="J700" i="9"/>
  <c r="H105" i="10" s="1"/>
  <c r="S468" i="9"/>
  <c r="K76" i="10" s="1"/>
  <c r="Y556" i="9"/>
  <c r="M87" i="10" s="1"/>
  <c r="S660" i="9"/>
  <c r="K100" i="10" s="1"/>
  <c r="Y684" i="9"/>
  <c r="M103" i="10" s="1"/>
  <c r="M708" i="9"/>
  <c r="I106" i="10" s="1"/>
  <c r="V52" i="9"/>
  <c r="L24" i="10" s="1"/>
  <c r="V332" i="9"/>
  <c r="L59" i="10" s="1"/>
  <c r="P380" i="9"/>
  <c r="J65" i="10" s="1"/>
  <c r="V532" i="9"/>
  <c r="L84" i="10" s="1"/>
  <c r="V540" i="9"/>
  <c r="L85" i="10" s="1"/>
  <c r="J748" i="9"/>
  <c r="H111" i="10" s="1"/>
  <c r="S28" i="9"/>
  <c r="K21" i="10" s="1"/>
  <c r="Y52" i="9"/>
  <c r="M24" i="10" s="1"/>
  <c r="Y60" i="9"/>
  <c r="M25" i="10" s="1"/>
  <c r="S92" i="9"/>
  <c r="K29" i="10" s="1"/>
  <c r="Y132" i="9"/>
  <c r="M34" i="10" s="1"/>
  <c r="Y140" i="9"/>
  <c r="M35" i="10" s="1"/>
  <c r="M220" i="9"/>
  <c r="I45" i="10" s="1"/>
  <c r="S308" i="9"/>
  <c r="K56" i="10" s="1"/>
  <c r="Y340" i="9"/>
  <c r="M60" i="10" s="1"/>
  <c r="M348" i="9"/>
  <c r="I61" i="10" s="1"/>
  <c r="S380" i="9"/>
  <c r="K65" i="10" s="1"/>
  <c r="S388" i="9"/>
  <c r="K66" i="10" s="1"/>
  <c r="V132" i="9"/>
  <c r="L34" i="10" s="1"/>
  <c r="P676" i="9"/>
  <c r="J102" i="10" s="1"/>
  <c r="V700" i="9"/>
  <c r="L105" i="10" s="1"/>
  <c r="V196" i="9"/>
  <c r="L42" i="10" s="1"/>
  <c r="M468" i="9"/>
  <c r="I76" i="10" s="1"/>
  <c r="S548" i="9"/>
  <c r="K86" i="10" s="1"/>
  <c r="P44" i="9"/>
  <c r="J23" i="10" s="1"/>
  <c r="J84" i="9"/>
  <c r="H28" i="10" s="1"/>
  <c r="P108" i="9"/>
  <c r="J31" i="10" s="1"/>
  <c r="P132" i="9"/>
  <c r="J34" i="10" s="1"/>
  <c r="J164" i="9"/>
  <c r="H38" i="10" s="1"/>
  <c r="P188" i="9"/>
  <c r="J41" i="10" s="1"/>
  <c r="V212" i="9"/>
  <c r="L44" i="10" s="1"/>
  <c r="P332" i="9"/>
  <c r="J59" i="10" s="1"/>
  <c r="J372" i="9"/>
  <c r="H64" i="10" s="1"/>
  <c r="J380" i="9"/>
  <c r="H65" i="10" s="1"/>
  <c r="J436" i="9"/>
  <c r="H72" i="10" s="1"/>
  <c r="J756" i="9"/>
  <c r="H112" i="10" s="1"/>
  <c r="M28" i="9"/>
  <c r="I21" i="10" s="1"/>
  <c r="M84" i="9"/>
  <c r="I28" i="10" s="1"/>
  <c r="M92" i="9"/>
  <c r="I29" i="10" s="1"/>
  <c r="M164" i="9"/>
  <c r="I38" i="10" s="1"/>
  <c r="S188" i="9"/>
  <c r="K41" i="10" s="1"/>
  <c r="M260" i="9"/>
  <c r="I50" i="10" s="1"/>
  <c r="S284" i="9"/>
  <c r="K53" i="10" s="1"/>
  <c r="M308" i="9"/>
  <c r="I56" i="10" s="1"/>
  <c r="S324" i="9"/>
  <c r="K58" i="10" s="1"/>
  <c r="Y348" i="9"/>
  <c r="M61" i="10" s="1"/>
  <c r="M380" i="9"/>
  <c r="I65" i="10" s="1"/>
  <c r="S396" i="9"/>
  <c r="K67" i="10" s="1"/>
  <c r="S460" i="9"/>
  <c r="K75" i="10" s="1"/>
  <c r="J676" i="9"/>
  <c r="H102" i="10" s="1"/>
  <c r="Y468" i="9"/>
  <c r="M76" i="10" s="1"/>
  <c r="V84" i="9"/>
  <c r="L28" i="10" s="1"/>
  <c r="V164" i="9"/>
  <c r="L38" i="10" s="1"/>
  <c r="P204" i="9"/>
  <c r="J43" i="10" s="1"/>
  <c r="P340" i="9"/>
  <c r="J60" i="10" s="1"/>
  <c r="V372" i="9"/>
  <c r="L64" i="10" s="1"/>
  <c r="V380" i="9"/>
  <c r="L65" i="10" s="1"/>
  <c r="P412" i="9"/>
  <c r="J69" i="10" s="1"/>
  <c r="V436" i="9"/>
  <c r="L72" i="10" s="1"/>
  <c r="P732" i="9"/>
  <c r="J109" i="10" s="1"/>
  <c r="V756" i="9"/>
  <c r="L112" i="10" s="1"/>
  <c r="Y28" i="9"/>
  <c r="M21" i="10" s="1"/>
  <c r="S60" i="9"/>
  <c r="K25" i="10" s="1"/>
  <c r="Y84" i="9"/>
  <c r="M28" i="10" s="1"/>
  <c r="Y92" i="9"/>
  <c r="M29" i="10" s="1"/>
  <c r="S140" i="9"/>
  <c r="K35" i="10" s="1"/>
  <c r="Y164" i="9"/>
  <c r="M38" i="10" s="1"/>
  <c r="M180" i="9"/>
  <c r="I40" i="10" s="1"/>
  <c r="Y308" i="9"/>
  <c r="M56" i="10" s="1"/>
  <c r="S340" i="9"/>
  <c r="K60" i="10" s="1"/>
  <c r="Y380" i="9"/>
  <c r="M65" i="10" s="1"/>
  <c r="M388" i="9"/>
  <c r="I66" i="10" s="1"/>
  <c r="P708" i="9"/>
  <c r="J106" i="10" s="1"/>
  <c r="Y484" i="9"/>
  <c r="M78" i="10" s="1"/>
  <c r="M556" i="9"/>
  <c r="I87" i="10" s="1"/>
  <c r="M564" i="9"/>
  <c r="I88" i="10" s="1"/>
  <c r="Y668" i="9"/>
  <c r="M101" i="10" s="1"/>
  <c r="M684" i="9"/>
  <c r="I103" i="10" s="1"/>
  <c r="S708" i="9"/>
  <c r="K106" i="10" s="1"/>
  <c r="P196" i="9"/>
  <c r="J42" i="10" s="1"/>
  <c r="C29" i="2"/>
  <c r="Y268" i="9"/>
  <c r="M51" i="10" s="1"/>
  <c r="M284" i="9"/>
  <c r="I53" i="10" s="1"/>
  <c r="Y284" i="9"/>
  <c r="M53" i="10" s="1"/>
  <c r="P292" i="9"/>
  <c r="J54" i="10" s="1"/>
  <c r="P300" i="9"/>
  <c r="J55" i="10" s="1"/>
  <c r="P316" i="9"/>
  <c r="J57" i="10" s="1"/>
  <c r="J316" i="9"/>
  <c r="H57" i="10" s="1"/>
  <c r="S492" i="9"/>
  <c r="K79" i="10" s="1"/>
  <c r="Y500" i="9"/>
  <c r="M80" i="10" s="1"/>
  <c r="S508" i="9"/>
  <c r="K81" i="10" s="1"/>
  <c r="M508" i="9"/>
  <c r="I81" i="10" s="1"/>
  <c r="Y508" i="9"/>
  <c r="M81" i="10" s="1"/>
  <c r="M516" i="9"/>
  <c r="I82" i="10" s="1"/>
  <c r="Y516" i="9"/>
  <c r="M82" i="10" s="1"/>
  <c r="S524" i="9"/>
  <c r="K83" i="10" s="1"/>
  <c r="Y532" i="9"/>
  <c r="M84" i="10" s="1"/>
  <c r="S540" i="9"/>
  <c r="K85" i="10" s="1"/>
  <c r="M540" i="9"/>
  <c r="I85" i="10" s="1"/>
  <c r="Y540" i="9"/>
  <c r="M85" i="10" s="1"/>
  <c r="Y548" i="9"/>
  <c r="M86" i="10" s="1"/>
  <c r="S556" i="9"/>
  <c r="K87" i="10" s="1"/>
  <c r="P636" i="9"/>
  <c r="J97" i="10" s="1"/>
  <c r="J660" i="9"/>
  <c r="H100" i="10" s="1"/>
  <c r="V660" i="9"/>
  <c r="L100" i="10" s="1"/>
  <c r="S196" i="9"/>
  <c r="K42" i="10" s="1"/>
  <c r="M196" i="9"/>
  <c r="I42" i="10" s="1"/>
  <c r="Y196" i="9"/>
  <c r="M42" i="10" s="1"/>
  <c r="P228" i="9"/>
  <c r="J46" i="10" s="1"/>
  <c r="J228" i="9"/>
  <c r="H46" i="10" s="1"/>
  <c r="P268" i="9"/>
  <c r="J51" i="10" s="1"/>
  <c r="J268" i="9"/>
  <c r="H51" i="10" s="1"/>
  <c r="S292" i="9"/>
  <c r="K54" i="10" s="1"/>
  <c r="M292" i="9"/>
  <c r="I54" i="10" s="1"/>
  <c r="S404" i="9"/>
  <c r="K68" i="10" s="1"/>
  <c r="M404" i="9"/>
  <c r="I68" i="10" s="1"/>
  <c r="Y404" i="9"/>
  <c r="M68" i="10" s="1"/>
  <c r="M460" i="9"/>
  <c r="I75" i="10" s="1"/>
  <c r="Y460" i="9"/>
  <c r="M75" i="10" s="1"/>
  <c r="P484" i="9"/>
  <c r="J78" i="10" s="1"/>
  <c r="J484" i="9"/>
  <c r="H78" i="10" s="1"/>
  <c r="V484" i="9"/>
  <c r="L78" i="10" s="1"/>
  <c r="J492" i="9"/>
  <c r="H79" i="10" s="1"/>
  <c r="V492" i="9"/>
  <c r="L79" i="10" s="1"/>
  <c r="P492" i="9"/>
  <c r="J79" i="10" s="1"/>
  <c r="P564" i="9"/>
  <c r="J88" i="10" s="1"/>
  <c r="S652" i="9"/>
  <c r="K99" i="10" s="1"/>
  <c r="M660" i="9"/>
  <c r="I100" i="10" s="1"/>
  <c r="S716" i="9"/>
  <c r="K107" i="10" s="1"/>
  <c r="M724" i="9"/>
  <c r="I108" i="10" s="1"/>
  <c r="Y724" i="9"/>
  <c r="M108" i="10" s="1"/>
  <c r="J708" i="9"/>
  <c r="H106" i="10" s="1"/>
  <c r="V708" i="9"/>
  <c r="L106" i="10" s="1"/>
  <c r="J212" i="9"/>
  <c r="H44" i="10" s="1"/>
  <c r="V28" i="9"/>
  <c r="L21" i="10" s="1"/>
  <c r="J36" i="9"/>
  <c r="H22" i="10" s="1"/>
  <c r="J60" i="9"/>
  <c r="H25" i="10" s="1"/>
  <c r="V60" i="9"/>
  <c r="L25" i="10" s="1"/>
  <c r="P68" i="9"/>
  <c r="J26" i="10" s="1"/>
  <c r="J68" i="9"/>
  <c r="H26" i="10" s="1"/>
  <c r="V68" i="9"/>
  <c r="L26" i="10" s="1"/>
  <c r="J92" i="9"/>
  <c r="H29" i="10" s="1"/>
  <c r="V92" i="9"/>
  <c r="L29" i="10" s="1"/>
  <c r="J140" i="9"/>
  <c r="H35" i="10" s="1"/>
  <c r="V140" i="9"/>
  <c r="L35" i="10" s="1"/>
  <c r="P148" i="9"/>
  <c r="J36" i="10" s="1"/>
  <c r="J148" i="9"/>
  <c r="H36" i="10" s="1"/>
  <c r="V172" i="9"/>
  <c r="L39" i="10" s="1"/>
  <c r="P180" i="9"/>
  <c r="J40" i="10" s="1"/>
  <c r="J188" i="9"/>
  <c r="H41" i="10" s="1"/>
  <c r="S204" i="9"/>
  <c r="K43" i="10" s="1"/>
  <c r="M212" i="9"/>
  <c r="I44" i="10" s="1"/>
  <c r="Y212" i="9"/>
  <c r="M44" i="10" s="1"/>
  <c r="S212" i="9"/>
  <c r="K44" i="10" s="1"/>
  <c r="S220" i="9"/>
  <c r="K45" i="10" s="1"/>
  <c r="P260" i="9"/>
  <c r="J50" i="10" s="1"/>
  <c r="S268" i="9"/>
  <c r="K51" i="10" s="1"/>
  <c r="M268" i="9"/>
  <c r="I51" i="10" s="1"/>
  <c r="M276" i="9"/>
  <c r="I52" i="10" s="1"/>
  <c r="Y276" i="9"/>
  <c r="M52" i="10" s="1"/>
  <c r="S276" i="9"/>
  <c r="K52" i="10" s="1"/>
  <c r="S300" i="9"/>
  <c r="K55" i="10" s="1"/>
  <c r="M324" i="9"/>
  <c r="I58" i="10" s="1"/>
  <c r="Y324" i="9"/>
  <c r="M58" i="10" s="1"/>
  <c r="P348" i="9"/>
  <c r="J61" i="10" s="1"/>
  <c r="J348" i="9"/>
  <c r="H61" i="10" s="1"/>
  <c r="V348" i="9"/>
  <c r="L61" i="10" s="1"/>
  <c r="J356" i="9"/>
  <c r="H62" i="10" s="1"/>
  <c r="V356" i="9"/>
  <c r="L62" i="10" s="1"/>
  <c r="P388" i="9"/>
  <c r="J66" i="10" s="1"/>
  <c r="J388" i="9"/>
  <c r="H66" i="10" s="1"/>
  <c r="J396" i="9"/>
  <c r="H67" i="10" s="1"/>
  <c r="V396" i="9"/>
  <c r="L67" i="10" s="1"/>
  <c r="P396" i="9"/>
  <c r="J67" i="10" s="1"/>
  <c r="M420" i="9"/>
  <c r="I70" i="10" s="1"/>
  <c r="Y420" i="9"/>
  <c r="M70" i="10" s="1"/>
  <c r="S428" i="9"/>
  <c r="K71" i="10" s="1"/>
  <c r="S444" i="9"/>
  <c r="K73" i="10" s="1"/>
  <c r="M444" i="9"/>
  <c r="I73" i="10" s="1"/>
  <c r="Y444" i="9"/>
  <c r="M73" i="10" s="1"/>
  <c r="P476" i="9"/>
  <c r="J77" i="10" s="1"/>
  <c r="J476" i="9"/>
  <c r="H77" i="10" s="1"/>
  <c r="V476" i="9"/>
  <c r="L77" i="10" s="1"/>
  <c r="P500" i="9"/>
  <c r="J80" i="10" s="1"/>
  <c r="J508" i="9"/>
  <c r="H81" i="10" s="1"/>
  <c r="V508" i="9"/>
  <c r="L81" i="10" s="1"/>
  <c r="P508" i="9"/>
  <c r="J81" i="10" s="1"/>
  <c r="P532" i="9"/>
  <c r="J84" i="10" s="1"/>
  <c r="M548" i="9"/>
  <c r="I86" i="10" s="1"/>
  <c r="S564" i="9"/>
  <c r="K88" i="10" s="1"/>
  <c r="P644" i="9"/>
  <c r="J98" i="10" s="1"/>
  <c r="J644" i="9"/>
  <c r="H98" i="10" s="1"/>
  <c r="P668" i="9"/>
  <c r="J101" i="10" s="1"/>
  <c r="J692" i="9"/>
  <c r="H104" i="10" s="1"/>
  <c r="V692" i="9"/>
  <c r="L104" i="10" s="1"/>
  <c r="P700" i="9"/>
  <c r="J105" i="10" s="1"/>
  <c r="M716" i="9"/>
  <c r="I107" i="10" s="1"/>
  <c r="Y716" i="9"/>
  <c r="M107" i="10" s="1"/>
  <c r="J732" i="9"/>
  <c r="H109" i="10" s="1"/>
  <c r="V732" i="9"/>
  <c r="L109" i="10" s="1"/>
  <c r="P740" i="9"/>
  <c r="J110" i="10" s="1"/>
  <c r="M132" i="9"/>
  <c r="I34" i="10" s="1"/>
  <c r="J28" i="9"/>
  <c r="P36" i="9"/>
  <c r="J22" i="10" s="1"/>
  <c r="S36" i="9"/>
  <c r="K22" i="10" s="1"/>
  <c r="M44" i="9"/>
  <c r="I23" i="10" s="1"/>
  <c r="Y44" i="9"/>
  <c r="M23" i="10" s="1"/>
  <c r="S68" i="9"/>
  <c r="K26" i="10" s="1"/>
  <c r="M76" i="9"/>
  <c r="I27" i="10" s="1"/>
  <c r="Y76" i="9"/>
  <c r="M27" i="10" s="1"/>
  <c r="M108" i="9"/>
  <c r="I31" i="10" s="1"/>
  <c r="Y108" i="9"/>
  <c r="M31" i="10" s="1"/>
  <c r="S148" i="9"/>
  <c r="K36" i="10" s="1"/>
  <c r="M156" i="9"/>
  <c r="I37" i="10" s="1"/>
  <c r="Y156" i="9"/>
  <c r="M37" i="10" s="1"/>
  <c r="M172" i="9"/>
  <c r="I39" i="10" s="1"/>
  <c r="Y172" i="9"/>
  <c r="M39" i="10" s="1"/>
  <c r="S180" i="9"/>
  <c r="K40" i="10" s="1"/>
  <c r="M188" i="9"/>
  <c r="I41" i="10" s="1"/>
  <c r="J220" i="9"/>
  <c r="H45" i="10" s="1"/>
  <c r="V220" i="9"/>
  <c r="L45" i="10" s="1"/>
  <c r="S260" i="9"/>
  <c r="K50" i="10" s="1"/>
  <c r="P276" i="9"/>
  <c r="J52" i="10" s="1"/>
  <c r="J276" i="9"/>
  <c r="H52" i="10" s="1"/>
  <c r="J284" i="9"/>
  <c r="H53" i="10" s="1"/>
  <c r="V284" i="9"/>
  <c r="L53" i="10" s="1"/>
  <c r="P284" i="9"/>
  <c r="J53" i="10" s="1"/>
  <c r="J300" i="9"/>
  <c r="H55" i="10" s="1"/>
  <c r="S332" i="9"/>
  <c r="K59" i="10" s="1"/>
  <c r="M332" i="9"/>
  <c r="I59" i="10" s="1"/>
  <c r="M356" i="9"/>
  <c r="I62" i="10" s="1"/>
  <c r="Y356" i="9"/>
  <c r="M62" i="10" s="1"/>
  <c r="S372" i="9"/>
  <c r="K64" i="10" s="1"/>
  <c r="M372" i="9"/>
  <c r="I64" i="10" s="1"/>
  <c r="Y372" i="9"/>
  <c r="M64" i="10" s="1"/>
  <c r="M396" i="9"/>
  <c r="I67" i="10" s="1"/>
  <c r="Y396" i="9"/>
  <c r="M67" i="10" s="1"/>
  <c r="J428" i="9"/>
  <c r="H71" i="10" s="1"/>
  <c r="V428" i="9"/>
  <c r="L71" i="10" s="1"/>
  <c r="J452" i="9"/>
  <c r="H74" i="10" s="1"/>
  <c r="S476" i="9"/>
  <c r="K77" i="10" s="1"/>
  <c r="M476" i="9"/>
  <c r="I77" i="10" s="1"/>
  <c r="Y476" i="9"/>
  <c r="M77" i="10" s="1"/>
  <c r="M484" i="9"/>
  <c r="I78" i="10" s="1"/>
  <c r="J564" i="9"/>
  <c r="H88" i="10" s="1"/>
  <c r="V564" i="9"/>
  <c r="L88" i="10" s="1"/>
  <c r="Y636" i="9"/>
  <c r="M97" i="10" s="1"/>
  <c r="M652" i="9"/>
  <c r="I99" i="10" s="1"/>
  <c r="Y652" i="9"/>
  <c r="M99" i="10" s="1"/>
  <c r="M692" i="9"/>
  <c r="I104" i="10" s="1"/>
  <c r="Y692" i="9"/>
  <c r="M104" i="10" s="1"/>
  <c r="S692" i="9"/>
  <c r="K104" i="10" s="1"/>
  <c r="S700" i="9"/>
  <c r="K105" i="10" s="1"/>
  <c r="M700" i="9"/>
  <c r="I105" i="10" s="1"/>
  <c r="S740" i="9"/>
  <c r="K110" i="10" s="1"/>
  <c r="Y740" i="9"/>
  <c r="M110" i="10" s="1"/>
  <c r="M748" i="9"/>
  <c r="I111" i="10" s="1"/>
  <c r="Y748" i="9"/>
  <c r="M111" i="10" s="1"/>
  <c r="C23" i="8"/>
  <c r="D23" i="8" s="1"/>
  <c r="C24" i="8" s="1"/>
  <c r="D24" i="8" s="1"/>
  <c r="F24" i="8" s="1"/>
  <c r="G24" i="8" s="1"/>
  <c r="D29" i="2"/>
  <c r="D24" i="10"/>
  <c r="D45" i="9" s="1"/>
  <c r="C45" i="9"/>
  <c r="J468" i="9"/>
  <c r="H76" i="10" s="1"/>
  <c r="V468" i="9"/>
  <c r="L76" i="10" s="1"/>
  <c r="P468" i="9"/>
  <c r="J76" i="10" s="1"/>
  <c r="S172" i="9"/>
  <c r="K39" i="10" s="1"/>
  <c r="V188" i="9"/>
  <c r="L41" i="10" s="1"/>
  <c r="V228" i="9"/>
  <c r="L46" i="10" s="1"/>
  <c r="Y260" i="9"/>
  <c r="M50" i="10" s="1"/>
  <c r="V276" i="9"/>
  <c r="L52" i="10" s="1"/>
  <c r="Y292" i="9"/>
  <c r="M54" i="10" s="1"/>
  <c r="S748" i="9"/>
  <c r="K111" i="10" s="1"/>
  <c r="P28" i="9"/>
  <c r="J21" i="10" s="1"/>
  <c r="M36" i="9"/>
  <c r="I22" i="10" s="1"/>
  <c r="Y36" i="9"/>
  <c r="M22" i="10" s="1"/>
  <c r="J44" i="9"/>
  <c r="V44" i="9"/>
  <c r="L23" i="10" s="1"/>
  <c r="S52" i="9"/>
  <c r="K24" i="10" s="1"/>
  <c r="P60" i="9"/>
  <c r="J25" i="10" s="1"/>
  <c r="M68" i="9"/>
  <c r="I26" i="10" s="1"/>
  <c r="Y68" i="9"/>
  <c r="M26" i="10" s="1"/>
  <c r="J76" i="9"/>
  <c r="H27" i="10" s="1"/>
  <c r="V76" i="9"/>
  <c r="L27" i="10" s="1"/>
  <c r="S84" i="9"/>
  <c r="K28" i="10" s="1"/>
  <c r="P92" i="9"/>
  <c r="J29" i="10" s="1"/>
  <c r="J108" i="9"/>
  <c r="H31" i="10" s="1"/>
  <c r="V108" i="9"/>
  <c r="L31" i="10" s="1"/>
  <c r="S132" i="9"/>
  <c r="K34" i="10" s="1"/>
  <c r="P140" i="9"/>
  <c r="J35" i="10" s="1"/>
  <c r="M148" i="9"/>
  <c r="I36" i="10" s="1"/>
  <c r="Y148" i="9"/>
  <c r="M36" i="10" s="1"/>
  <c r="J156" i="9"/>
  <c r="H37" i="10" s="1"/>
  <c r="V156" i="9"/>
  <c r="L37" i="10" s="1"/>
  <c r="P172" i="9"/>
  <c r="J39" i="10" s="1"/>
  <c r="J172" i="9"/>
  <c r="H39" i="10" s="1"/>
  <c r="J180" i="9"/>
  <c r="H40" i="10" s="1"/>
  <c r="V180" i="9"/>
  <c r="L40" i="10" s="1"/>
  <c r="Y188" i="9"/>
  <c r="M41" i="10" s="1"/>
  <c r="M204" i="9"/>
  <c r="I43" i="10" s="1"/>
  <c r="Y204" i="9"/>
  <c r="M43" i="10" s="1"/>
  <c r="S228" i="9"/>
  <c r="K46" i="10" s="1"/>
  <c r="M228" i="9"/>
  <c r="I46" i="10" s="1"/>
  <c r="Y228" i="9"/>
  <c r="M46" i="10" s="1"/>
  <c r="J260" i="9"/>
  <c r="H50" i="10" s="1"/>
  <c r="V260" i="9"/>
  <c r="L50" i="10" s="1"/>
  <c r="J292" i="9"/>
  <c r="H54" i="10" s="1"/>
  <c r="V292" i="9"/>
  <c r="L54" i="10" s="1"/>
  <c r="P660" i="9"/>
  <c r="J100" i="10" s="1"/>
  <c r="M740" i="9"/>
  <c r="I110" i="10" s="1"/>
  <c r="V36" i="9"/>
  <c r="L22" i="10" s="1"/>
  <c r="S44" i="9"/>
  <c r="K23" i="10" s="1"/>
  <c r="P52" i="9"/>
  <c r="J24" i="10" s="1"/>
  <c r="S76" i="9"/>
  <c r="K27" i="10" s="1"/>
  <c r="P84" i="9"/>
  <c r="J28" i="10" s="1"/>
  <c r="S108" i="9"/>
  <c r="K31" i="10" s="1"/>
  <c r="V148" i="9"/>
  <c r="L36" i="10" s="1"/>
  <c r="S156" i="9"/>
  <c r="K37" i="10" s="1"/>
  <c r="P164" i="9"/>
  <c r="J38" i="10" s="1"/>
  <c r="V204" i="9"/>
  <c r="L43" i="10" s="1"/>
  <c r="P212" i="9"/>
  <c r="J44" i="10" s="1"/>
  <c r="Y220" i="9"/>
  <c r="M45" i="10" s="1"/>
  <c r="V268" i="9"/>
  <c r="L51" i="10" s="1"/>
  <c r="M300" i="9"/>
  <c r="I55" i="10" s="1"/>
  <c r="Y300" i="9"/>
  <c r="M55" i="10" s="1"/>
  <c r="P372" i="9"/>
  <c r="J64" i="10" s="1"/>
  <c r="V388" i="9"/>
  <c r="L66" i="10" s="1"/>
  <c r="V412" i="9"/>
  <c r="L69" i="10" s="1"/>
  <c r="S420" i="9"/>
  <c r="K70" i="10" s="1"/>
  <c r="P428" i="9"/>
  <c r="J71" i="10" s="1"/>
  <c r="S484" i="9"/>
  <c r="K78" i="10" s="1"/>
  <c r="M492" i="9"/>
  <c r="I79" i="10" s="1"/>
  <c r="Y492" i="9"/>
  <c r="M79" i="10" s="1"/>
  <c r="S500" i="9"/>
  <c r="K80" i="10" s="1"/>
  <c r="M500" i="9"/>
  <c r="I80" i="10" s="1"/>
  <c r="P516" i="9"/>
  <c r="J82" i="10" s="1"/>
  <c r="J516" i="9"/>
  <c r="H82" i="10" s="1"/>
  <c r="V516" i="9"/>
  <c r="L82" i="10" s="1"/>
  <c r="J524" i="9"/>
  <c r="H83" i="10" s="1"/>
  <c r="V524" i="9"/>
  <c r="L83" i="10" s="1"/>
  <c r="P524" i="9"/>
  <c r="J83" i="10" s="1"/>
  <c r="J540" i="9"/>
  <c r="H85" i="10" s="1"/>
  <c r="P540" i="9"/>
  <c r="J85" i="10" s="1"/>
  <c r="J636" i="9"/>
  <c r="H97" i="10" s="1"/>
  <c r="V636" i="9"/>
  <c r="L97" i="10" s="1"/>
  <c r="J668" i="9"/>
  <c r="H101" i="10" s="1"/>
  <c r="V668" i="9"/>
  <c r="L101" i="10" s="1"/>
  <c r="Y708" i="9"/>
  <c r="M106" i="10" s="1"/>
  <c r="V748" i="9"/>
  <c r="L111" i="10" s="1"/>
  <c r="P756" i="9"/>
  <c r="J112" i="10" s="1"/>
  <c r="V300" i="9"/>
  <c r="L55" i="10" s="1"/>
  <c r="P308" i="9"/>
  <c r="J56" i="10" s="1"/>
  <c r="J308" i="9"/>
  <c r="H56" i="10" s="1"/>
  <c r="V308" i="9"/>
  <c r="L56" i="10" s="1"/>
  <c r="M316" i="9"/>
  <c r="I57" i="10" s="1"/>
  <c r="Y316" i="9"/>
  <c r="M57" i="10" s="1"/>
  <c r="S316" i="9"/>
  <c r="K57" i="10" s="1"/>
  <c r="J324" i="9"/>
  <c r="H58" i="10" s="1"/>
  <c r="V324" i="9"/>
  <c r="L58" i="10" s="1"/>
  <c r="P324" i="9"/>
  <c r="J58" i="10" s="1"/>
  <c r="J404" i="9"/>
  <c r="H68" i="10" s="1"/>
  <c r="V404" i="9"/>
  <c r="L68" i="10" s="1"/>
  <c r="P404" i="9"/>
  <c r="J68" i="10" s="1"/>
  <c r="S412" i="9"/>
  <c r="K69" i="10" s="1"/>
  <c r="M412" i="9"/>
  <c r="I69" i="10" s="1"/>
  <c r="Y412" i="9"/>
  <c r="M69" i="10" s="1"/>
  <c r="P420" i="9"/>
  <c r="J70" i="10" s="1"/>
  <c r="J420" i="9"/>
  <c r="H70" i="10" s="1"/>
  <c r="V420" i="9"/>
  <c r="L70" i="10" s="1"/>
  <c r="M428" i="9"/>
  <c r="I71" i="10" s="1"/>
  <c r="Y428" i="9"/>
  <c r="M71" i="10" s="1"/>
  <c r="S436" i="9"/>
  <c r="K72" i="10" s="1"/>
  <c r="M436" i="9"/>
  <c r="I72" i="10" s="1"/>
  <c r="Y436" i="9"/>
  <c r="M72" i="10" s="1"/>
  <c r="P444" i="9"/>
  <c r="J73" i="10" s="1"/>
  <c r="J444" i="9"/>
  <c r="H73" i="10" s="1"/>
  <c r="V444" i="9"/>
  <c r="L73" i="10" s="1"/>
  <c r="M452" i="9"/>
  <c r="I74" i="10" s="1"/>
  <c r="Y452" i="9"/>
  <c r="M74" i="10" s="1"/>
  <c r="S452" i="9"/>
  <c r="K74" i="10" s="1"/>
  <c r="J460" i="9"/>
  <c r="H75" i="10" s="1"/>
  <c r="V460" i="9"/>
  <c r="L75" i="10" s="1"/>
  <c r="P460" i="9"/>
  <c r="J75" i="10" s="1"/>
  <c r="J500" i="9"/>
  <c r="H80" i="10" s="1"/>
  <c r="V500" i="9"/>
  <c r="L80" i="10" s="1"/>
  <c r="S516" i="9"/>
  <c r="K82" i="10" s="1"/>
  <c r="M524" i="9"/>
  <c r="I83" i="10" s="1"/>
  <c r="Y524" i="9"/>
  <c r="M83" i="10" s="1"/>
  <c r="S532" i="9"/>
  <c r="K84" i="10" s="1"/>
  <c r="M532" i="9"/>
  <c r="I84" i="10" s="1"/>
  <c r="P548" i="9"/>
  <c r="J86" i="10" s="1"/>
  <c r="J548" i="9"/>
  <c r="H86" i="10" s="1"/>
  <c r="V548" i="9"/>
  <c r="L86" i="10" s="1"/>
  <c r="J556" i="9"/>
  <c r="H87" i="10" s="1"/>
  <c r="V556" i="9"/>
  <c r="L87" i="10" s="1"/>
  <c r="S636" i="9"/>
  <c r="K97" i="10" s="1"/>
  <c r="M636" i="9"/>
  <c r="I97" i="10" s="1"/>
  <c r="M644" i="9"/>
  <c r="I98" i="10" s="1"/>
  <c r="Y644" i="9"/>
  <c r="M98" i="10" s="1"/>
  <c r="S644" i="9"/>
  <c r="K98" i="10" s="1"/>
  <c r="J652" i="9"/>
  <c r="H99" i="10" s="1"/>
  <c r="V652" i="9"/>
  <c r="L99" i="10" s="1"/>
  <c r="P652" i="9"/>
  <c r="J99" i="10" s="1"/>
  <c r="S668" i="9"/>
  <c r="K101" i="10" s="1"/>
  <c r="M668" i="9"/>
  <c r="I101" i="10" s="1"/>
  <c r="M676" i="9"/>
  <c r="I102" i="10" s="1"/>
  <c r="Y676" i="9"/>
  <c r="M102" i="10" s="1"/>
  <c r="S676" i="9"/>
  <c r="K102" i="10" s="1"/>
  <c r="J684" i="9"/>
  <c r="H103" i="10" s="1"/>
  <c r="V684" i="9"/>
  <c r="L103" i="10" s="1"/>
  <c r="P716" i="9"/>
  <c r="J107" i="10" s="1"/>
  <c r="J716" i="9"/>
  <c r="H107" i="10" s="1"/>
  <c r="V716" i="9"/>
  <c r="L107" i="10" s="1"/>
  <c r="J724" i="9"/>
  <c r="H108" i="10" s="1"/>
  <c r="V724" i="9"/>
  <c r="L108" i="10" s="1"/>
  <c r="P724" i="9"/>
  <c r="J108" i="10" s="1"/>
  <c r="S732" i="9"/>
  <c r="K109" i="10" s="1"/>
  <c r="M732" i="9"/>
  <c r="I109" i="10" s="1"/>
  <c r="Y732" i="9"/>
  <c r="M109" i="10" s="1"/>
  <c r="M756" i="9"/>
  <c r="I112" i="10" s="1"/>
  <c r="Y756" i="9"/>
  <c r="M112" i="10" s="1"/>
  <c r="S756" i="9"/>
  <c r="K112" i="10" s="1"/>
  <c r="V316" i="9"/>
  <c r="L57" i="10" s="1"/>
  <c r="Y332" i="9"/>
  <c r="M59" i="10" s="1"/>
  <c r="V340" i="9"/>
  <c r="L60" i="10" s="1"/>
  <c r="S348" i="9"/>
  <c r="K61" i="10" s="1"/>
  <c r="P356" i="9"/>
  <c r="J62" i="10" s="1"/>
  <c r="P436" i="9"/>
  <c r="J72" i="10" s="1"/>
  <c r="V452" i="9"/>
  <c r="L74" i="10" s="1"/>
  <c r="Y564" i="9"/>
  <c r="M88" i="10" s="1"/>
  <c r="V644" i="9"/>
  <c r="L98" i="10" s="1"/>
  <c r="Y660" i="9"/>
  <c r="M100" i="10" s="1"/>
  <c r="V676" i="9"/>
  <c r="L102" i="10" s="1"/>
  <c r="S684" i="9"/>
  <c r="K103" i="10" s="1"/>
  <c r="P692" i="9"/>
  <c r="J104" i="10" s="1"/>
  <c r="Y700" i="9"/>
  <c r="M105" i="10" s="1"/>
  <c r="S724" i="9"/>
  <c r="K108" i="10" s="1"/>
  <c r="J740" i="9"/>
  <c r="H110" i="10" s="1"/>
  <c r="V740" i="9"/>
  <c r="L110" i="10" s="1"/>
  <c r="P556" i="9"/>
  <c r="J87" i="10" s="1"/>
  <c r="P452" i="9"/>
  <c r="J74" i="10" s="1"/>
  <c r="S164" i="9"/>
  <c r="K38" i="10" s="1"/>
  <c r="P684" i="9"/>
  <c r="J103" i="10" s="1"/>
  <c r="J92" i="2"/>
  <c r="H29" i="8" s="1"/>
  <c r="V92" i="2"/>
  <c r="L29" i="8" s="1"/>
  <c r="AJ92" i="2"/>
  <c r="R29" i="8" s="1"/>
  <c r="P92" i="2"/>
  <c r="J29" i="8" s="1"/>
  <c r="AC92" i="2"/>
  <c r="O29" i="8" s="1"/>
  <c r="J108" i="2"/>
  <c r="H31" i="8" s="1"/>
  <c r="V108" i="2"/>
  <c r="L31" i="8" s="1"/>
  <c r="AJ108" i="2"/>
  <c r="R31" i="8" s="1"/>
  <c r="P108" i="2"/>
  <c r="J31" i="8" s="1"/>
  <c r="AC108" i="2"/>
  <c r="O31" i="8" s="1"/>
  <c r="J124" i="2"/>
  <c r="H33" i="8" s="1"/>
  <c r="V124" i="2"/>
  <c r="L33" i="8" s="1"/>
  <c r="AJ124" i="2"/>
  <c r="R33" i="8" s="1"/>
  <c r="P124" i="2"/>
  <c r="J33" i="8" s="1"/>
  <c r="AC124" i="2"/>
  <c r="O33" i="8" s="1"/>
  <c r="J140" i="2"/>
  <c r="H35" i="8" s="1"/>
  <c r="V140" i="2"/>
  <c r="L35" i="8" s="1"/>
  <c r="AJ140" i="2"/>
  <c r="R35" i="8" s="1"/>
  <c r="P140" i="2"/>
  <c r="J35" i="8" s="1"/>
  <c r="AC140" i="2"/>
  <c r="O35" i="8" s="1"/>
  <c r="M76" i="2"/>
  <c r="I27" i="8" s="1"/>
  <c r="Y76" i="2"/>
  <c r="M27" i="8" s="1"/>
  <c r="AM76" i="2"/>
  <c r="S27" i="8" s="1"/>
  <c r="S84" i="2"/>
  <c r="K28" i="8" s="1"/>
  <c r="AG84" i="2"/>
  <c r="Q28" i="8" s="1"/>
  <c r="M92" i="2"/>
  <c r="I29" i="8" s="1"/>
  <c r="Y92" i="2"/>
  <c r="M29" i="8" s="1"/>
  <c r="AM92" i="2"/>
  <c r="S29" i="8" s="1"/>
  <c r="S92" i="2"/>
  <c r="K29" i="8" s="1"/>
  <c r="AG92" i="2"/>
  <c r="Q29" i="8" s="1"/>
  <c r="M108" i="2"/>
  <c r="I31" i="8" s="1"/>
  <c r="Y108" i="2"/>
  <c r="M31" i="8" s="1"/>
  <c r="AM108" i="2"/>
  <c r="S31" i="8" s="1"/>
  <c r="S108" i="2"/>
  <c r="K31" i="8" s="1"/>
  <c r="AG108" i="2"/>
  <c r="Q31" i="8" s="1"/>
  <c r="M124" i="2"/>
  <c r="I33" i="8" s="1"/>
  <c r="Y124" i="2"/>
  <c r="M33" i="8" s="1"/>
  <c r="AM124" i="2"/>
  <c r="S33" i="8" s="1"/>
  <c r="S124" i="2"/>
  <c r="K33" i="8" s="1"/>
  <c r="AG124" i="2"/>
  <c r="Q33" i="8" s="1"/>
  <c r="M140" i="2"/>
  <c r="I35" i="8" s="1"/>
  <c r="Y140" i="2"/>
  <c r="M35" i="8" s="1"/>
  <c r="AM140" i="2"/>
  <c r="S35" i="8" s="1"/>
  <c r="S140" i="2"/>
  <c r="K35" i="8" s="1"/>
  <c r="AG140" i="2"/>
  <c r="Q35" i="8" s="1"/>
  <c r="J100" i="2"/>
  <c r="H30" i="8" s="1"/>
  <c r="V100" i="2"/>
  <c r="L30" i="8" s="1"/>
  <c r="AJ100" i="2"/>
  <c r="R30" i="8" s="1"/>
  <c r="P100" i="2"/>
  <c r="J30" i="8" s="1"/>
  <c r="AC100" i="2"/>
  <c r="O30" i="8" s="1"/>
  <c r="J116" i="2"/>
  <c r="H32" i="8" s="1"/>
  <c r="V116" i="2"/>
  <c r="L32" i="8" s="1"/>
  <c r="AJ116" i="2"/>
  <c r="R32" i="8" s="1"/>
  <c r="P116" i="2"/>
  <c r="J32" i="8" s="1"/>
  <c r="AC116" i="2"/>
  <c r="O32" i="8" s="1"/>
  <c r="J132" i="2"/>
  <c r="H34" i="8" s="1"/>
  <c r="V132" i="2"/>
  <c r="L34" i="8" s="1"/>
  <c r="AJ132" i="2"/>
  <c r="R34" i="8" s="1"/>
  <c r="P132" i="2"/>
  <c r="J34" i="8" s="1"/>
  <c r="AC132" i="2"/>
  <c r="O34" i="8" s="1"/>
  <c r="M100" i="2"/>
  <c r="I30" i="8" s="1"/>
  <c r="Y100" i="2"/>
  <c r="M30" i="8" s="1"/>
  <c r="AM100" i="2"/>
  <c r="S30" i="8" s="1"/>
  <c r="S100" i="2"/>
  <c r="K30" i="8" s="1"/>
  <c r="AG100" i="2"/>
  <c r="Q30" i="8" s="1"/>
  <c r="M116" i="2"/>
  <c r="I32" i="8" s="1"/>
  <c r="Y116" i="2"/>
  <c r="M32" i="8" s="1"/>
  <c r="AM116" i="2"/>
  <c r="S32" i="8" s="1"/>
  <c r="S116" i="2"/>
  <c r="K32" i="8" s="1"/>
  <c r="AG116" i="2"/>
  <c r="Q32" i="8" s="1"/>
  <c r="M132" i="2"/>
  <c r="I34" i="8" s="1"/>
  <c r="Y132" i="2"/>
  <c r="M34" i="8" s="1"/>
  <c r="AM132" i="2"/>
  <c r="S34" i="8" s="1"/>
  <c r="S132" i="2"/>
  <c r="K34" i="8" s="1"/>
  <c r="AG132" i="2"/>
  <c r="Q34" i="8" s="1"/>
  <c r="J84" i="2"/>
  <c r="H28" i="8" s="1"/>
  <c r="V84" i="2"/>
  <c r="L28" i="8" s="1"/>
  <c r="AJ84" i="2"/>
  <c r="R28" i="8" s="1"/>
  <c r="P84" i="2"/>
  <c r="J28" i="8" s="1"/>
  <c r="AC84" i="2"/>
  <c r="O28" i="8" s="1"/>
  <c r="M84" i="2"/>
  <c r="I28" i="8" s="1"/>
  <c r="Y84" i="2"/>
  <c r="M28" i="8" s="1"/>
  <c r="AM84" i="2"/>
  <c r="S28" i="8" s="1"/>
  <c r="S76" i="2"/>
  <c r="K27" i="8" s="1"/>
  <c r="J76" i="2"/>
  <c r="H27" i="8" s="1"/>
  <c r="V76" i="2"/>
  <c r="L27" i="8" s="1"/>
  <c r="AJ76" i="2"/>
  <c r="R27" i="8" s="1"/>
  <c r="P76" i="2"/>
  <c r="J27" i="8" s="1"/>
  <c r="AC76" i="2"/>
  <c r="O27" i="8" s="1"/>
  <c r="AG76" i="2"/>
  <c r="Q27" i="8" s="1"/>
  <c r="S36" i="2"/>
  <c r="K22" i="8" s="1"/>
  <c r="AG36" i="2"/>
  <c r="Q22" i="8" s="1"/>
  <c r="Y36" i="2"/>
  <c r="M22" i="8" s="1"/>
  <c r="AM36" i="2"/>
  <c r="S22" i="8" s="1"/>
  <c r="J68" i="2"/>
  <c r="H26" i="8" s="1"/>
  <c r="V68" i="2"/>
  <c r="L26" i="8" s="1"/>
  <c r="AJ68" i="2"/>
  <c r="R26" i="8" s="1"/>
  <c r="P68" i="2"/>
  <c r="J26" i="8" s="1"/>
  <c r="AC68" i="2"/>
  <c r="O26" i="8" s="1"/>
  <c r="J36" i="2"/>
  <c r="H22" i="8" s="1"/>
  <c r="V36" i="2"/>
  <c r="L22" i="8" s="1"/>
  <c r="AJ36" i="2"/>
  <c r="R22" i="8" s="1"/>
  <c r="P44" i="2"/>
  <c r="J23" i="8" s="1"/>
  <c r="AC44" i="2"/>
  <c r="O23" i="8" s="1"/>
  <c r="S60" i="2"/>
  <c r="K25" i="8" s="1"/>
  <c r="AG60" i="2"/>
  <c r="Q25" i="8" s="1"/>
  <c r="M68" i="2"/>
  <c r="I26" i="8" s="1"/>
  <c r="Y68" i="2"/>
  <c r="M26" i="8" s="1"/>
  <c r="AM68" i="2"/>
  <c r="S26" i="8" s="1"/>
  <c r="S68" i="2"/>
  <c r="K26" i="8" s="1"/>
  <c r="AG68" i="2"/>
  <c r="Q26" i="8" s="1"/>
  <c r="S44" i="2"/>
  <c r="K23" i="8" s="1"/>
  <c r="AG44" i="2"/>
  <c r="Q23" i="8" s="1"/>
  <c r="M44" i="2"/>
  <c r="I23" i="8" s="1"/>
  <c r="Y44" i="2"/>
  <c r="M23" i="8" s="1"/>
  <c r="AM44" i="2"/>
  <c r="S23" i="8" s="1"/>
  <c r="J60" i="2"/>
  <c r="H25" i="8" s="1"/>
  <c r="V60" i="2"/>
  <c r="L25" i="8" s="1"/>
  <c r="AJ60" i="2"/>
  <c r="R25" i="8" s="1"/>
  <c r="P60" i="2"/>
  <c r="J25" i="8" s="1"/>
  <c r="AC60" i="2"/>
  <c r="O25" i="8" s="1"/>
  <c r="P36" i="2"/>
  <c r="J22" i="8" s="1"/>
  <c r="AC36" i="2"/>
  <c r="O22" i="8" s="1"/>
  <c r="J44" i="2"/>
  <c r="H23" i="8" s="1"/>
  <c r="V44" i="2"/>
  <c r="L23" i="8" s="1"/>
  <c r="AJ44" i="2"/>
  <c r="R23" i="8" s="1"/>
  <c r="M60" i="2"/>
  <c r="I25" i="8" s="1"/>
  <c r="Y60" i="2"/>
  <c r="M25" i="8" s="1"/>
  <c r="AM60" i="2"/>
  <c r="S25" i="8" s="1"/>
  <c r="M36" i="2"/>
  <c r="I22" i="8" s="1"/>
  <c r="S28" i="2"/>
  <c r="V28" i="2"/>
  <c r="F21" i="9" l="1"/>
  <c r="G21" i="9" s="1"/>
  <c r="H21" i="10"/>
  <c r="F21" i="10" s="1"/>
  <c r="G21" i="10" s="1"/>
  <c r="F22" i="10"/>
  <c r="G22" i="10" s="1"/>
  <c r="H23" i="10"/>
  <c r="F23" i="10" s="1"/>
  <c r="G23" i="10" s="1"/>
  <c r="F29" i="9"/>
  <c r="G29" i="9" s="1"/>
  <c r="F37" i="9"/>
  <c r="G37" i="9" s="1"/>
  <c r="C37" i="2"/>
  <c r="D37" i="2"/>
  <c r="C25" i="10"/>
  <c r="D25" i="10" s="1"/>
  <c r="D53" i="9" s="1"/>
  <c r="F24" i="10"/>
  <c r="G24" i="10" s="1"/>
  <c r="I21" i="15"/>
  <c r="F45" i="9"/>
  <c r="G45" i="9" s="1"/>
  <c r="F23" i="8"/>
  <c r="G23" i="8" s="1"/>
  <c r="F22" i="8"/>
  <c r="G22" i="8" s="1"/>
  <c r="F29" i="2"/>
  <c r="G29" i="2" s="1"/>
  <c r="C53" i="9" l="1"/>
  <c r="F53" i="9" s="1"/>
  <c r="G53" i="9" s="1"/>
  <c r="F37" i="2"/>
  <c r="G37" i="2" s="1"/>
  <c r="C53" i="2"/>
  <c r="C26" i="10"/>
  <c r="F25" i="10"/>
  <c r="G25" i="10" s="1"/>
  <c r="I22" i="15"/>
  <c r="M30" i="15" s="1"/>
  <c r="D26" i="10"/>
  <c r="D61" i="9" s="1"/>
  <c r="C61" i="9"/>
  <c r="D53" i="2" l="1"/>
  <c r="F53" i="2" s="1"/>
  <c r="G53" i="2" s="1"/>
  <c r="F25" i="8"/>
  <c r="G25" i="8" s="1"/>
  <c r="F26" i="10"/>
  <c r="G26" i="10" s="1"/>
  <c r="C27" i="10"/>
  <c r="D27" i="10" s="1"/>
  <c r="D69" i="9" s="1"/>
  <c r="I23" i="15"/>
  <c r="C229" i="12"/>
  <c r="F61" i="9"/>
  <c r="G61" i="9" s="1"/>
  <c r="C69" i="9" l="1"/>
  <c r="F69" i="9" s="1"/>
  <c r="G69" i="9" s="1"/>
  <c r="C61" i="2"/>
  <c r="C28" i="10"/>
  <c r="F27" i="10"/>
  <c r="G27" i="10" s="1"/>
  <c r="I24" i="15"/>
  <c r="F47" i="13"/>
  <c r="G47" i="13" s="1"/>
  <c r="D229" i="12"/>
  <c r="F229" i="12" s="1"/>
  <c r="G229" i="12" s="1"/>
  <c r="C45" i="12"/>
  <c r="D28" i="10"/>
  <c r="D77" i="9" s="1"/>
  <c r="C77" i="9"/>
  <c r="D61" i="2" l="1"/>
  <c r="F61" i="2" s="1"/>
  <c r="G61" i="2" s="1"/>
  <c r="F26" i="8"/>
  <c r="G26" i="8" s="1"/>
  <c r="C27" i="8"/>
  <c r="F28" i="10"/>
  <c r="G28" i="10" s="1"/>
  <c r="I25" i="15"/>
  <c r="M28" i="15" s="1"/>
  <c r="I26" i="15"/>
  <c r="M29" i="15" s="1"/>
  <c r="D50" i="13"/>
  <c r="C237" i="12"/>
  <c r="D45" i="12"/>
  <c r="F45" i="12" s="1"/>
  <c r="G45" i="12" s="1"/>
  <c r="F24" i="13"/>
  <c r="G24" i="13" s="1"/>
  <c r="C29" i="10"/>
  <c r="F77" i="9"/>
  <c r="G77" i="9" s="1"/>
  <c r="M31" i="15" l="1"/>
  <c r="D27" i="8"/>
  <c r="C69" i="2"/>
  <c r="C51" i="13"/>
  <c r="F50" i="13"/>
  <c r="G50" i="13" s="1"/>
  <c r="D237" i="12"/>
  <c r="F237" i="12" s="1"/>
  <c r="G237" i="12" s="1"/>
  <c r="C53" i="12"/>
  <c r="D29" i="10"/>
  <c r="C30" i="10" s="1"/>
  <c r="C85" i="9"/>
  <c r="D30" i="10" l="1"/>
  <c r="D93" i="9" s="1"/>
  <c r="C93" i="9"/>
  <c r="D69" i="2"/>
  <c r="F69" i="2" s="1"/>
  <c r="G69" i="2" s="1"/>
  <c r="C28" i="8"/>
  <c r="F27" i="8"/>
  <c r="G27" i="8" s="1"/>
  <c r="D51" i="13"/>
  <c r="C245" i="12"/>
  <c r="D53" i="12"/>
  <c r="F53" i="12" s="1"/>
  <c r="G53" i="12" s="1"/>
  <c r="F25" i="13"/>
  <c r="G25" i="13" s="1"/>
  <c r="D85" i="9"/>
  <c r="F85" i="9" s="1"/>
  <c r="G85" i="9" s="1"/>
  <c r="F29" i="10"/>
  <c r="G29" i="10" s="1"/>
  <c r="F30" i="10" l="1"/>
  <c r="G30" i="10" s="1"/>
  <c r="F93" i="9"/>
  <c r="G93" i="9" s="1"/>
  <c r="C77" i="2"/>
  <c r="C52" i="13"/>
  <c r="F51" i="13"/>
  <c r="G51" i="13" s="1"/>
  <c r="D245" i="12"/>
  <c r="F245" i="12" s="1"/>
  <c r="G245" i="12" s="1"/>
  <c r="C61" i="12"/>
  <c r="D77" i="2" l="1"/>
  <c r="F77" i="2" s="1"/>
  <c r="G77" i="2" s="1"/>
  <c r="F28" i="8"/>
  <c r="G28" i="8" s="1"/>
  <c r="D52" i="13"/>
  <c r="C253" i="12"/>
  <c r="D61" i="12"/>
  <c r="F61" i="12" s="1"/>
  <c r="G61" i="12" s="1"/>
  <c r="F26" i="13"/>
  <c r="G26" i="13" s="1"/>
  <c r="C85" i="2" l="1"/>
  <c r="C53" i="13"/>
  <c r="F52" i="13"/>
  <c r="G52" i="13" s="1"/>
  <c r="D253" i="12"/>
  <c r="F253" i="12" s="1"/>
  <c r="G253" i="12" s="1"/>
  <c r="C69" i="12"/>
  <c r="C101" i="9"/>
  <c r="D85" i="2" l="1"/>
  <c r="F85" i="2" s="1"/>
  <c r="G85" i="2" s="1"/>
  <c r="C30" i="8"/>
  <c r="F29" i="8"/>
  <c r="G29" i="8" s="1"/>
  <c r="D53" i="13"/>
  <c r="C261" i="12"/>
  <c r="D69" i="12"/>
  <c r="F69" i="12" s="1"/>
  <c r="G69" i="12" s="1"/>
  <c r="F27" i="13"/>
  <c r="G27" i="13" s="1"/>
  <c r="D101" i="9"/>
  <c r="F101" i="9" s="1"/>
  <c r="G101" i="9" s="1"/>
  <c r="F31" i="10"/>
  <c r="G31" i="10" s="1"/>
  <c r="D30" i="8" l="1"/>
  <c r="C93" i="2"/>
  <c r="C54" i="13"/>
  <c r="D261" i="12"/>
  <c r="F261" i="12" s="1"/>
  <c r="G261" i="12" s="1"/>
  <c r="F53" i="13"/>
  <c r="G53" i="13" s="1"/>
  <c r="C77" i="12"/>
  <c r="D34" i="10"/>
  <c r="C125" i="9"/>
  <c r="D93" i="2" l="1"/>
  <c r="F93" i="2" s="1"/>
  <c r="G93" i="2" s="1"/>
  <c r="F30" i="8"/>
  <c r="G30" i="8" s="1"/>
  <c r="C31" i="8"/>
  <c r="D54" i="13"/>
  <c r="C269" i="12"/>
  <c r="D77" i="12"/>
  <c r="F77" i="12" s="1"/>
  <c r="G77" i="12" s="1"/>
  <c r="F28" i="13"/>
  <c r="G28" i="13" s="1"/>
  <c r="D125" i="9"/>
  <c r="F125" i="9" s="1"/>
  <c r="G125" i="9" s="1"/>
  <c r="C35" i="10"/>
  <c r="F34" i="10"/>
  <c r="G34" i="10" s="1"/>
  <c r="D31" i="8" l="1"/>
  <c r="C101" i="2"/>
  <c r="C55" i="13"/>
  <c r="D269" i="12"/>
  <c r="F269" i="12" s="1"/>
  <c r="G269" i="12" s="1"/>
  <c r="F54" i="13"/>
  <c r="G54" i="13" s="1"/>
  <c r="C85" i="12"/>
  <c r="D35" i="10"/>
  <c r="C133" i="9"/>
  <c r="C32" i="8" l="1"/>
  <c r="D101" i="2"/>
  <c r="F101" i="2" s="1"/>
  <c r="G101" i="2" s="1"/>
  <c r="F31" i="8"/>
  <c r="G31" i="8" s="1"/>
  <c r="D55" i="13"/>
  <c r="C277" i="12"/>
  <c r="D85" i="12"/>
  <c r="F85" i="12" s="1"/>
  <c r="G85" i="12" s="1"/>
  <c r="F29" i="13"/>
  <c r="G29" i="13" s="1"/>
  <c r="D133" i="9"/>
  <c r="F133" i="9" s="1"/>
  <c r="G133" i="9" s="1"/>
  <c r="C36" i="10"/>
  <c r="F35" i="10"/>
  <c r="G35" i="10" s="1"/>
  <c r="C109" i="2" l="1"/>
  <c r="D32" i="8"/>
  <c r="C56" i="13"/>
  <c r="D277" i="12"/>
  <c r="F277" i="12" s="1"/>
  <c r="G277" i="12" s="1"/>
  <c r="F55" i="13"/>
  <c r="G55" i="13" s="1"/>
  <c r="C93" i="12"/>
  <c r="D36" i="10"/>
  <c r="C141" i="9"/>
  <c r="C33" i="8" l="1"/>
  <c r="D109" i="2"/>
  <c r="F109" i="2" s="1"/>
  <c r="G109" i="2" s="1"/>
  <c r="F32" i="8"/>
  <c r="G32" i="8" s="1"/>
  <c r="D56" i="13"/>
  <c r="C285" i="12"/>
  <c r="D93" i="12"/>
  <c r="F93" i="12" s="1"/>
  <c r="G93" i="12" s="1"/>
  <c r="F30" i="13"/>
  <c r="G30" i="13" s="1"/>
  <c r="D141" i="9"/>
  <c r="F141" i="9" s="1"/>
  <c r="G141" i="9" s="1"/>
  <c r="C37" i="10"/>
  <c r="F36" i="10"/>
  <c r="G36" i="10" s="1"/>
  <c r="D33" i="8" l="1"/>
  <c r="C117" i="2"/>
  <c r="C57" i="13"/>
  <c r="F56" i="13"/>
  <c r="G56" i="13" s="1"/>
  <c r="D285" i="12"/>
  <c r="F285" i="12" s="1"/>
  <c r="G285" i="12" s="1"/>
  <c r="C101" i="12"/>
  <c r="D37" i="10"/>
  <c r="C149" i="9"/>
  <c r="C34" i="8" l="1"/>
  <c r="D117" i="2"/>
  <c r="F117" i="2" s="1"/>
  <c r="G117" i="2" s="1"/>
  <c r="F33" i="8"/>
  <c r="G33" i="8" s="1"/>
  <c r="D57" i="13"/>
  <c r="C293" i="12"/>
  <c r="D101" i="12"/>
  <c r="F101" i="12" s="1"/>
  <c r="G101" i="12" s="1"/>
  <c r="F31" i="13"/>
  <c r="G31" i="13" s="1"/>
  <c r="D149" i="9"/>
  <c r="F149" i="9" s="1"/>
  <c r="G149" i="9" s="1"/>
  <c r="F37" i="10"/>
  <c r="G37" i="10" s="1"/>
  <c r="C38" i="10"/>
  <c r="D34" i="8" l="1"/>
  <c r="C125" i="2"/>
  <c r="C58" i="13"/>
  <c r="F57" i="13"/>
  <c r="G57" i="13" s="1"/>
  <c r="D293" i="12"/>
  <c r="F293" i="12" s="1"/>
  <c r="G293" i="12" s="1"/>
  <c r="C109" i="12"/>
  <c r="D38" i="10"/>
  <c r="C157" i="9"/>
  <c r="C35" i="8" l="1"/>
  <c r="D125" i="2"/>
  <c r="F125" i="2" s="1"/>
  <c r="G125" i="2" s="1"/>
  <c r="F34" i="8"/>
  <c r="G34" i="8" s="1"/>
  <c r="D58" i="13"/>
  <c r="C301" i="12"/>
  <c r="D109" i="12"/>
  <c r="F109" i="12" s="1"/>
  <c r="G109" i="12" s="1"/>
  <c r="F32" i="13"/>
  <c r="G32" i="13" s="1"/>
  <c r="D157" i="9"/>
  <c r="F157" i="9" s="1"/>
  <c r="G157" i="9" s="1"/>
  <c r="F38" i="10"/>
  <c r="G38" i="10" s="1"/>
  <c r="C39" i="10"/>
  <c r="D35" i="8" l="1"/>
  <c r="C133" i="2"/>
  <c r="C59" i="13"/>
  <c r="D301" i="12"/>
  <c r="F301" i="12" s="1"/>
  <c r="G301" i="12" s="1"/>
  <c r="F58" i="13"/>
  <c r="G58" i="13" s="1"/>
  <c r="C117" i="12"/>
  <c r="D39" i="10"/>
  <c r="C165" i="9"/>
  <c r="C36" i="8" l="1"/>
  <c r="D133" i="2"/>
  <c r="F133" i="2" s="1"/>
  <c r="G133" i="2" s="1"/>
  <c r="F35" i="8"/>
  <c r="G35" i="8" s="1"/>
  <c r="D59" i="13"/>
  <c r="C309" i="12"/>
  <c r="D117" i="12"/>
  <c r="F117" i="12" s="1"/>
  <c r="G117" i="12" s="1"/>
  <c r="F33" i="13"/>
  <c r="G33" i="13" s="1"/>
  <c r="C40" i="10"/>
  <c r="D165" i="9"/>
  <c r="F165" i="9" s="1"/>
  <c r="G165" i="9" s="1"/>
  <c r="F39" i="10"/>
  <c r="G39" i="10" s="1"/>
  <c r="C141" i="2" l="1"/>
  <c r="C60" i="13"/>
  <c r="D309" i="12"/>
  <c r="F309" i="12" s="1"/>
  <c r="G309" i="12" s="1"/>
  <c r="F59" i="13"/>
  <c r="G59" i="13" s="1"/>
  <c r="C125" i="12"/>
  <c r="D40" i="10"/>
  <c r="C173" i="9"/>
  <c r="D141" i="2" l="1"/>
  <c r="F141" i="2" s="1"/>
  <c r="G141" i="2" s="1"/>
  <c r="F36" i="8"/>
  <c r="G36" i="8" s="1"/>
  <c r="D60" i="13"/>
  <c r="C317" i="12"/>
  <c r="D125" i="12"/>
  <c r="F125" i="12" s="1"/>
  <c r="G125" i="12" s="1"/>
  <c r="F34" i="13"/>
  <c r="G34" i="13" s="1"/>
  <c r="D173" i="9"/>
  <c r="F173" i="9" s="1"/>
  <c r="G173" i="9" s="1"/>
  <c r="C41" i="10"/>
  <c r="F40" i="10"/>
  <c r="G40" i="10" s="1"/>
  <c r="C61" i="13" l="1"/>
  <c r="D317" i="12"/>
  <c r="F317" i="12" s="1"/>
  <c r="G317" i="12" s="1"/>
  <c r="F60" i="13"/>
  <c r="G60" i="13" s="1"/>
  <c r="C133" i="12"/>
  <c r="D41" i="10"/>
  <c r="C181" i="9"/>
  <c r="D61" i="13" l="1"/>
  <c r="C325" i="12"/>
  <c r="D133" i="12"/>
  <c r="F133" i="12" s="1"/>
  <c r="G133" i="12" s="1"/>
  <c r="F35" i="13"/>
  <c r="G35" i="13" s="1"/>
  <c r="D181" i="9"/>
  <c r="F181" i="9" s="1"/>
  <c r="G181" i="9" s="1"/>
  <c r="C42" i="10"/>
  <c r="F41" i="10"/>
  <c r="G41" i="10" s="1"/>
  <c r="C62" i="13" l="1"/>
  <c r="D325" i="12"/>
  <c r="F325" i="12" s="1"/>
  <c r="G325" i="12" s="1"/>
  <c r="F61" i="13"/>
  <c r="G61" i="13" s="1"/>
  <c r="C141" i="12"/>
  <c r="D42" i="10"/>
  <c r="C189" i="9"/>
  <c r="D62" i="13" l="1"/>
  <c r="C333" i="12"/>
  <c r="D141" i="12"/>
  <c r="F141" i="12" s="1"/>
  <c r="G141" i="12" s="1"/>
  <c r="F36" i="13"/>
  <c r="G36" i="13" s="1"/>
  <c r="D189" i="9"/>
  <c r="F189" i="9" s="1"/>
  <c r="G189" i="9" s="1"/>
  <c r="F42" i="10"/>
  <c r="G42" i="10" s="1"/>
  <c r="C43" i="10"/>
  <c r="C63" i="13" l="1"/>
  <c r="D333" i="12"/>
  <c r="F333" i="12" s="1"/>
  <c r="G333" i="12" s="1"/>
  <c r="F62" i="13"/>
  <c r="G62" i="13" s="1"/>
  <c r="C149" i="12"/>
  <c r="D43" i="10"/>
  <c r="C197" i="9"/>
  <c r="D63" i="13" l="1"/>
  <c r="C341" i="12"/>
  <c r="D149" i="12"/>
  <c r="F149" i="12" s="1"/>
  <c r="G149" i="12" s="1"/>
  <c r="F37" i="13"/>
  <c r="G37" i="13" s="1"/>
  <c r="D197" i="9"/>
  <c r="F197" i="9" s="1"/>
  <c r="G197" i="9" s="1"/>
  <c r="C44" i="10"/>
  <c r="F43" i="10"/>
  <c r="G43" i="10" s="1"/>
  <c r="C64" i="13" l="1"/>
  <c r="F63" i="13"/>
  <c r="G63" i="13" s="1"/>
  <c r="D341" i="12"/>
  <c r="F341" i="12" s="1"/>
  <c r="G341" i="12" s="1"/>
  <c r="C157" i="12"/>
  <c r="D44" i="10"/>
  <c r="C205" i="9"/>
  <c r="D64" i="13" l="1"/>
  <c r="C349" i="12"/>
  <c r="D157" i="12"/>
  <c r="F157" i="12" s="1"/>
  <c r="G157" i="12" s="1"/>
  <c r="F38" i="13"/>
  <c r="G38" i="13" s="1"/>
  <c r="D205" i="9"/>
  <c r="F205" i="9" s="1"/>
  <c r="G205" i="9" s="1"/>
  <c r="C45" i="10"/>
  <c r="F44" i="10"/>
  <c r="G44" i="10" s="1"/>
  <c r="C65" i="13" l="1"/>
  <c r="D349" i="12"/>
  <c r="F349" i="12" s="1"/>
  <c r="G349" i="12" s="1"/>
  <c r="F64" i="13"/>
  <c r="G64" i="13" s="1"/>
  <c r="C165" i="12"/>
  <c r="D45" i="10"/>
  <c r="C213" i="9"/>
  <c r="D65" i="13" l="1"/>
  <c r="C357" i="12"/>
  <c r="D165" i="12"/>
  <c r="F165" i="12" s="1"/>
  <c r="G165" i="12" s="1"/>
  <c r="F39" i="13"/>
  <c r="G39" i="13" s="1"/>
  <c r="D213" i="9"/>
  <c r="F213" i="9" s="1"/>
  <c r="G213" i="9" s="1"/>
  <c r="C46" i="10"/>
  <c r="F45" i="10"/>
  <c r="G45" i="10" s="1"/>
  <c r="C66" i="13" l="1"/>
  <c r="D357" i="12"/>
  <c r="F357" i="12" s="1"/>
  <c r="G357" i="12" s="1"/>
  <c r="F65" i="13"/>
  <c r="G65" i="13" s="1"/>
  <c r="C173" i="12"/>
  <c r="D46" i="10"/>
  <c r="C221" i="9"/>
  <c r="D66" i="13" l="1"/>
  <c r="C365" i="12"/>
  <c r="D173" i="12"/>
  <c r="F173" i="12" s="1"/>
  <c r="G173" i="12" s="1"/>
  <c r="F40" i="13"/>
  <c r="G40" i="13" s="1"/>
  <c r="D221" i="9"/>
  <c r="F221" i="9" s="1"/>
  <c r="G221" i="9" s="1"/>
  <c r="F46" i="10"/>
  <c r="G46" i="10" s="1"/>
  <c r="C67" i="13" l="1"/>
  <c r="D365" i="12"/>
  <c r="F365" i="12" s="1"/>
  <c r="G365" i="12" s="1"/>
  <c r="F66" i="13"/>
  <c r="G66" i="13" s="1"/>
  <c r="C181" i="12"/>
  <c r="D67" i="13" l="1"/>
  <c r="C373" i="12"/>
  <c r="D181" i="12"/>
  <c r="F181" i="12" s="1"/>
  <c r="G181" i="12" s="1"/>
  <c r="F41" i="13"/>
  <c r="G41" i="13" s="1"/>
  <c r="C68" i="13" l="1"/>
  <c r="F67" i="13"/>
  <c r="G67" i="13" s="1"/>
  <c r="D373" i="12"/>
  <c r="F373" i="12" s="1"/>
  <c r="G373" i="12" s="1"/>
  <c r="C189" i="12"/>
  <c r="D68" i="13" l="1"/>
  <c r="C381" i="12"/>
  <c r="D189" i="12"/>
  <c r="F189" i="12" s="1"/>
  <c r="G189" i="12" s="1"/>
  <c r="F42" i="13"/>
  <c r="G42" i="13" s="1"/>
  <c r="C69" i="13" l="1"/>
  <c r="F68" i="13"/>
  <c r="G68" i="13" s="1"/>
  <c r="D381" i="12"/>
  <c r="F381" i="12" s="1"/>
  <c r="G381" i="12" s="1"/>
  <c r="C197" i="12"/>
  <c r="C253" i="9"/>
  <c r="D69" i="13" l="1"/>
  <c r="C389" i="12"/>
  <c r="D197" i="12"/>
  <c r="F197" i="12" s="1"/>
  <c r="G197" i="12" s="1"/>
  <c r="F43" i="13"/>
  <c r="G43" i="13" s="1"/>
  <c r="D253" i="9"/>
  <c r="F253" i="9" s="1"/>
  <c r="G253" i="9" s="1"/>
  <c r="F50" i="10"/>
  <c r="G50" i="10" s="1"/>
  <c r="C51" i="10"/>
  <c r="C70" i="13" l="1"/>
  <c r="F69" i="13"/>
  <c r="G69" i="13" s="1"/>
  <c r="D389" i="12"/>
  <c r="F389" i="12" s="1"/>
  <c r="G389" i="12" s="1"/>
  <c r="C205" i="12"/>
  <c r="D51" i="10"/>
  <c r="C261" i="9"/>
  <c r="D70" i="13" l="1"/>
  <c r="C397" i="12"/>
  <c r="D205" i="12"/>
  <c r="F205" i="12" s="1"/>
  <c r="G205" i="12" s="1"/>
  <c r="F44" i="13"/>
  <c r="G44" i="13" s="1"/>
  <c r="D261" i="9"/>
  <c r="F261" i="9" s="1"/>
  <c r="G261" i="9" s="1"/>
  <c r="C52" i="10"/>
  <c r="F51" i="10"/>
  <c r="G51" i="10" s="1"/>
  <c r="C71" i="13" l="1"/>
  <c r="D397" i="12"/>
  <c r="F397" i="12" s="1"/>
  <c r="G397" i="12" s="1"/>
  <c r="F70" i="13"/>
  <c r="G70" i="13" s="1"/>
  <c r="C213" i="12"/>
  <c r="D52" i="10"/>
  <c r="C269" i="9"/>
  <c r="D71" i="13" l="1"/>
  <c r="C405" i="12"/>
  <c r="D213" i="12"/>
  <c r="F213" i="12" s="1"/>
  <c r="G213" i="12" s="1"/>
  <c r="F45" i="13"/>
  <c r="G45" i="13" s="1"/>
  <c r="D269" i="9"/>
  <c r="F269" i="9" s="1"/>
  <c r="G269" i="9" s="1"/>
  <c r="C53" i="10"/>
  <c r="F52" i="10"/>
  <c r="G52" i="10" s="1"/>
  <c r="C72" i="13" l="1"/>
  <c r="D405" i="12"/>
  <c r="F405" i="12" s="1"/>
  <c r="G405" i="12" s="1"/>
  <c r="F71" i="13"/>
  <c r="G71" i="13" s="1"/>
  <c r="C221" i="12"/>
  <c r="D53" i="10"/>
  <c r="C277" i="9"/>
  <c r="D72" i="13" l="1"/>
  <c r="C413" i="12"/>
  <c r="D221" i="12"/>
  <c r="F221" i="12" s="1"/>
  <c r="G221" i="12" s="1"/>
  <c r="F46" i="13"/>
  <c r="G46" i="13" s="1"/>
  <c r="D277" i="9"/>
  <c r="F277" i="9" s="1"/>
  <c r="G277" i="9" s="1"/>
  <c r="C54" i="10"/>
  <c r="F53" i="10"/>
  <c r="G53" i="10" s="1"/>
  <c r="C73" i="13" l="1"/>
  <c r="D413" i="12"/>
  <c r="F413" i="12" s="1"/>
  <c r="G413" i="12" s="1"/>
  <c r="F72" i="13"/>
  <c r="G72" i="13" s="1"/>
  <c r="D54" i="10"/>
  <c r="C55" i="10" s="1"/>
  <c r="C285" i="9"/>
  <c r="D73" i="13" l="1"/>
  <c r="C421" i="12"/>
  <c r="D285" i="9"/>
  <c r="F285" i="9" s="1"/>
  <c r="G285" i="9" s="1"/>
  <c r="F54" i="10"/>
  <c r="G54" i="10" s="1"/>
  <c r="C74" i="13" l="1"/>
  <c r="D421" i="12"/>
  <c r="F421" i="12" s="1"/>
  <c r="G421" i="12" s="1"/>
  <c r="F73" i="13"/>
  <c r="G73" i="13" s="1"/>
  <c r="D74" i="13" l="1"/>
  <c r="C429" i="12"/>
  <c r="D429" i="12" l="1"/>
  <c r="F429" i="12" s="1"/>
  <c r="G429" i="12" s="1"/>
  <c r="C75" i="13"/>
  <c r="F74" i="13"/>
  <c r="G74" i="13" s="1"/>
  <c r="D75" i="13" l="1"/>
  <c r="C437" i="12"/>
  <c r="C76" i="13" l="1"/>
  <c r="F75" i="13"/>
  <c r="G75" i="13" s="1"/>
  <c r="D437" i="12"/>
  <c r="F437" i="12" s="1"/>
  <c r="G437" i="12" s="1"/>
  <c r="D76" i="13" l="1"/>
  <c r="C77" i="13" s="1"/>
  <c r="C445" i="12"/>
  <c r="F76" i="13" l="1"/>
  <c r="G76" i="13" s="1"/>
  <c r="D445" i="12"/>
  <c r="F445" i="12" s="1"/>
  <c r="G445" i="12" s="1"/>
  <c r="C293" i="9"/>
  <c r="D293" i="9" l="1"/>
  <c r="F293" i="9" s="1"/>
  <c r="G293" i="9" s="1"/>
  <c r="F55" i="10"/>
  <c r="G55" i="10" s="1"/>
  <c r="C301" i="9" l="1"/>
  <c r="D301" i="9" l="1"/>
  <c r="F301" i="9" s="1"/>
  <c r="G301" i="9" s="1"/>
  <c r="C57" i="10"/>
  <c r="F56" i="10"/>
  <c r="G56" i="10" s="1"/>
  <c r="D57" i="10" l="1"/>
  <c r="C309" i="9"/>
  <c r="D309" i="9" l="1"/>
  <c r="F309" i="9" s="1"/>
  <c r="G309" i="9" s="1"/>
  <c r="C58" i="10"/>
  <c r="F57" i="10"/>
  <c r="G57" i="10" s="1"/>
  <c r="D58" i="10" l="1"/>
  <c r="C317" i="9"/>
  <c r="C453" i="12" l="1"/>
  <c r="D317" i="9"/>
  <c r="F317" i="9" s="1"/>
  <c r="G317" i="9" s="1"/>
  <c r="F58" i="10"/>
  <c r="G58" i="10" s="1"/>
  <c r="C59" i="10"/>
  <c r="F77" i="13" l="1"/>
  <c r="G77" i="13" s="1"/>
  <c r="D453" i="12"/>
  <c r="F453" i="12" s="1"/>
  <c r="G453" i="12" s="1"/>
  <c r="D59" i="10"/>
  <c r="C325" i="9"/>
  <c r="C461" i="12" l="1"/>
  <c r="D325" i="9"/>
  <c r="F325" i="9" s="1"/>
  <c r="G325" i="9" s="1"/>
  <c r="C60" i="10"/>
  <c r="F59" i="10"/>
  <c r="G59" i="10" s="1"/>
  <c r="C79" i="13" l="1"/>
  <c r="D461" i="12"/>
  <c r="F461" i="12" s="1"/>
  <c r="G461" i="12" s="1"/>
  <c r="F78" i="13"/>
  <c r="G78" i="13" s="1"/>
  <c r="D60" i="10"/>
  <c r="C333" i="9"/>
  <c r="D79" i="13" l="1"/>
  <c r="C469" i="12"/>
  <c r="D333" i="9"/>
  <c r="F333" i="9" s="1"/>
  <c r="G333" i="9" s="1"/>
  <c r="C61" i="10"/>
  <c r="F60" i="10"/>
  <c r="G60" i="10" s="1"/>
  <c r="C80" i="13" l="1"/>
  <c r="D469" i="12"/>
  <c r="F469" i="12" s="1"/>
  <c r="G469" i="12" s="1"/>
  <c r="F79" i="13"/>
  <c r="G79" i="13" s="1"/>
  <c r="D61" i="10"/>
  <c r="C341" i="9"/>
  <c r="D80" i="13" l="1"/>
  <c r="C477" i="12"/>
  <c r="D341" i="9"/>
  <c r="F341" i="9" s="1"/>
  <c r="G341" i="9" s="1"/>
  <c r="C62" i="10"/>
  <c r="F61" i="10"/>
  <c r="G61" i="10" s="1"/>
  <c r="C81" i="13" l="1"/>
  <c r="D477" i="12"/>
  <c r="F477" i="12" s="1"/>
  <c r="G477" i="12" s="1"/>
  <c r="F80" i="13"/>
  <c r="G80" i="13" s="1"/>
  <c r="D62" i="10"/>
  <c r="C63" i="10" s="1"/>
  <c r="C349" i="9"/>
  <c r="F63" i="10" l="1"/>
  <c r="G63" i="10" s="1"/>
  <c r="C357" i="9"/>
  <c r="F357" i="9" s="1"/>
  <c r="G357" i="9" s="1"/>
  <c r="C485" i="12"/>
  <c r="D349" i="9"/>
  <c r="F349" i="9" s="1"/>
  <c r="G349" i="9" s="1"/>
  <c r="F62" i="10"/>
  <c r="G62" i="10" s="1"/>
  <c r="F81" i="13" l="1"/>
  <c r="G81" i="13" s="1"/>
  <c r="D485" i="12"/>
  <c r="F485" i="12" s="1"/>
  <c r="G485" i="12" s="1"/>
  <c r="C365" i="9"/>
  <c r="C493" i="12" l="1"/>
  <c r="D365" i="9"/>
  <c r="F365" i="9" s="1"/>
  <c r="G365" i="9" s="1"/>
  <c r="C65" i="10"/>
  <c r="F64" i="10"/>
  <c r="G64" i="10" s="1"/>
  <c r="C83" i="13" l="1"/>
  <c r="D83" i="13" s="1"/>
  <c r="D493" i="12"/>
  <c r="F493" i="12" s="1"/>
  <c r="G493" i="12" s="1"/>
  <c r="F82" i="13"/>
  <c r="G82" i="13" s="1"/>
  <c r="D65" i="10"/>
  <c r="C373" i="9"/>
  <c r="C501" i="12" l="1"/>
  <c r="D373" i="9"/>
  <c r="F373" i="9" s="1"/>
  <c r="G373" i="9" s="1"/>
  <c r="F65" i="10"/>
  <c r="G65" i="10" s="1"/>
  <c r="C66" i="10"/>
  <c r="C84" i="13" l="1"/>
  <c r="D84" i="13" s="1"/>
  <c r="D501" i="12"/>
  <c r="F501" i="12" s="1"/>
  <c r="G501" i="12" s="1"/>
  <c r="F83" i="13"/>
  <c r="G83" i="13" s="1"/>
  <c r="D66" i="10"/>
  <c r="C381" i="9"/>
  <c r="C509" i="12" l="1"/>
  <c r="D381" i="9"/>
  <c r="F381" i="9" s="1"/>
  <c r="G381" i="9" s="1"/>
  <c r="C67" i="10"/>
  <c r="F66" i="10"/>
  <c r="G66" i="10" s="1"/>
  <c r="C85" i="13" l="1"/>
  <c r="D85" i="13" s="1"/>
  <c r="F84" i="13"/>
  <c r="G84" i="13" s="1"/>
  <c r="D509" i="12"/>
  <c r="F509" i="12" s="1"/>
  <c r="G509" i="12" s="1"/>
  <c r="C389" i="9"/>
  <c r="C517" i="12" l="1"/>
  <c r="D389" i="9"/>
  <c r="F389" i="9" s="1"/>
  <c r="G389" i="9" s="1"/>
  <c r="F67" i="10"/>
  <c r="G67" i="10" s="1"/>
  <c r="C86" i="13" l="1"/>
  <c r="D86" i="13" s="1"/>
  <c r="D517" i="12"/>
  <c r="F517" i="12" s="1"/>
  <c r="G517" i="12" s="1"/>
  <c r="F85" i="13"/>
  <c r="G85" i="13" s="1"/>
  <c r="D68" i="10"/>
  <c r="C397" i="9"/>
  <c r="C525" i="12" l="1"/>
  <c r="D397" i="9"/>
  <c r="F397" i="9" s="1"/>
  <c r="G397" i="9" s="1"/>
  <c r="C69" i="10"/>
  <c r="F68" i="10"/>
  <c r="G68" i="10" s="1"/>
  <c r="C87" i="13" l="1"/>
  <c r="D87" i="13" s="1"/>
  <c r="D525" i="12"/>
  <c r="F525" i="12" s="1"/>
  <c r="G525" i="12" s="1"/>
  <c r="F86" i="13"/>
  <c r="G86" i="13" s="1"/>
  <c r="D69" i="10"/>
  <c r="C405" i="9"/>
  <c r="C533" i="12" l="1"/>
  <c r="D405" i="9"/>
  <c r="F405" i="9" s="1"/>
  <c r="G405" i="9" s="1"/>
  <c r="C70" i="10"/>
  <c r="F69" i="10"/>
  <c r="G69" i="10" s="1"/>
  <c r="C88" i="13" l="1"/>
  <c r="D88" i="13" s="1"/>
  <c r="D533" i="12"/>
  <c r="F533" i="12" s="1"/>
  <c r="G533" i="12" s="1"/>
  <c r="F87" i="13"/>
  <c r="G87" i="13" s="1"/>
  <c r="D70" i="10"/>
  <c r="C413" i="9"/>
  <c r="C541" i="12" l="1"/>
  <c r="D413" i="9"/>
  <c r="F413" i="9" s="1"/>
  <c r="G413" i="9" s="1"/>
  <c r="C71" i="10"/>
  <c r="F70" i="10"/>
  <c r="G70" i="10" s="1"/>
  <c r="C89" i="13" l="1"/>
  <c r="D89" i="13" s="1"/>
  <c r="F88" i="13"/>
  <c r="G88" i="13" s="1"/>
  <c r="D541" i="12"/>
  <c r="F541" i="12" s="1"/>
  <c r="G541" i="12" s="1"/>
  <c r="D71" i="10"/>
  <c r="C421" i="9"/>
  <c r="C549" i="12" l="1"/>
  <c r="D421" i="9"/>
  <c r="F421" i="9" s="1"/>
  <c r="G421" i="9" s="1"/>
  <c r="C72" i="10"/>
  <c r="F71" i="10"/>
  <c r="G71" i="10" s="1"/>
  <c r="C90" i="13" l="1"/>
  <c r="D90" i="13" s="1"/>
  <c r="F89" i="13"/>
  <c r="G89" i="13" s="1"/>
  <c r="D549" i="12"/>
  <c r="F549" i="12" s="1"/>
  <c r="G549" i="12" s="1"/>
  <c r="D72" i="10"/>
  <c r="C429" i="9"/>
  <c r="C557" i="12" l="1"/>
  <c r="D429" i="9"/>
  <c r="F429" i="9" s="1"/>
  <c r="G429" i="9" s="1"/>
  <c r="C73" i="10"/>
  <c r="F72" i="10"/>
  <c r="G72" i="10" s="1"/>
  <c r="C91" i="13" l="1"/>
  <c r="D91" i="13" s="1"/>
  <c r="F90" i="13"/>
  <c r="G90" i="13" s="1"/>
  <c r="D557" i="12"/>
  <c r="F557" i="12" s="1"/>
  <c r="G557" i="12" s="1"/>
  <c r="D73" i="10"/>
  <c r="C437" i="9"/>
  <c r="C565" i="12" l="1"/>
  <c r="D437" i="9"/>
  <c r="F437" i="9" s="1"/>
  <c r="G437" i="9" s="1"/>
  <c r="F73" i="10"/>
  <c r="G73" i="10" s="1"/>
  <c r="C74" i="10"/>
  <c r="C92" i="13" l="1"/>
  <c r="F91" i="13"/>
  <c r="G91" i="13" s="1"/>
  <c r="D565" i="12"/>
  <c r="F565" i="12" s="1"/>
  <c r="G565" i="12" s="1"/>
  <c r="D74" i="10"/>
  <c r="C445" i="9"/>
  <c r="C573" i="12" l="1"/>
  <c r="D445" i="9"/>
  <c r="F445" i="9" s="1"/>
  <c r="G445" i="9" s="1"/>
  <c r="C75" i="10"/>
  <c r="F74" i="10"/>
  <c r="G74" i="10" s="1"/>
  <c r="F92" i="13" l="1"/>
  <c r="G92" i="13" s="1"/>
  <c r="D573" i="12"/>
  <c r="F573" i="12" s="1"/>
  <c r="G573" i="12" s="1"/>
  <c r="D75" i="10"/>
  <c r="C453" i="9"/>
  <c r="C581" i="12" l="1"/>
  <c r="D453" i="9"/>
  <c r="F453" i="9" s="1"/>
  <c r="G453" i="9" s="1"/>
  <c r="C76" i="10"/>
  <c r="F75" i="10"/>
  <c r="G75" i="10" s="1"/>
  <c r="C94" i="13" l="1"/>
  <c r="D581" i="12"/>
  <c r="F581" i="12" s="1"/>
  <c r="G581" i="12" s="1"/>
  <c r="F93" i="13"/>
  <c r="G93" i="13" s="1"/>
  <c r="D76" i="10"/>
  <c r="C461" i="9"/>
  <c r="D94" i="13" l="1"/>
  <c r="C589" i="12"/>
  <c r="D461" i="9"/>
  <c r="F461" i="9" s="1"/>
  <c r="G461" i="9" s="1"/>
  <c r="C77" i="10"/>
  <c r="F76" i="10"/>
  <c r="G76" i="10" s="1"/>
  <c r="C95" i="13" l="1"/>
  <c r="D589" i="12"/>
  <c r="F589" i="12" s="1"/>
  <c r="G589" i="12" s="1"/>
  <c r="F94" i="13"/>
  <c r="G94" i="13" s="1"/>
  <c r="D77" i="10"/>
  <c r="C469" i="9"/>
  <c r="D95" i="13" l="1"/>
  <c r="C597" i="12"/>
  <c r="D469" i="9"/>
  <c r="F469" i="9" s="1"/>
  <c r="G469" i="9" s="1"/>
  <c r="F77" i="10"/>
  <c r="G77" i="10" s="1"/>
  <c r="C78" i="10"/>
  <c r="C96" i="13" l="1"/>
  <c r="D597" i="12"/>
  <c r="F597" i="12" s="1"/>
  <c r="G597" i="12" s="1"/>
  <c r="F95" i="13"/>
  <c r="G95" i="13" s="1"/>
  <c r="D78" i="10"/>
  <c r="C477" i="9"/>
  <c r="D96" i="13" l="1"/>
  <c r="C605" i="12"/>
  <c r="D477" i="9"/>
  <c r="F477" i="9" s="1"/>
  <c r="G477" i="9" s="1"/>
  <c r="F78" i="10"/>
  <c r="G78" i="10" s="1"/>
  <c r="C79" i="10"/>
  <c r="C97" i="13" l="1"/>
  <c r="F96" i="13"/>
  <c r="G96" i="13" s="1"/>
  <c r="D605" i="12"/>
  <c r="F605" i="12" s="1"/>
  <c r="G605" i="12" s="1"/>
  <c r="D79" i="10"/>
  <c r="C485" i="9"/>
  <c r="D97" i="13" l="1"/>
  <c r="C613" i="12"/>
  <c r="D485" i="9"/>
  <c r="F485" i="9" s="1"/>
  <c r="G485" i="9" s="1"/>
  <c r="F79" i="10"/>
  <c r="G79" i="10" s="1"/>
  <c r="C80" i="10"/>
  <c r="C98" i="13" l="1"/>
  <c r="F97" i="13"/>
  <c r="G97" i="13" s="1"/>
  <c r="D613" i="12"/>
  <c r="F613" i="12" s="1"/>
  <c r="G613" i="12" s="1"/>
  <c r="D80" i="10"/>
  <c r="C493" i="9"/>
  <c r="D98" i="13" l="1"/>
  <c r="C621" i="12"/>
  <c r="D493" i="9"/>
  <c r="F493" i="9" s="1"/>
  <c r="G493" i="9" s="1"/>
  <c r="C81" i="10"/>
  <c r="F80" i="10"/>
  <c r="G80" i="10" s="1"/>
  <c r="C99" i="13" l="1"/>
  <c r="D621" i="12"/>
  <c r="F621" i="12" s="1"/>
  <c r="G621" i="12" s="1"/>
  <c r="F98" i="13"/>
  <c r="G98" i="13" s="1"/>
  <c r="D81" i="10"/>
  <c r="C501" i="9"/>
  <c r="D99" i="13" l="1"/>
  <c r="C629" i="12"/>
  <c r="D501" i="9"/>
  <c r="F501" i="9" s="1"/>
  <c r="G501" i="9" s="1"/>
  <c r="C82" i="10"/>
  <c r="F81" i="10"/>
  <c r="G81" i="10" s="1"/>
  <c r="C100" i="13" l="1"/>
  <c r="D629" i="12"/>
  <c r="F629" i="12" s="1"/>
  <c r="G629" i="12" s="1"/>
  <c r="F99" i="13"/>
  <c r="G99" i="13" s="1"/>
  <c r="D82" i="10"/>
  <c r="C509" i="9"/>
  <c r="D100" i="13" l="1"/>
  <c r="C637" i="12"/>
  <c r="D509" i="9"/>
  <c r="F509" i="9" s="1"/>
  <c r="G509" i="9" s="1"/>
  <c r="C83" i="10"/>
  <c r="F82" i="10"/>
  <c r="G82" i="10" s="1"/>
  <c r="C101" i="13" l="1"/>
  <c r="D637" i="12"/>
  <c r="F637" i="12" s="1"/>
  <c r="G637" i="12" s="1"/>
  <c r="F100" i="13"/>
  <c r="G100" i="13" s="1"/>
  <c r="D83" i="10"/>
  <c r="C517" i="9"/>
  <c r="D101" i="13" l="1"/>
  <c r="C645" i="12"/>
  <c r="D517" i="9"/>
  <c r="F517" i="9" s="1"/>
  <c r="G517" i="9" s="1"/>
  <c r="C84" i="10"/>
  <c r="F83" i="10"/>
  <c r="G83" i="10" s="1"/>
  <c r="C102" i="13" l="1"/>
  <c r="D645" i="12"/>
  <c r="F645" i="12" s="1"/>
  <c r="G645" i="12" s="1"/>
  <c r="F101" i="13"/>
  <c r="G101" i="13" s="1"/>
  <c r="D84" i="10"/>
  <c r="C525" i="9"/>
  <c r="D102" i="13" l="1"/>
  <c r="C653" i="12"/>
  <c r="D525" i="9"/>
  <c r="F525" i="9" s="1"/>
  <c r="G525" i="9" s="1"/>
  <c r="F84" i="10"/>
  <c r="G84" i="10" s="1"/>
  <c r="C85" i="10"/>
  <c r="C103" i="13" l="1"/>
  <c r="D653" i="12"/>
  <c r="F653" i="12" s="1"/>
  <c r="G653" i="12" s="1"/>
  <c r="F102" i="13"/>
  <c r="G102" i="13" s="1"/>
  <c r="D85" i="10"/>
  <c r="C533" i="9"/>
  <c r="D103" i="13" l="1"/>
  <c r="C661" i="12"/>
  <c r="D533" i="9"/>
  <c r="F533" i="9" s="1"/>
  <c r="G533" i="9" s="1"/>
  <c r="F85" i="10"/>
  <c r="G85" i="10" s="1"/>
  <c r="C86" i="10"/>
  <c r="C104" i="13" l="1"/>
  <c r="D661" i="12"/>
  <c r="F661" i="12" s="1"/>
  <c r="G661" i="12" s="1"/>
  <c r="F103" i="13"/>
  <c r="G103" i="13" s="1"/>
  <c r="D86" i="10"/>
  <c r="C541" i="9"/>
  <c r="D104" i="13" l="1"/>
  <c r="C669" i="12"/>
  <c r="D541" i="9"/>
  <c r="F541" i="9" s="1"/>
  <c r="G541" i="9" s="1"/>
  <c r="C87" i="10"/>
  <c r="F86" i="10"/>
  <c r="G86" i="10" s="1"/>
  <c r="C105" i="13" l="1"/>
  <c r="D669" i="12"/>
  <c r="F669" i="12" s="1"/>
  <c r="G669" i="12" s="1"/>
  <c r="F104" i="13"/>
  <c r="G104" i="13" s="1"/>
  <c r="D87" i="10"/>
  <c r="C549" i="9"/>
  <c r="D105" i="13" l="1"/>
  <c r="C677" i="12"/>
  <c r="D549" i="9"/>
  <c r="F549" i="9" s="1"/>
  <c r="G549" i="9" s="1"/>
  <c r="F87" i="10"/>
  <c r="G87" i="10" s="1"/>
  <c r="C88" i="10"/>
  <c r="C106" i="13" l="1"/>
  <c r="D677" i="12"/>
  <c r="F677" i="12" s="1"/>
  <c r="G677" i="12" s="1"/>
  <c r="F105" i="13"/>
  <c r="G105" i="13" s="1"/>
  <c r="D88" i="10"/>
  <c r="C89" i="10" s="1"/>
  <c r="C557" i="9"/>
  <c r="D89" i="10" l="1"/>
  <c r="D565" i="9" s="1"/>
  <c r="C565" i="9"/>
  <c r="C90" i="10"/>
  <c r="F89" i="10"/>
  <c r="G89" i="10" s="1"/>
  <c r="D106" i="13"/>
  <c r="C685" i="12"/>
  <c r="D557" i="9"/>
  <c r="F557" i="9" s="1"/>
  <c r="G557" i="9" s="1"/>
  <c r="F88" i="10"/>
  <c r="G88" i="10" s="1"/>
  <c r="D90" i="10" l="1"/>
  <c r="D573" i="9" s="1"/>
  <c r="C573" i="9"/>
  <c r="F90" i="10"/>
  <c r="G90" i="10" s="1"/>
  <c r="C91" i="10"/>
  <c r="C107" i="13"/>
  <c r="D685" i="12"/>
  <c r="F685" i="12" s="1"/>
  <c r="G685" i="12" s="1"/>
  <c r="F106" i="13"/>
  <c r="G106" i="13" s="1"/>
  <c r="D91" i="10" l="1"/>
  <c r="D581" i="9" s="1"/>
  <c r="C581" i="9"/>
  <c r="F91" i="10"/>
  <c r="G91" i="10" s="1"/>
  <c r="C92" i="10"/>
  <c r="D107" i="13"/>
  <c r="C693" i="12"/>
  <c r="D92" i="10" l="1"/>
  <c r="D589" i="9" s="1"/>
  <c r="C589" i="9"/>
  <c r="F92" i="10"/>
  <c r="G92" i="10" s="1"/>
  <c r="C93" i="10"/>
  <c r="C108" i="13"/>
  <c r="D693" i="12"/>
  <c r="F693" i="12" s="1"/>
  <c r="G693" i="12" s="1"/>
  <c r="F107" i="13"/>
  <c r="G107" i="13" s="1"/>
  <c r="D93" i="10" l="1"/>
  <c r="D597" i="9" s="1"/>
  <c r="C597" i="9"/>
  <c r="C94" i="10"/>
  <c r="F93" i="10"/>
  <c r="G93" i="10" s="1"/>
  <c r="D108" i="13"/>
  <c r="C701" i="12"/>
  <c r="D637" i="9"/>
  <c r="C99" i="10"/>
  <c r="D94" i="10" l="1"/>
  <c r="D605" i="9" s="1"/>
  <c r="C605" i="9"/>
  <c r="F94" i="10"/>
  <c r="G94" i="10" s="1"/>
  <c r="C95" i="10"/>
  <c r="C109" i="13"/>
  <c r="D701" i="12"/>
  <c r="F701" i="12" s="1"/>
  <c r="G701" i="12" s="1"/>
  <c r="F108" i="13"/>
  <c r="G108" i="13" s="1"/>
  <c r="D99" i="10"/>
  <c r="C645" i="9"/>
  <c r="D95" i="10" l="1"/>
  <c r="D613" i="9" s="1"/>
  <c r="C613" i="9"/>
  <c r="F95" i="10"/>
  <c r="G95" i="10" s="1"/>
  <c r="C96" i="10"/>
  <c r="D109" i="13"/>
  <c r="C709" i="12"/>
  <c r="D645" i="9"/>
  <c r="F645" i="9" s="1"/>
  <c r="G645" i="9" s="1"/>
  <c r="F99" i="10"/>
  <c r="G99" i="10" s="1"/>
  <c r="C100" i="10"/>
  <c r="F613" i="9" l="1"/>
  <c r="G613" i="9" s="1"/>
  <c r="D96" i="10"/>
  <c r="C621" i="9"/>
  <c r="C110" i="13"/>
  <c r="D709" i="12"/>
  <c r="F709" i="12" s="1"/>
  <c r="G709" i="12" s="1"/>
  <c r="F109" i="13"/>
  <c r="G109" i="13" s="1"/>
  <c r="D100" i="10"/>
  <c r="C653" i="9"/>
  <c r="F96" i="10" l="1"/>
  <c r="G96" i="10" s="1"/>
  <c r="C97" i="10"/>
  <c r="D621" i="9"/>
  <c r="F621" i="9" s="1"/>
  <c r="G621" i="9" s="1"/>
  <c r="D110" i="13"/>
  <c r="C717" i="12"/>
  <c r="D653" i="9"/>
  <c r="F653" i="9" s="1"/>
  <c r="G653" i="9" s="1"/>
  <c r="F100" i="10"/>
  <c r="G100" i="10" s="1"/>
  <c r="C101" i="10"/>
  <c r="D97" i="10" l="1"/>
  <c r="C629" i="9"/>
  <c r="C111" i="13"/>
  <c r="D717" i="12"/>
  <c r="F717" i="12" s="1"/>
  <c r="G717" i="12" s="1"/>
  <c r="F110" i="13"/>
  <c r="G110" i="13" s="1"/>
  <c r="D101" i="10"/>
  <c r="C661" i="9"/>
  <c r="C98" i="10" l="1"/>
  <c r="D629" i="9"/>
  <c r="F629" i="9" s="1"/>
  <c r="G629" i="9" s="1"/>
  <c r="F97" i="10"/>
  <c r="G97" i="10" s="1"/>
  <c r="D111" i="13"/>
  <c r="C725" i="12"/>
  <c r="D661" i="9"/>
  <c r="F661" i="9" s="1"/>
  <c r="G661" i="9" s="1"/>
  <c r="C102" i="10"/>
  <c r="F101" i="10"/>
  <c r="G101" i="10" s="1"/>
  <c r="C637" i="9" l="1"/>
  <c r="F637" i="9" s="1"/>
  <c r="G637" i="9" s="1"/>
  <c r="F98" i="10"/>
  <c r="G98" i="10" s="1"/>
  <c r="C112" i="13"/>
  <c r="D725" i="12"/>
  <c r="F725" i="12" s="1"/>
  <c r="G725" i="12" s="1"/>
  <c r="F111" i="13"/>
  <c r="G111" i="13" s="1"/>
  <c r="D102" i="10"/>
  <c r="C669" i="9"/>
  <c r="D112" i="13" l="1"/>
  <c r="C733" i="12"/>
  <c r="D669" i="9"/>
  <c r="F669" i="9" s="1"/>
  <c r="G669" i="9" s="1"/>
  <c r="C103" i="10"/>
  <c r="F102" i="10"/>
  <c r="G102" i="10" s="1"/>
  <c r="C113" i="13" l="1"/>
  <c r="D733" i="12"/>
  <c r="F733" i="12" s="1"/>
  <c r="G733" i="12" s="1"/>
  <c r="F112" i="13"/>
  <c r="G112" i="13" s="1"/>
  <c r="D103" i="10"/>
  <c r="C677" i="9"/>
  <c r="D113" i="13" l="1"/>
  <c r="C741" i="12"/>
  <c r="D677" i="9"/>
  <c r="F677" i="9" s="1"/>
  <c r="G677" i="9" s="1"/>
  <c r="C104" i="10"/>
  <c r="F103" i="10"/>
  <c r="G103" i="10" s="1"/>
  <c r="C114" i="13" l="1"/>
  <c r="D741" i="12"/>
  <c r="F741" i="12" s="1"/>
  <c r="G741" i="12" s="1"/>
  <c r="F113" i="13"/>
  <c r="G113" i="13" s="1"/>
  <c r="D104" i="10"/>
  <c r="F565" i="9" s="1"/>
  <c r="G565" i="9" s="1"/>
  <c r="C685" i="9"/>
  <c r="D114" i="13" l="1"/>
  <c r="C749" i="12"/>
  <c r="D685" i="9"/>
  <c r="F685" i="9" s="1"/>
  <c r="G685" i="9" s="1"/>
  <c r="F104" i="10"/>
  <c r="G104" i="10" s="1"/>
  <c r="C105" i="10"/>
  <c r="C115" i="13" l="1"/>
  <c r="D749" i="12"/>
  <c r="F749" i="12" s="1"/>
  <c r="G749" i="12" s="1"/>
  <c r="F114" i="13"/>
  <c r="G114" i="13" s="1"/>
  <c r="D105" i="10"/>
  <c r="F573" i="9" s="1"/>
  <c r="G573" i="9" s="1"/>
  <c r="C693" i="9"/>
  <c r="D115" i="13" l="1"/>
  <c r="C757" i="12"/>
  <c r="D693" i="9"/>
  <c r="F693" i="9" s="1"/>
  <c r="G693" i="9" s="1"/>
  <c r="C106" i="10"/>
  <c r="F105" i="10"/>
  <c r="G105" i="10" s="1"/>
  <c r="C116" i="13" l="1"/>
  <c r="D757" i="12"/>
  <c r="F757" i="12" s="1"/>
  <c r="G757" i="12" s="1"/>
  <c r="F115" i="13"/>
  <c r="G115" i="13" s="1"/>
  <c r="D106" i="10"/>
  <c r="C701" i="9"/>
  <c r="D116" i="13" l="1"/>
  <c r="C765" i="12"/>
  <c r="D701" i="9"/>
  <c r="F701" i="9" s="1"/>
  <c r="G701" i="9" s="1"/>
  <c r="C107" i="10"/>
  <c r="F106" i="10"/>
  <c r="G106" i="10" s="1"/>
  <c r="C117" i="13" l="1"/>
  <c r="D765" i="12"/>
  <c r="F765" i="12" s="1"/>
  <c r="G765" i="12" s="1"/>
  <c r="F116" i="13"/>
  <c r="G116" i="13" s="1"/>
  <c r="D107" i="10"/>
  <c r="C709" i="9"/>
  <c r="D117" i="13" l="1"/>
  <c r="C773" i="12"/>
  <c r="D709" i="9"/>
  <c r="F709" i="9" s="1"/>
  <c r="G709" i="9" s="1"/>
  <c r="F107" i="10"/>
  <c r="G107" i="10" s="1"/>
  <c r="C108" i="10"/>
  <c r="C118" i="13" l="1"/>
  <c r="D773" i="12"/>
  <c r="F773" i="12" s="1"/>
  <c r="G773" i="12" s="1"/>
  <c r="F117" i="13"/>
  <c r="G117" i="13" s="1"/>
  <c r="D108" i="10"/>
  <c r="C717" i="9"/>
  <c r="D118" i="13" l="1"/>
  <c r="C781" i="12"/>
  <c r="D717" i="9"/>
  <c r="F717" i="9" s="1"/>
  <c r="G717" i="9" s="1"/>
  <c r="C109" i="10"/>
  <c r="F108" i="10"/>
  <c r="G108" i="10" s="1"/>
  <c r="C119" i="13" l="1"/>
  <c r="D781" i="12"/>
  <c r="F781" i="12" s="1"/>
  <c r="G781" i="12" s="1"/>
  <c r="F118" i="13"/>
  <c r="G118" i="13" s="1"/>
  <c r="D109" i="10"/>
  <c r="C725" i="9"/>
  <c r="D119" i="13" l="1"/>
  <c r="C789" i="12"/>
  <c r="D725" i="9"/>
  <c r="F725" i="9" s="1"/>
  <c r="G725" i="9" s="1"/>
  <c r="F109" i="10"/>
  <c r="G109" i="10" s="1"/>
  <c r="C110" i="10"/>
  <c r="C120" i="13" l="1"/>
  <c r="D789" i="12"/>
  <c r="F789" i="12" s="1"/>
  <c r="G789" i="12" s="1"/>
  <c r="F119" i="13"/>
  <c r="G119" i="13" s="1"/>
  <c r="D110" i="10"/>
  <c r="C733" i="9"/>
  <c r="D120" i="13" l="1"/>
  <c r="C797" i="12"/>
  <c r="D733" i="9"/>
  <c r="F733" i="9" s="1"/>
  <c r="G733" i="9" s="1"/>
  <c r="C111" i="10"/>
  <c r="F110" i="10"/>
  <c r="G110" i="10" s="1"/>
  <c r="C121" i="13" l="1"/>
  <c r="D797" i="12"/>
  <c r="F797" i="12" s="1"/>
  <c r="G797" i="12" s="1"/>
  <c r="F120" i="13"/>
  <c r="G120" i="13" s="1"/>
  <c r="D111" i="10"/>
  <c r="C741" i="9"/>
  <c r="D121" i="13" l="1"/>
  <c r="C805" i="12"/>
  <c r="D741" i="9"/>
  <c r="F741" i="9" s="1"/>
  <c r="G741" i="9" s="1"/>
  <c r="F111" i="10"/>
  <c r="G111" i="10" s="1"/>
  <c r="C112" i="10"/>
  <c r="C122" i="13" l="1"/>
  <c r="D805" i="12"/>
  <c r="F805" i="12" s="1"/>
  <c r="G805" i="12" s="1"/>
  <c r="F121" i="13"/>
  <c r="G121" i="13" s="1"/>
  <c r="D112" i="10"/>
  <c r="C749" i="9"/>
  <c r="D122" i="13" l="1"/>
  <c r="C813" i="12"/>
  <c r="D749" i="9"/>
  <c r="F749" i="9" s="1"/>
  <c r="G749" i="9" s="1"/>
  <c r="F112" i="10"/>
  <c r="G112" i="10" s="1"/>
  <c r="C113" i="10"/>
  <c r="C123" i="13" l="1"/>
  <c r="D813" i="12"/>
  <c r="F813" i="12" s="1"/>
  <c r="G813" i="12" s="1"/>
  <c r="F122" i="13"/>
  <c r="G122" i="13" s="1"/>
  <c r="D113" i="10"/>
  <c r="C757" i="9"/>
  <c r="D123" i="13" l="1"/>
  <c r="C821" i="12"/>
  <c r="D757" i="9"/>
  <c r="F757" i="9" s="1"/>
  <c r="G757" i="9" s="1"/>
  <c r="C114" i="10"/>
  <c r="F113" i="10"/>
  <c r="G113" i="10" s="1"/>
  <c r="C124" i="13" l="1"/>
  <c r="D821" i="12"/>
  <c r="F821" i="12" s="1"/>
  <c r="G821" i="12" s="1"/>
  <c r="F123" i="13"/>
  <c r="G123" i="13" s="1"/>
  <c r="D114" i="10"/>
  <c r="C765" i="9"/>
  <c r="D124" i="13" l="1"/>
  <c r="C829" i="12"/>
  <c r="D765" i="9"/>
  <c r="F765" i="9" s="1"/>
  <c r="G765" i="9" s="1"/>
  <c r="C115" i="10"/>
  <c r="F114" i="10"/>
  <c r="G114" i="10" s="1"/>
  <c r="D829" i="12" l="1"/>
  <c r="F829" i="12" s="1"/>
  <c r="G829" i="12" s="1"/>
  <c r="F124" i="13"/>
  <c r="G124" i="13" s="1"/>
  <c r="D115" i="10"/>
  <c r="C773" i="9"/>
  <c r="D773" i="9" l="1"/>
  <c r="F773" i="9" s="1"/>
  <c r="G773" i="9" s="1"/>
  <c r="F115" i="10"/>
  <c r="G115" i="10" s="1"/>
  <c r="C116" i="10"/>
  <c r="D116" i="10" l="1"/>
  <c r="C781" i="9"/>
  <c r="D781" i="9" l="1"/>
  <c r="F781" i="9" s="1"/>
  <c r="G781" i="9" s="1"/>
  <c r="F116" i="10"/>
  <c r="G116" i="10" s="1"/>
  <c r="C117" i="10"/>
  <c r="D117" i="10" l="1"/>
  <c r="C789" i="9"/>
  <c r="D789" i="9" l="1"/>
  <c r="F789" i="9" s="1"/>
  <c r="G789" i="9" s="1"/>
  <c r="F117" i="10"/>
  <c r="G117" i="10" s="1"/>
  <c r="C118" i="10"/>
  <c r="D118" i="10" l="1"/>
  <c r="C797" i="9"/>
  <c r="D797" i="9" l="1"/>
  <c r="F797" i="9" s="1"/>
  <c r="G797" i="9" s="1"/>
  <c r="F118" i="10"/>
  <c r="G118" i="10" s="1"/>
  <c r="C119" i="10"/>
  <c r="D119" i="10" l="1"/>
  <c r="C805" i="9"/>
  <c r="D805" i="9" l="1"/>
  <c r="F805" i="9" s="1"/>
  <c r="G805" i="9" s="1"/>
  <c r="F119" i="10"/>
  <c r="G119" i="10" s="1"/>
  <c r="C120" i="10"/>
  <c r="D120" i="10" l="1"/>
  <c r="F581" i="9" s="1"/>
  <c r="G581" i="9" s="1"/>
  <c r="C813" i="9"/>
  <c r="D813" i="9" l="1"/>
  <c r="F813" i="9" s="1"/>
  <c r="G813" i="9" s="1"/>
  <c r="C121" i="10"/>
  <c r="F120" i="10"/>
  <c r="G120" i="10" s="1"/>
  <c r="D121" i="10" l="1"/>
  <c r="F589" i="9" s="1"/>
  <c r="G589" i="9" s="1"/>
  <c r="C821" i="9"/>
  <c r="D821" i="9" l="1"/>
  <c r="F821" i="9" s="1"/>
  <c r="G821" i="9" s="1"/>
  <c r="C122" i="10"/>
  <c r="F121" i="10"/>
  <c r="G121" i="10" s="1"/>
  <c r="D122" i="10" l="1"/>
  <c r="C829" i="9"/>
  <c r="D829" i="9" l="1"/>
  <c r="F829" i="9" s="1"/>
  <c r="G829" i="9" s="1"/>
  <c r="F122" i="10"/>
  <c r="G122" i="10" s="1"/>
  <c r="C123" i="10"/>
  <c r="D123" i="10" l="1"/>
  <c r="C837" i="9"/>
  <c r="D837" i="9" l="1"/>
  <c r="F837" i="9" s="1"/>
  <c r="G837" i="9" s="1"/>
  <c r="C124" i="10"/>
  <c r="F123" i="10"/>
  <c r="G123" i="10" s="1"/>
  <c r="D124" i="10" l="1"/>
  <c r="C845" i="9"/>
  <c r="D845" i="9" l="1"/>
  <c r="F845" i="9" s="1"/>
  <c r="G845" i="9" s="1"/>
  <c r="F124" i="10"/>
  <c r="G124" i="10" s="1"/>
  <c r="C125" i="10"/>
  <c r="D125" i="10" l="1"/>
  <c r="C853" i="9"/>
  <c r="D853" i="9" l="1"/>
  <c r="F853" i="9" s="1"/>
  <c r="G853" i="9" s="1"/>
  <c r="C126" i="10"/>
  <c r="F125" i="10"/>
  <c r="G125" i="10" s="1"/>
  <c r="D126" i="10" l="1"/>
  <c r="C861" i="9"/>
  <c r="D861" i="9" l="1"/>
  <c r="F861" i="9" s="1"/>
  <c r="G861" i="9" s="1"/>
  <c r="F126" i="10"/>
  <c r="G126" i="10" s="1"/>
  <c r="C127" i="10"/>
  <c r="D127" i="10" l="1"/>
  <c r="C869" i="9"/>
  <c r="D869" i="9" l="1"/>
  <c r="F869" i="9" s="1"/>
  <c r="G869" i="9" s="1"/>
  <c r="F127" i="10"/>
  <c r="G127" i="10" s="1"/>
  <c r="C128" i="10"/>
  <c r="D128" i="10" l="1"/>
  <c r="C877" i="9"/>
  <c r="D877" i="9" l="1"/>
  <c r="F877" i="9" s="1"/>
  <c r="G877" i="9" s="1"/>
  <c r="C129" i="10"/>
  <c r="F128" i="10"/>
  <c r="G128" i="10" s="1"/>
  <c r="D129" i="10" l="1"/>
  <c r="C885" i="9"/>
  <c r="D885" i="9" l="1"/>
  <c r="F885" i="9" s="1"/>
  <c r="G885" i="9" s="1"/>
  <c r="C130" i="10"/>
  <c r="F129" i="10"/>
  <c r="G129" i="10" s="1"/>
  <c r="D130" i="10" l="1"/>
  <c r="C893" i="9"/>
  <c r="D893" i="9" l="1"/>
  <c r="F893" i="9" s="1"/>
  <c r="G893" i="9" s="1"/>
  <c r="F130" i="10"/>
  <c r="G130" i="10" s="1"/>
  <c r="C131" i="10"/>
  <c r="D131" i="10" l="1"/>
  <c r="C901" i="9"/>
  <c r="D901" i="9" l="1"/>
  <c r="F901" i="9" s="1"/>
  <c r="G901" i="9" s="1"/>
  <c r="C132" i="10"/>
  <c r="F131" i="10"/>
  <c r="G131" i="10" s="1"/>
  <c r="D132" i="10" l="1"/>
  <c r="C909" i="9"/>
  <c r="D909" i="9" l="1"/>
  <c r="F909" i="9" s="1"/>
  <c r="G909" i="9" s="1"/>
  <c r="F132" i="10"/>
  <c r="G132" i="10" s="1"/>
  <c r="C133" i="10"/>
  <c r="D133" i="10" l="1"/>
  <c r="C917" i="9"/>
  <c r="D917" i="9" l="1"/>
  <c r="F917" i="9" s="1"/>
  <c r="G917" i="9" s="1"/>
  <c r="C134" i="10"/>
  <c r="F133" i="10"/>
  <c r="G133" i="10" s="1"/>
  <c r="D134" i="10" l="1"/>
  <c r="C925" i="9"/>
  <c r="D925" i="9" l="1"/>
  <c r="F925" i="9" s="1"/>
  <c r="G925" i="9" s="1"/>
  <c r="C135" i="10"/>
  <c r="F134" i="10"/>
  <c r="G134" i="10" s="1"/>
  <c r="D135" i="10" l="1"/>
  <c r="C136" i="10" s="1"/>
  <c r="C933" i="9"/>
  <c r="D136" i="10" l="1"/>
  <c r="C941" i="9"/>
  <c r="D933" i="9"/>
  <c r="F933" i="9" s="1"/>
  <c r="G933" i="9" s="1"/>
  <c r="F135" i="10"/>
  <c r="G135" i="10" s="1"/>
  <c r="D941" i="9" l="1"/>
  <c r="F597" i="9"/>
  <c r="G597" i="9" s="1"/>
  <c r="F136" i="10"/>
  <c r="G136" i="10" s="1"/>
  <c r="C137" i="10"/>
  <c r="D137" i="10" s="1"/>
  <c r="F941" i="9"/>
  <c r="G941" i="9" s="1"/>
  <c r="F137" i="10" l="1"/>
  <c r="G137" i="10" s="1"/>
  <c r="C138" i="10"/>
  <c r="D949" i="9"/>
  <c r="F605" i="9"/>
  <c r="G605" i="9" s="1"/>
  <c r="C949" i="9"/>
  <c r="F949" i="9" s="1"/>
  <c r="G949" i="9" s="1"/>
  <c r="D138" i="10"/>
  <c r="D957" i="9" s="1"/>
  <c r="C957" i="9"/>
  <c r="F138" i="10"/>
  <c r="G138" i="10" s="1"/>
  <c r="C139" i="10"/>
  <c r="D973" i="9"/>
  <c r="D139" i="10" l="1"/>
  <c r="C965" i="9"/>
  <c r="F957" i="9"/>
  <c r="G957" i="9" s="1"/>
  <c r="F139" i="10"/>
  <c r="G139" i="10" s="1"/>
  <c r="C981" i="9"/>
  <c r="D965" i="9" l="1"/>
  <c r="F965" i="9" s="1"/>
  <c r="G965" i="9" s="1"/>
  <c r="C140" i="10"/>
  <c r="D981" i="9"/>
  <c r="F981" i="9" s="1"/>
  <c r="G981" i="9" s="1"/>
  <c r="F141" i="10"/>
  <c r="G141" i="10" s="1"/>
  <c r="C973" i="9" l="1"/>
  <c r="F973" i="9" s="1"/>
  <c r="G973" i="9" s="1"/>
  <c r="G140" i="10"/>
  <c r="C997" i="9"/>
  <c r="D997" i="9" l="1"/>
  <c r="F997" i="9" s="1"/>
  <c r="G997" i="9" s="1"/>
  <c r="F143" i="10"/>
  <c r="G143" i="10" s="1"/>
  <c r="C1005" i="9" l="1"/>
  <c r="D1005" i="9" l="1"/>
  <c r="F1005" i="9" s="1"/>
  <c r="G1005" i="9" s="1"/>
  <c r="C145" i="10"/>
  <c r="F144" i="10"/>
  <c r="G144" i="10" s="1"/>
  <c r="D145" i="10" l="1"/>
  <c r="C1013" i="9"/>
  <c r="D1013" i="9" l="1"/>
  <c r="F1013" i="9" s="1"/>
  <c r="G1013" i="9" s="1"/>
  <c r="F145" i="10"/>
  <c r="G145" i="10" s="1"/>
  <c r="C146" i="10"/>
  <c r="D146" i="10" l="1"/>
  <c r="C1021" i="9"/>
  <c r="AM25" i="2"/>
  <c r="AJ25" i="2"/>
  <c r="AG25" i="2"/>
  <c r="AC25" i="2"/>
  <c r="Y25" i="2"/>
  <c r="P25" i="2"/>
  <c r="M25" i="2"/>
  <c r="J25" i="2"/>
  <c r="D1021" i="9" l="1"/>
  <c r="F1021" i="9" s="1"/>
  <c r="G1021" i="9" s="1"/>
  <c r="C147" i="10"/>
  <c r="F146" i="10"/>
  <c r="G146" i="10" s="1"/>
  <c r="AM24" i="2"/>
  <c r="AJ24" i="2"/>
  <c r="AG24" i="2"/>
  <c r="AC24" i="2"/>
  <c r="Y24" i="2"/>
  <c r="P24" i="2"/>
  <c r="M24" i="2"/>
  <c r="J24" i="2"/>
  <c r="K21" i="8"/>
  <c r="AM23" i="2"/>
  <c r="AJ23" i="2"/>
  <c r="AG23" i="2"/>
  <c r="AC23" i="2"/>
  <c r="Y23" i="2"/>
  <c r="P23" i="2"/>
  <c r="M23" i="2"/>
  <c r="J23" i="2"/>
  <c r="AM22" i="2"/>
  <c r="AJ22" i="2"/>
  <c r="AG22" i="2"/>
  <c r="AC22" i="2"/>
  <c r="Y22" i="2"/>
  <c r="P22" i="2"/>
  <c r="M22" i="2"/>
  <c r="J22" i="2"/>
  <c r="D147" i="10" l="1"/>
  <c r="C1029" i="9"/>
  <c r="AM21" i="2"/>
  <c r="AJ21" i="2"/>
  <c r="AG21" i="2"/>
  <c r="AC21" i="2"/>
  <c r="Y21" i="2"/>
  <c r="L21" i="8"/>
  <c r="P21" i="2"/>
  <c r="M21" i="2"/>
  <c r="J21" i="2"/>
  <c r="D1029" i="9" l="1"/>
  <c r="F1029" i="9" s="1"/>
  <c r="G1029" i="9" s="1"/>
  <c r="F147" i="10"/>
  <c r="G147" i="10" s="1"/>
  <c r="C148" i="10"/>
  <c r="AJ28" i="2"/>
  <c r="R21" i="8" s="1"/>
  <c r="AC28" i="2"/>
  <c r="O21" i="8" s="1"/>
  <c r="AG28" i="2"/>
  <c r="Q21" i="8" s="1"/>
  <c r="J28" i="2"/>
  <c r="H21" i="8" s="1"/>
  <c r="Y28" i="2"/>
  <c r="M21" i="8" s="1"/>
  <c r="AM28" i="2"/>
  <c r="S21" i="8" s="1"/>
  <c r="P28" i="2"/>
  <c r="J21" i="8" s="1"/>
  <c r="M28" i="2"/>
  <c r="I21" i="8" s="1"/>
  <c r="D148" i="10" l="1"/>
  <c r="C1037" i="9"/>
  <c r="F21" i="8"/>
  <c r="G21" i="8" s="1"/>
  <c r="F21" i="2"/>
  <c r="G21" i="2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CN21" i="6"/>
  <c r="CJ21" i="6"/>
  <c r="CF21" i="6"/>
  <c r="CB21" i="6"/>
  <c r="BX21" i="6"/>
  <c r="BT21" i="6"/>
  <c r="BO21" i="6"/>
  <c r="BK21" i="6"/>
  <c r="BG21" i="6"/>
  <c r="BC21" i="6"/>
  <c r="AY21" i="6"/>
  <c r="AU21" i="6"/>
  <c r="AP21" i="6"/>
  <c r="AL21" i="6"/>
  <c r="AH21" i="6"/>
  <c r="AD21" i="6"/>
  <c r="Z21" i="6"/>
  <c r="V21" i="6"/>
  <c r="R21" i="6"/>
  <c r="N21" i="6"/>
  <c r="J21" i="6"/>
  <c r="E21" i="6"/>
  <c r="C23" i="6" s="1"/>
  <c r="E23" i="6" s="1"/>
  <c r="C25" i="6" s="1"/>
  <c r="E25" i="6" s="1"/>
  <c r="C27" i="6" s="1"/>
  <c r="E27" i="6" s="1"/>
  <c r="C29" i="6" s="1"/>
  <c r="E29" i="6" s="1"/>
  <c r="C31" i="6" s="1"/>
  <c r="E31" i="6" s="1"/>
  <c r="C33" i="6" s="1"/>
  <c r="E33" i="6" s="1"/>
  <c r="C35" i="6" s="1"/>
  <c r="E35" i="6" s="1"/>
  <c r="C37" i="6" s="1"/>
  <c r="E37" i="6" s="1"/>
  <c r="C39" i="6" s="1"/>
  <c r="E39" i="6" s="1"/>
  <c r="C41" i="6" s="1"/>
  <c r="E41" i="6" s="1"/>
  <c r="C43" i="6" s="1"/>
  <c r="E43" i="6" s="1"/>
  <c r="C45" i="6" s="1"/>
  <c r="E45" i="6" s="1"/>
  <c r="C47" i="6" s="1"/>
  <c r="E47" i="6" s="1"/>
  <c r="C49" i="6" s="1"/>
  <c r="E49" i="6" s="1"/>
  <c r="C51" i="6" s="1"/>
  <c r="E51" i="6" s="1"/>
  <c r="C53" i="6" s="1"/>
  <c r="E53" i="6" s="1"/>
  <c r="C55" i="6" s="1"/>
  <c r="E55" i="6" s="1"/>
  <c r="C57" i="6" s="1"/>
  <c r="E57" i="6" s="1"/>
  <c r="C59" i="6" s="1"/>
  <c r="E59" i="6" s="1"/>
  <c r="C61" i="6" s="1"/>
  <c r="E61" i="6" s="1"/>
  <c r="C63" i="6" s="1"/>
  <c r="E63" i="6" s="1"/>
  <c r="C65" i="6" s="1"/>
  <c r="E65" i="6" s="1"/>
  <c r="C67" i="6" s="1"/>
  <c r="E67" i="6" s="1"/>
  <c r="C69" i="6" s="1"/>
  <c r="E69" i="6" s="1"/>
  <c r="C71" i="6" s="1"/>
  <c r="E71" i="6" s="1"/>
  <c r="C73" i="6" s="1"/>
  <c r="E73" i="6" s="1"/>
  <c r="C75" i="6" s="1"/>
  <c r="E75" i="6" s="1"/>
  <c r="C77" i="6" s="1"/>
  <c r="E77" i="6" s="1"/>
  <c r="C79" i="6" s="1"/>
  <c r="E79" i="6" s="1"/>
  <c r="AV19" i="6"/>
  <c r="AZ19" i="6" s="1"/>
  <c r="BD19" i="6" s="1"/>
  <c r="BH19" i="6" s="1"/>
  <c r="BL19" i="6" s="1"/>
  <c r="BQ19" i="6" s="1"/>
  <c r="BU19" i="6" s="1"/>
  <c r="BY19" i="6" s="1"/>
  <c r="CC19" i="6" s="1"/>
  <c r="CG19" i="6" s="1"/>
  <c r="CK19" i="6" s="1"/>
  <c r="AM19" i="6"/>
  <c r="AE19" i="6"/>
  <c r="W19" i="6"/>
  <c r="O19" i="6"/>
  <c r="D1037" i="9" l="1"/>
  <c r="F1037" i="9" s="1"/>
  <c r="G1037" i="9" s="1"/>
  <c r="C149" i="10"/>
  <c r="F148" i="10"/>
  <c r="G148" i="10" s="1"/>
  <c r="D149" i="10" l="1"/>
  <c r="C1045" i="9"/>
  <c r="D1045" i="9" l="1"/>
  <c r="F1045" i="9" s="1"/>
  <c r="G1045" i="9" s="1"/>
  <c r="F149" i="10"/>
  <c r="G149" i="10" s="1"/>
  <c r="C150" i="10"/>
  <c r="D150" i="10" l="1"/>
  <c r="F989" i="9" s="1"/>
  <c r="G989" i="9" s="1"/>
  <c r="C1053" i="9"/>
  <c r="D1053" i="9" l="1"/>
  <c r="F1053" i="9" s="1"/>
  <c r="G1053" i="9" s="1"/>
  <c r="C151" i="10"/>
  <c r="F150" i="10"/>
  <c r="G150" i="10" s="1"/>
  <c r="D151" i="10" l="1"/>
  <c r="C1061" i="9"/>
  <c r="D1061" i="9" l="1"/>
  <c r="F1061" i="9" s="1"/>
  <c r="G1061" i="9" s="1"/>
  <c r="F151" i="10"/>
  <c r="G151" i="10" s="1"/>
  <c r="C152" i="10"/>
  <c r="D152" i="10" l="1"/>
  <c r="C1069" i="9"/>
  <c r="D1069" i="9" l="1"/>
  <c r="F1069" i="9" s="1"/>
  <c r="G1069" i="9" s="1"/>
  <c r="C153" i="10"/>
  <c r="F152" i="10"/>
  <c r="G152" i="10" s="1"/>
  <c r="D153" i="10" l="1"/>
  <c r="C1077" i="9"/>
  <c r="D1077" i="9" l="1"/>
  <c r="F1077" i="9" s="1"/>
  <c r="G1077" i="9" s="1"/>
  <c r="F153" i="10"/>
  <c r="G153" i="10" s="1"/>
  <c r="C154" i="10"/>
  <c r="D154" i="10" l="1"/>
  <c r="C1085" i="9"/>
  <c r="D1085" i="9" l="1"/>
  <c r="F1085" i="9" s="1"/>
  <c r="G1085" i="9" s="1"/>
  <c r="F154" i="10"/>
  <c r="G154" i="10" s="1"/>
  <c r="C155" i="10"/>
  <c r="D155" i="10" l="1"/>
  <c r="C1093" i="9"/>
  <c r="D1093" i="9" l="1"/>
  <c r="F1093" i="9" s="1"/>
  <c r="G1093" i="9" s="1"/>
  <c r="C156" i="10"/>
  <c r="F155" i="10"/>
  <c r="G155" i="10" s="1"/>
  <c r="D156" i="10" l="1"/>
  <c r="C1101" i="9"/>
  <c r="D1101" i="9" l="1"/>
  <c r="F1101" i="9" s="1"/>
  <c r="G1101" i="9" s="1"/>
  <c r="C157" i="10"/>
  <c r="F156" i="10"/>
  <c r="G156" i="10" s="1"/>
  <c r="D157" i="10" l="1"/>
  <c r="C1109" i="9"/>
  <c r="D1109" i="9" l="1"/>
  <c r="F1109" i="9" s="1"/>
  <c r="G1109" i="9" s="1"/>
  <c r="F157" i="10"/>
  <c r="G157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66" authorId="0" shapeId="0" xr:uid="{D929B490-6783-4DD0-8579-04498D28832B}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VIDEO SAMPAI SINI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ASUS</author>
  </authors>
  <commentList>
    <comment ref="H19" authorId="0" shapeId="0" xr:uid="{8EDFE90D-A51B-46DA-8F7B-7166A5EDA6C9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Kondisi di Lapangan Masih Kerikil dan terdapat penangangan rigid dari sta 15+470 s/d 17+150 panjang 1.680</t>
        </r>
      </text>
    </comment>
    <comment ref="L21" authorId="1" shapeId="0" xr:uid="{795BBA33-E05B-4898-A0B6-CB8AC8953E92}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VIDEO 2 
MULAI DARI STA 20+900</t>
        </r>
      </text>
    </comment>
  </commentList>
</comments>
</file>

<file path=xl/sharedStrings.xml><?xml version="1.0" encoding="utf-8"?>
<sst xmlns="http://schemas.openxmlformats.org/spreadsheetml/2006/main" count="3026" uniqueCount="261">
  <si>
    <t xml:space="preserve">      PEMERINTAH PROVINSI LAMPUNG</t>
  </si>
  <si>
    <t xml:space="preserve">      DINAS BINA MARGA DAN BINA KONSTRUKSI</t>
  </si>
  <si>
    <t>BACK - UP DATA SURVEY KONDISI JALAN</t>
  </si>
  <si>
    <t>NO. RUAS</t>
  </si>
  <si>
    <t>:</t>
  </si>
  <si>
    <t>NAMA RUAS</t>
  </si>
  <si>
    <t>KAB/ KOTA</t>
  </si>
  <si>
    <t xml:space="preserve">STA </t>
  </si>
  <si>
    <t>ASPAL</t>
  </si>
  <si>
    <t>BETON</t>
  </si>
  <si>
    <t>NON ASPAL</t>
  </si>
  <si>
    <t>KET</t>
  </si>
  <si>
    <t xml:space="preserve">AWAL </t>
  </si>
  <si>
    <t>AKHIR</t>
  </si>
  <si>
    <t>TIPE KERUSAKAN</t>
  </si>
  <si>
    <t>P</t>
  </si>
  <si>
    <t>L</t>
  </si>
  <si>
    <t>JML</t>
  </si>
  <si>
    <t>s/d</t>
  </si>
  <si>
    <t>Kegemukan</t>
  </si>
  <si>
    <t>Agregat Lepas</t>
  </si>
  <si>
    <t>Disintegrasi</t>
  </si>
  <si>
    <t>Retak Lain</t>
  </si>
  <si>
    <t>Retak Turun</t>
  </si>
  <si>
    <t>Tambalan</t>
  </si>
  <si>
    <t>Lubang</t>
  </si>
  <si>
    <t>Alur</t>
  </si>
  <si>
    <t xml:space="preserve">Rusak Tepi </t>
  </si>
  <si>
    <t>Retak</t>
  </si>
  <si>
    <t>Gompal</t>
  </si>
  <si>
    <t xml:space="preserve">Retak Struktur </t>
  </si>
  <si>
    <t>Patahan/ Penurunan</t>
  </si>
  <si>
    <t xml:space="preserve">Pumping </t>
  </si>
  <si>
    <t>Pecah Sudut</t>
  </si>
  <si>
    <t>Kemiringan</t>
  </si>
  <si>
    <t>Penurunan</t>
  </si>
  <si>
    <t>Erosi</t>
  </si>
  <si>
    <t>Bergelombang</t>
  </si>
  <si>
    <t>`</t>
  </si>
  <si>
    <t>LEGENDA :</t>
  </si>
  <si>
    <t>TABLET</t>
  </si>
  <si>
    <t>I. PERKERASAN ASPAL</t>
  </si>
  <si>
    <t xml:space="preserve">1. </t>
  </si>
  <si>
    <t>Ketidakrataan atau IRI (m/km)</t>
  </si>
  <si>
    <t xml:space="preserve">2. </t>
  </si>
  <si>
    <t>Kegemukan / Blending (m2)</t>
  </si>
  <si>
    <t xml:space="preserve">3. </t>
  </si>
  <si>
    <t>Agregat Lepas / Ravelling (m2)</t>
  </si>
  <si>
    <t xml:space="preserve">4. </t>
  </si>
  <si>
    <t>Disintegrasi (m2)</t>
  </si>
  <si>
    <t xml:space="preserve">5. </t>
  </si>
  <si>
    <t>Retak turun dan Penurunan (m2)</t>
  </si>
  <si>
    <t xml:space="preserve">6. </t>
  </si>
  <si>
    <t>Tambalan / Patching (m2)</t>
  </si>
  <si>
    <t xml:space="preserve">7. </t>
  </si>
  <si>
    <t>Retak Lain / (Melintang, Bercabang n Buaya) (m2)</t>
  </si>
  <si>
    <t xml:space="preserve">8. </t>
  </si>
  <si>
    <t>Lubang / Potholes (m2)</t>
  </si>
  <si>
    <t xml:space="preserve">9. </t>
  </si>
  <si>
    <t>Alur / Jejak Roda / Rutting (m2)</t>
  </si>
  <si>
    <t xml:space="preserve">10. </t>
  </si>
  <si>
    <t>Rusak Tepi (m2)</t>
  </si>
  <si>
    <t>II. PERKERASAN BETON</t>
  </si>
  <si>
    <t>Retak (m2)</t>
  </si>
  <si>
    <t>Gompal / Pecah (m2)</t>
  </si>
  <si>
    <t>Retak Struktur (m2)</t>
  </si>
  <si>
    <t>4.</t>
  </si>
  <si>
    <t>Patahan/ Penurunan (m2)</t>
  </si>
  <si>
    <t>Pumping (jml)</t>
  </si>
  <si>
    <t>Pecah Sudut (jml)</t>
  </si>
  <si>
    <t>III. PERKERASAN NON ASPAL</t>
  </si>
  <si>
    <t>Kemiringan (m2)</t>
  </si>
  <si>
    <t>Penurunan (m2)</t>
  </si>
  <si>
    <t>Erosi (m2)</t>
  </si>
  <si>
    <t>Lubang (m2)</t>
  </si>
  <si>
    <t>Alur (m2)</t>
  </si>
  <si>
    <t>Bergelombang (m2)</t>
  </si>
  <si>
    <t>Tebal kerikil (m2)</t>
  </si>
  <si>
    <t>Kode provinsi</t>
  </si>
  <si>
    <t>Kode Kabupaten</t>
  </si>
  <si>
    <t>Ruas</t>
  </si>
  <si>
    <t>Sffx</t>
  </si>
  <si>
    <t>Nama Ruas</t>
  </si>
  <si>
    <t>Status</t>
  </si>
  <si>
    <t>Fungsi</t>
  </si>
  <si>
    <t>Panjang Ruas SK Gub (km)</t>
  </si>
  <si>
    <t>Panjang Ruas Survei (km)</t>
  </si>
  <si>
    <t>Titik Awal Ruas - Patok KM</t>
  </si>
  <si>
    <t>Titik Awal Ruas - Offset (m)</t>
  </si>
  <si>
    <t>Link Access Status</t>
  </si>
  <si>
    <t>00</t>
  </si>
  <si>
    <t>036</t>
  </si>
  <si>
    <t>SUKAMARA - KURIPAN</t>
  </si>
  <si>
    <t>K2</t>
  </si>
  <si>
    <t>0</t>
  </si>
  <si>
    <t>044</t>
  </si>
  <si>
    <t>SP TELUK KILUAN - SP. UMBAR</t>
  </si>
  <si>
    <t>045</t>
  </si>
  <si>
    <t>SP. UMBAR - PUTIH DOH</t>
  </si>
  <si>
    <t>046</t>
  </si>
  <si>
    <t>PUTIH DOH - KURIPAN</t>
  </si>
  <si>
    <t>047</t>
  </si>
  <si>
    <t>KURIPAN - SP. KOTA AGUNG</t>
  </si>
  <si>
    <t>N</t>
  </si>
  <si>
    <t>048</t>
  </si>
  <si>
    <t>PEKON BALAK - SUOH</t>
  </si>
  <si>
    <t>049</t>
  </si>
  <si>
    <t>SUOH - SP. BLOK 9</t>
  </si>
  <si>
    <t>050</t>
  </si>
  <si>
    <t>SP. BLOK 9 - SANGGI</t>
  </si>
  <si>
    <t>051</t>
  </si>
  <si>
    <t>11K</t>
  </si>
  <si>
    <t>JALAN RADEN INTAN (LIWA)</t>
  </si>
  <si>
    <t>052</t>
  </si>
  <si>
    <t>LIWA - BTS. SUMATERA SELATAN</t>
  </si>
  <si>
    <t>053</t>
  </si>
  <si>
    <t>JALAN ADAM MALIK (KRUI)</t>
  </si>
  <si>
    <t>054</t>
  </si>
  <si>
    <t>KRUI - PEKON SERAI</t>
  </si>
  <si>
    <t>055</t>
  </si>
  <si>
    <t>KOTAJAWA - KAMPUNG BARU</t>
  </si>
  <si>
    <t>056</t>
  </si>
  <si>
    <t>TALANG PADANG - NGARIP</t>
  </si>
  <si>
    <t>057</t>
  </si>
  <si>
    <t>NGARIP - ULU SEMONG</t>
  </si>
  <si>
    <t>058</t>
  </si>
  <si>
    <t>ULU SEMONG - SP. TRIMULYO</t>
  </si>
  <si>
    <t>059</t>
  </si>
  <si>
    <t>SP. TRIMULYO - BUNGIN - SP. TUGU SARI</t>
  </si>
  <si>
    <t>060</t>
  </si>
  <si>
    <t>TEKAD - BATUTEGI</t>
  </si>
  <si>
    <t>064</t>
  </si>
  <si>
    <t>BANDAR SAKTI - SP. DAYA MURNI</t>
  </si>
  <si>
    <t>065</t>
  </si>
  <si>
    <t>SP. DAYA MURNI - GUNUNG BATIN</t>
  </si>
  <si>
    <t>068</t>
  </si>
  <si>
    <t>SP. TUJOK - PANARAGAN JAYA</t>
  </si>
  <si>
    <t>069</t>
  </si>
  <si>
    <t>PANARAGAN JAYA - SP. PANARAGAN</t>
  </si>
  <si>
    <t>085</t>
  </si>
  <si>
    <t>JALAN RAYA GUNUNG SAKTI (MENGGALA)</t>
  </si>
  <si>
    <t>086</t>
  </si>
  <si>
    <t>BUJUNG TENUK - PENUMANGAN</t>
  </si>
  <si>
    <t>087</t>
  </si>
  <si>
    <t>PENUMANGAN - TEGAL MUKTI</t>
  </si>
  <si>
    <t>090</t>
  </si>
  <si>
    <t>ADIJAYA - TULUNG RANDU</t>
  </si>
  <si>
    <t>091</t>
  </si>
  <si>
    <t>PENUMANGAN - UNIT VI</t>
  </si>
  <si>
    <t>092</t>
  </si>
  <si>
    <t>SP. UNIT VIII - GEDONG AJI</t>
  </si>
  <si>
    <t>093</t>
  </si>
  <si>
    <t>GEDONG AJI - UMBUL MESIR</t>
  </si>
  <si>
    <t>094</t>
  </si>
  <si>
    <t>SP. PEMATANG - BRABASAN</t>
  </si>
  <si>
    <t>095</t>
  </si>
  <si>
    <t>BRABASAN - WIRALAGA</t>
  </si>
  <si>
    <t>PANJANG RUAS</t>
  </si>
  <si>
    <t>BACK - UP DATA SURVEY KONDISI JALAN (ASPAL)</t>
  </si>
  <si>
    <t>BACK - UP DATA SURVEY KONDISI JALAN (BETON)</t>
  </si>
  <si>
    <t>No</t>
  </si>
  <si>
    <t>III. PERKERASAN TIPE</t>
  </si>
  <si>
    <t>Beton</t>
  </si>
  <si>
    <t>Blok Beton</t>
  </si>
  <si>
    <t>Aspal</t>
  </si>
  <si>
    <t>Penetrasi Macadam</t>
  </si>
  <si>
    <t>Batu Kali</t>
  </si>
  <si>
    <t>Kerikil</t>
  </si>
  <si>
    <t>Tanah</t>
  </si>
  <si>
    <t>LEBAR</t>
  </si>
  <si>
    <t>NILAI TTI</t>
  </si>
  <si>
    <t>DARI (M)</t>
  </si>
  <si>
    <t>KE (M)</t>
  </si>
  <si>
    <t>KONDISI</t>
  </si>
  <si>
    <t xml:space="preserve">BLEEDING </t>
  </si>
  <si>
    <t>AGREGAT LEPAS</t>
  </si>
  <si>
    <t>DISINTEGRASI</t>
  </si>
  <si>
    <t>RETAK TURUN</t>
  </si>
  <si>
    <t>TAMBALAN</t>
  </si>
  <si>
    <t>RETAK LAIN</t>
  </si>
  <si>
    <t>JENIS RETAK</t>
  </si>
  <si>
    <t>Tidak Ada</t>
  </si>
  <si>
    <t>Tidak Berhubungan</t>
  </si>
  <si>
    <t>Saling Berhubungan (Berbidang Luas)</t>
  </si>
  <si>
    <t>Saling Berhubungan (Berbidang Sempit)</t>
  </si>
  <si>
    <t>RATA RATA LEBAR RETAK</t>
  </si>
  <si>
    <t>&lt; 1mm</t>
  </si>
  <si>
    <t>1 - 5mm</t>
  </si>
  <si>
    <t>&gt;5mm</t>
  </si>
  <si>
    <t>LUBANG</t>
  </si>
  <si>
    <t>ALUR</t>
  </si>
  <si>
    <t>RUSAK TEPI (KIRI)</t>
  </si>
  <si>
    <t>RUSAK TEPI (KANAN)</t>
  </si>
  <si>
    <t>TIPE LUBANG</t>
  </si>
  <si>
    <t>Kecil Dangkal</t>
  </si>
  <si>
    <t>Kecil Dalam</t>
  </si>
  <si>
    <t>Besar Dangkal</t>
  </si>
  <si>
    <t>Besar Dalam</t>
  </si>
  <si>
    <t>TIPE KERUSAKAN KONDISI JALAN ASPAL</t>
  </si>
  <si>
    <t>10 Ki</t>
  </si>
  <si>
    <t>10 Ka</t>
  </si>
  <si>
    <t>Total</t>
  </si>
  <si>
    <t>REKAPITULASI BACK - UP DATA SURVEY KONDISI JALAN (ASPAL)</t>
  </si>
  <si>
    <t>TIPE KERUSAKAN KONDISI JALAN BETON</t>
  </si>
  <si>
    <t>BETON RETAK</t>
  </si>
  <si>
    <t>STRUKTUR RETAK</t>
  </si>
  <si>
    <t>PATAHAN/ PENURUNAN</t>
  </si>
  <si>
    <t>PECAH/ GOMPAL</t>
  </si>
  <si>
    <t>JUMLAH PUMPING</t>
  </si>
  <si>
    <t>JUMLAH PECAH SUDUT</t>
  </si>
  <si>
    <t>KEMIRINGAN</t>
  </si>
  <si>
    <t>BACK - UP DATA SURVEY KONDISI JALAN (NON-ASPAL)</t>
  </si>
  <si>
    <t>TIPE KERUSAKAN KONDISI JALAN NON ASPAL</t>
  </si>
  <si>
    <t>KONDISI KEMIRINGAN</t>
  </si>
  <si>
    <t>BENTUK KEMIRINGAN</t>
  </si>
  <si>
    <t>&gt;5%</t>
  </si>
  <si>
    <t>3-5%</t>
  </si>
  <si>
    <t>Cekung</t>
  </si>
  <si>
    <t>Rata</t>
  </si>
  <si>
    <t>PENURUNAN</t>
  </si>
  <si>
    <t>EROSI</t>
  </si>
  <si>
    <t>GELOMBANG</t>
  </si>
  <si>
    <t>UKURAN KERIKIL</t>
  </si>
  <si>
    <t>TEBAL KERIKIL</t>
  </si>
  <si>
    <t>LUAS KERIKIL</t>
  </si>
  <si>
    <t>DISTRIBUSI</t>
  </si>
  <si>
    <t>JUMLAH LUBANG</t>
  </si>
  <si>
    <t>UKURAN LUBANG</t>
  </si>
  <si>
    <t>LUAS LUBANG</t>
  </si>
  <si>
    <t>LUAS ALUR</t>
  </si>
  <si>
    <t>DALAM ALUR</t>
  </si>
  <si>
    <t>&gt;1cm</t>
  </si>
  <si>
    <t>1-5cm</t>
  </si>
  <si>
    <t>&gt;5cm</t>
  </si>
  <si>
    <t>Tidak Tentu</t>
  </si>
  <si>
    <t>&lt;5cm</t>
  </si>
  <si>
    <t>5-10cm</t>
  </si>
  <si>
    <t>10-20cm</t>
  </si>
  <si>
    <t>&gt;20cm</t>
  </si>
  <si>
    <t>RATA</t>
  </si>
  <si>
    <t>TIDAK RATA</t>
  </si>
  <si>
    <t>TIDAK ADA</t>
  </si>
  <si>
    <t>GUNDUKAN MEMANJANG</t>
  </si>
  <si>
    <t>RATA - RATA DALAM ALUR</t>
  </si>
  <si>
    <t>5-15cm</t>
  </si>
  <si>
    <t>&gt;15cm</t>
  </si>
  <si>
    <t>NAMA PEKERJAAN</t>
  </si>
  <si>
    <t>PANJANG EFEKTIF (m)</t>
  </si>
  <si>
    <t>JENIS PERKERSAN</t>
  </si>
  <si>
    <t>sd</t>
  </si>
  <si>
    <t>TOTAL PANJANG ASPAL</t>
  </si>
  <si>
    <t>TOTAL PANJANG BETON</t>
  </si>
  <si>
    <t>TOTAL PANJANG NON ASPAL</t>
  </si>
  <si>
    <t>TOTAL PANJANG TOTAL PANJANG RUAS</t>
  </si>
  <si>
    <t>Non Aspal (Kerikil)</t>
  </si>
  <si>
    <t>DATA PERBANDINGAN STA TAHUN 2024 DAN TAHUN 2025</t>
  </si>
  <si>
    <t>POTONGAN STA ANTARA ASPAL, BETON DAN NON ASPAL TAHUN 2024 SURVEY MENGGUNAKAN TRACKLIA</t>
  </si>
  <si>
    <t>STA TAHUN 2024 (TRACKLIA)</t>
  </si>
  <si>
    <t>POTONGAN STA ANTARA ASPAL, BETON DAN NON ASPAL TAHUN 2025 SURVEY MENGGUNAKAN TRACKLIA DAN GPS</t>
  </si>
  <si>
    <t>STA TAHUN 2025 (TRACKLIA)</t>
  </si>
  <si>
    <t>STA TAHUN 2025 (GPS)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</si>
</sst>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_-* #,##0.00_-;\-* #,##0.00_-;_-* &quot;-&quot;??_-;_-@_-"/>
    <numFmt numFmtId="166" formatCode="0\+000"/>
    <numFmt numFmtId="167" formatCode="_-* #,##0.000_-;\-* #,##0.000_-;_-* &quot;-&quot;??_-;_-@_-"/>
    <numFmt numFmtId="168" formatCode="0.0"/>
    <numFmt numFmtId="169" formatCode="_-* #.##0_-;\-* #.##0_-;_-* &quot;-&quot;_-;_-@_-"/>
    <numFmt numFmtId="170" formatCode="_(* #.##0_);_(* \(#.##0\);_(* &quot;-&quot;_);_(@_)"/>
    <numFmt numFmtId="171" formatCode="00\+000"/>
    <numFmt numFmtId="172" formatCode="_(* #.##0.00_);_(* \(#.##0.00\);_(* &quot;-&quot;??_);_(@_)"/>
    <numFmt numFmtId="173" formatCode="0.000"/>
  </numFmts>
  <fonts count="37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5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sz val="8"/>
      <name val="Arial Narrow"/>
      <family val="2"/>
    </font>
    <font>
      <b/>
      <sz val="10"/>
      <color theme="1"/>
      <name val="Arial Narrow"/>
      <family val="2"/>
    </font>
    <font>
      <sz val="11"/>
      <name val="Arial Narrow"/>
      <family val="2"/>
    </font>
    <font>
      <sz val="10.5"/>
      <color theme="1"/>
      <name val="Arial Narrow"/>
      <family val="2"/>
    </font>
    <font>
      <b/>
      <u/>
      <sz val="11"/>
      <name val="Arial Narrow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name val="Arial Narrow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Arial"/>
      <family val="2"/>
    </font>
    <font>
      <sz val="11"/>
      <color theme="1"/>
      <name val="Tahoma"/>
      <family val="2"/>
    </font>
    <font>
      <sz val="14"/>
      <name val="Calibri"/>
      <family val="2"/>
    </font>
    <font>
      <sz val="12"/>
      <name val="Calibri  "/>
    </font>
    <font>
      <sz val="12"/>
      <color theme="1"/>
      <name val="Calibri  "/>
    </font>
    <font>
      <b/>
      <sz val="12"/>
      <name val="Calibri  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u/>
      <sz val="22"/>
      <name val="Calibri"/>
      <family val="2"/>
      <scheme val="minor"/>
    </font>
    <font>
      <sz val="10"/>
      <color rgb="FFFF000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2" fontId="19" fillId="0" borderId="0" applyFont="0" applyFill="0" applyBorder="0" applyAlignment="0" applyProtection="0"/>
  </cellStyleXfs>
  <cellXfs count="400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/>
    <xf numFmtId="165" fontId="4" fillId="0" borderId="0" xfId="2" applyFont="1" applyAlignment="1">
      <alignment horizontal="left" vertical="center"/>
    </xf>
    <xf numFmtId="165" fontId="4" fillId="0" borderId="0" xfId="2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165" fontId="7" fillId="0" borderId="1" xfId="2" applyFont="1" applyFill="1" applyBorder="1" applyAlignment="1">
      <alignment vertical="center"/>
    </xf>
    <xf numFmtId="165" fontId="7" fillId="0" borderId="2" xfId="2" applyFont="1" applyFill="1" applyBorder="1" applyAlignment="1">
      <alignment vertical="center"/>
    </xf>
    <xf numFmtId="165" fontId="7" fillId="0" borderId="2" xfId="2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65" fontId="7" fillId="0" borderId="4" xfId="2" applyFont="1" applyFill="1" applyBorder="1" applyAlignment="1">
      <alignment vertical="center"/>
    </xf>
    <xf numFmtId="165" fontId="7" fillId="0" borderId="0" xfId="2" applyFont="1" applyFill="1" applyBorder="1" applyAlignment="1">
      <alignment vertical="center"/>
    </xf>
    <xf numFmtId="165" fontId="7" fillId="0" borderId="0" xfId="2" applyFont="1" applyFill="1" applyBorder="1" applyAlignment="1">
      <alignment horizontal="center" vertical="center"/>
    </xf>
    <xf numFmtId="165" fontId="7" fillId="0" borderId="0" xfId="2" applyFont="1" applyFill="1" applyBorder="1" applyAlignment="1">
      <alignment horizontal="left" vertical="center"/>
    </xf>
    <xf numFmtId="0" fontId="9" fillId="0" borderId="0" xfId="1" quotePrefix="1" applyFont="1" applyAlignment="1">
      <alignment horizontal="left" vertical="center"/>
    </xf>
    <xf numFmtId="0" fontId="7" fillId="0" borderId="0" xfId="1" quotePrefix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165" fontId="7" fillId="0" borderId="6" xfId="2" applyFont="1" applyFill="1" applyBorder="1" applyAlignment="1">
      <alignment horizontal="left" vertical="center"/>
    </xf>
    <xf numFmtId="0" fontId="9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65" fontId="7" fillId="0" borderId="2" xfId="2" applyFont="1" applyFill="1" applyBorder="1" applyAlignment="1">
      <alignment horizontal="left" vertical="center"/>
    </xf>
    <xf numFmtId="0" fontId="9" fillId="0" borderId="2" xfId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165" fontId="7" fillId="0" borderId="6" xfId="2" applyFont="1" applyFill="1" applyBorder="1" applyAlignment="1">
      <alignment horizontal="center" vertical="center"/>
    </xf>
    <xf numFmtId="165" fontId="7" fillId="0" borderId="6" xfId="2" applyFont="1" applyFill="1" applyBorder="1" applyAlignment="1">
      <alignment vertical="center"/>
    </xf>
    <xf numFmtId="165" fontId="7" fillId="0" borderId="8" xfId="2" applyFont="1" applyFill="1" applyBorder="1" applyAlignment="1">
      <alignment vertical="center"/>
    </xf>
    <xf numFmtId="0" fontId="8" fillId="0" borderId="0" xfId="1" applyFont="1"/>
    <xf numFmtId="0" fontId="8" fillId="0" borderId="0" xfId="1" applyFont="1" applyAlignment="1">
      <alignment horizontal="center"/>
    </xf>
    <xf numFmtId="165" fontId="7" fillId="4" borderId="12" xfId="2" applyFont="1" applyFill="1" applyBorder="1" applyAlignment="1">
      <alignment horizontal="center" vertical="center"/>
    </xf>
    <xf numFmtId="165" fontId="7" fillId="2" borderId="16" xfId="2" applyFont="1" applyFill="1" applyBorder="1" applyAlignment="1">
      <alignment vertical="center" wrapText="1"/>
    </xf>
    <xf numFmtId="165" fontId="7" fillId="8" borderId="19" xfId="2" applyFont="1" applyFill="1" applyBorder="1" applyAlignment="1">
      <alignment horizontal="center" vertical="center" wrapText="1"/>
    </xf>
    <xf numFmtId="0" fontId="8" fillId="4" borderId="18" xfId="1" applyFont="1" applyFill="1" applyBorder="1" applyAlignment="1">
      <alignment horizontal="center" vertical="center" wrapText="1"/>
    </xf>
    <xf numFmtId="0" fontId="10" fillId="0" borderId="0" xfId="1" applyFont="1"/>
    <xf numFmtId="0" fontId="8" fillId="0" borderId="15" xfId="1" applyFont="1" applyBorder="1" applyAlignment="1">
      <alignment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0" borderId="22" xfId="1" applyFont="1" applyBorder="1" applyAlignment="1">
      <alignment vertical="center" wrapText="1"/>
    </xf>
    <xf numFmtId="0" fontId="8" fillId="0" borderId="19" xfId="1" applyFont="1" applyBorder="1" applyAlignment="1">
      <alignment vertical="center" wrapText="1"/>
    </xf>
    <xf numFmtId="0" fontId="8" fillId="4" borderId="19" xfId="1" applyFont="1" applyFill="1" applyBorder="1" applyAlignment="1">
      <alignment vertical="center" wrapText="1"/>
    </xf>
    <xf numFmtId="0" fontId="8" fillId="0" borderId="23" xfId="1" applyFont="1" applyBorder="1" applyAlignment="1">
      <alignment vertical="center" wrapText="1"/>
    </xf>
    <xf numFmtId="0" fontId="8" fillId="0" borderId="24" xfId="1" applyFont="1" applyBorder="1" applyAlignment="1">
      <alignment vertical="center" wrapText="1"/>
    </xf>
    <xf numFmtId="166" fontId="3" fillId="0" borderId="0" xfId="1" applyNumberFormat="1" applyFont="1" applyAlignment="1">
      <alignment horizontal="center" vertical="center"/>
    </xf>
    <xf numFmtId="0" fontId="8" fillId="0" borderId="17" xfId="1" applyFont="1" applyBorder="1" applyAlignment="1">
      <alignment vertical="center" wrapText="1"/>
    </xf>
    <xf numFmtId="0" fontId="8" fillId="0" borderId="18" xfId="1" applyFont="1" applyBorder="1" applyAlignment="1">
      <alignment horizontal="left" vertical="center" wrapText="1"/>
    </xf>
    <xf numFmtId="165" fontId="8" fillId="0" borderId="18" xfId="2" applyFont="1" applyBorder="1" applyAlignment="1">
      <alignment horizontal="center" vertical="center" wrapText="1"/>
    </xf>
    <xf numFmtId="0" fontId="8" fillId="0" borderId="25" xfId="1" applyFont="1" applyBorder="1" applyAlignment="1">
      <alignment vertical="center" wrapText="1"/>
    </xf>
    <xf numFmtId="166" fontId="3" fillId="0" borderId="21" xfId="1" applyNumberFormat="1" applyFont="1" applyBorder="1" applyAlignment="1">
      <alignment horizontal="center" vertical="center"/>
    </xf>
    <xf numFmtId="0" fontId="8" fillId="0" borderId="18" xfId="1" applyFont="1" applyBorder="1" applyAlignment="1">
      <alignment vertical="center" wrapText="1"/>
    </xf>
    <xf numFmtId="0" fontId="8" fillId="4" borderId="18" xfId="1" applyFont="1" applyFill="1" applyBorder="1" applyAlignment="1">
      <alignment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 wrapText="1"/>
    </xf>
    <xf numFmtId="0" fontId="8" fillId="0" borderId="26" xfId="1" applyFont="1" applyBorder="1" applyAlignment="1">
      <alignment vertical="center" wrapText="1"/>
    </xf>
    <xf numFmtId="0" fontId="8" fillId="0" borderId="27" xfId="1" applyFont="1" applyBorder="1" applyAlignment="1">
      <alignment horizontal="center" vertical="center" wrapText="1"/>
    </xf>
    <xf numFmtId="0" fontId="8" fillId="0" borderId="28" xfId="1" applyFont="1" applyBorder="1" applyAlignment="1">
      <alignment vertical="center" wrapText="1"/>
    </xf>
    <xf numFmtId="0" fontId="8" fillId="0" borderId="29" xfId="1" applyFont="1" applyBorder="1" applyAlignment="1">
      <alignment vertical="center" wrapText="1"/>
    </xf>
    <xf numFmtId="0" fontId="8" fillId="4" borderId="29" xfId="1" applyFont="1" applyFill="1" applyBorder="1" applyAlignment="1">
      <alignment vertical="center" wrapText="1"/>
    </xf>
    <xf numFmtId="0" fontId="8" fillId="0" borderId="30" xfId="1" applyFont="1" applyBorder="1" applyAlignment="1">
      <alignment vertical="center" wrapText="1"/>
    </xf>
    <xf numFmtId="0" fontId="11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2" fillId="0" borderId="0" xfId="1" quotePrefix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2" fillId="0" borderId="0" xfId="1" quotePrefix="1" applyFont="1" applyAlignment="1">
      <alignment horizontal="left" vertical="center"/>
    </xf>
    <xf numFmtId="165" fontId="14" fillId="0" borderId="0" xfId="2" applyFont="1" applyFill="1" applyBorder="1" applyAlignment="1">
      <alignment horizontal="center" vertical="center"/>
    </xf>
    <xf numFmtId="165" fontId="14" fillId="0" borderId="0" xfId="2" applyFont="1" applyFill="1" applyBorder="1" applyAlignment="1">
      <alignment horizontal="left" vertical="center"/>
    </xf>
    <xf numFmtId="0" fontId="2" fillId="0" borderId="0" xfId="1" quotePrefix="1" applyFont="1"/>
    <xf numFmtId="0" fontId="2" fillId="0" borderId="0" xfId="1" applyFont="1" applyAlignment="1">
      <alignment horizontal="left"/>
    </xf>
    <xf numFmtId="0" fontId="15" fillId="9" borderId="18" xfId="0" applyFont="1" applyFill="1" applyBorder="1"/>
    <xf numFmtId="0" fontId="15" fillId="9" borderId="18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wrapText="1"/>
    </xf>
    <xf numFmtId="0" fontId="16" fillId="0" borderId="0" xfId="0" applyFont="1"/>
    <xf numFmtId="0" fontId="16" fillId="0" borderId="0" xfId="0" quotePrefix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/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/>
    </xf>
    <xf numFmtId="4" fontId="16" fillId="0" borderId="0" xfId="0" applyNumberFormat="1" applyFont="1"/>
    <xf numFmtId="0" fontId="16" fillId="0" borderId="0" xfId="0" applyFont="1" applyAlignment="1">
      <alignment horizontal="center"/>
    </xf>
    <xf numFmtId="167" fontId="7" fillId="0" borderId="0" xfId="2" applyNumberFormat="1" applyFont="1" applyFill="1" applyBorder="1" applyAlignment="1">
      <alignment horizontal="left" vertical="center"/>
    </xf>
    <xf numFmtId="165" fontId="7" fillId="2" borderId="6" xfId="2" applyFont="1" applyFill="1" applyBorder="1" applyAlignment="1">
      <alignment horizontal="center" vertical="center" wrapText="1"/>
    </xf>
    <xf numFmtId="165" fontId="7" fillId="2" borderId="29" xfId="2" applyFont="1" applyFill="1" applyBorder="1" applyAlignment="1">
      <alignment horizontal="center" vertical="center" wrapText="1"/>
    </xf>
    <xf numFmtId="165" fontId="7" fillId="2" borderId="1" xfId="2" applyFont="1" applyFill="1" applyBorder="1" applyAlignment="1">
      <alignment vertical="center"/>
    </xf>
    <xf numFmtId="166" fontId="3" fillId="0" borderId="18" xfId="1" applyNumberFormat="1" applyFont="1" applyBorder="1" applyAlignment="1">
      <alignment horizontal="center" vertical="center"/>
    </xf>
    <xf numFmtId="165" fontId="7" fillId="2" borderId="26" xfId="2" applyFont="1" applyFill="1" applyBorder="1" applyAlignment="1">
      <alignment vertical="center" wrapText="1"/>
    </xf>
    <xf numFmtId="1" fontId="8" fillId="0" borderId="18" xfId="2" applyNumberFormat="1" applyFont="1" applyFill="1" applyBorder="1" applyAlignment="1">
      <alignment horizontal="center" vertical="center" wrapText="1"/>
    </xf>
    <xf numFmtId="1" fontId="8" fillId="0" borderId="18" xfId="1" applyNumberFormat="1" applyFont="1" applyBorder="1" applyAlignment="1">
      <alignment horizontal="center" vertical="center" wrapText="1"/>
    </xf>
    <xf numFmtId="1" fontId="8" fillId="0" borderId="36" xfId="2" applyNumberFormat="1" applyFont="1" applyFill="1" applyBorder="1" applyAlignment="1">
      <alignment horizontal="center" vertical="center" wrapText="1"/>
    </xf>
    <xf numFmtId="1" fontId="8" fillId="0" borderId="23" xfId="1" applyNumberFormat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0" xfId="1" applyFont="1"/>
    <xf numFmtId="0" fontId="7" fillId="0" borderId="37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165" fontId="7" fillId="10" borderId="38" xfId="2" applyFont="1" applyFill="1" applyBorder="1" applyAlignment="1">
      <alignment horizontal="center" vertical="center" wrapText="1"/>
    </xf>
    <xf numFmtId="165" fontId="7" fillId="10" borderId="39" xfId="2" applyFont="1" applyFill="1" applyBorder="1" applyAlignment="1">
      <alignment horizontal="center" vertical="center" wrapText="1"/>
    </xf>
    <xf numFmtId="165" fontId="7" fillId="10" borderId="40" xfId="2" applyFont="1" applyFill="1" applyBorder="1" applyAlignment="1">
      <alignment horizontal="center" vertical="center" wrapText="1"/>
    </xf>
    <xf numFmtId="165" fontId="7" fillId="10" borderId="40" xfId="2" applyFont="1" applyFill="1" applyBorder="1" applyAlignment="1">
      <alignment horizontal="center" vertical="center"/>
    </xf>
    <xf numFmtId="168" fontId="3" fillId="0" borderId="17" xfId="1" applyNumberFormat="1" applyFont="1" applyBorder="1" applyAlignment="1">
      <alignment horizontal="center" vertical="center"/>
    </xf>
    <xf numFmtId="2" fontId="3" fillId="0" borderId="21" xfId="1" applyNumberFormat="1" applyFont="1" applyBorder="1" applyAlignment="1">
      <alignment horizontal="center" vertical="center"/>
    </xf>
    <xf numFmtId="168" fontId="3" fillId="0" borderId="23" xfId="1" applyNumberFormat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/>
    </xf>
    <xf numFmtId="168" fontId="3" fillId="0" borderId="44" xfId="1" applyNumberFormat="1" applyFont="1" applyBorder="1" applyAlignment="1">
      <alignment horizontal="center" vertical="center"/>
    </xf>
    <xf numFmtId="0" fontId="8" fillId="0" borderId="27" xfId="1" applyFont="1" applyBorder="1" applyAlignment="1">
      <alignment vertical="center" wrapText="1"/>
    </xf>
    <xf numFmtId="0" fontId="7" fillId="0" borderId="24" xfId="1" applyFont="1" applyBorder="1" applyAlignment="1">
      <alignment horizontal="center" vertical="center" wrapText="1"/>
    </xf>
    <xf numFmtId="166" fontId="11" fillId="0" borderId="21" xfId="1" applyNumberFormat="1" applyFont="1" applyBorder="1" applyAlignment="1">
      <alignment horizontal="center" vertical="center"/>
    </xf>
    <xf numFmtId="166" fontId="11" fillId="0" borderId="18" xfId="1" applyNumberFormat="1" applyFont="1" applyBorder="1" applyAlignment="1">
      <alignment horizontal="center" vertical="center"/>
    </xf>
    <xf numFmtId="168" fontId="11" fillId="0" borderId="17" xfId="1" applyNumberFormat="1" applyFont="1" applyBorder="1" applyAlignment="1">
      <alignment horizontal="center" vertical="center"/>
    </xf>
    <xf numFmtId="2" fontId="11" fillId="0" borderId="21" xfId="1" applyNumberFormat="1" applyFont="1" applyBorder="1" applyAlignment="1">
      <alignment horizontal="center" vertical="center"/>
    </xf>
    <xf numFmtId="168" fontId="11" fillId="0" borderId="23" xfId="1" applyNumberFormat="1" applyFont="1" applyBorder="1" applyAlignment="1">
      <alignment horizontal="center" vertical="center"/>
    </xf>
    <xf numFmtId="1" fontId="7" fillId="0" borderId="23" xfId="1" applyNumberFormat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1" fontId="7" fillId="0" borderId="41" xfId="1" applyNumberFormat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2" fontId="11" fillId="0" borderId="27" xfId="1" applyNumberFormat="1" applyFont="1" applyBorder="1" applyAlignment="1">
      <alignment horizontal="center" vertical="center"/>
    </xf>
    <xf numFmtId="168" fontId="11" fillId="0" borderId="42" xfId="1" applyNumberFormat="1" applyFont="1" applyBorder="1" applyAlignment="1">
      <alignment horizontal="center" vertical="center"/>
    </xf>
    <xf numFmtId="1" fontId="7" fillId="0" borderId="42" xfId="1" applyNumberFormat="1" applyFont="1" applyBorder="1" applyAlignment="1">
      <alignment horizontal="center" vertical="center" wrapText="1"/>
    </xf>
    <xf numFmtId="1" fontId="7" fillId="0" borderId="45" xfId="1" applyNumberFormat="1" applyFont="1" applyBorder="1" applyAlignment="1">
      <alignment horizontal="center" vertical="center" wrapText="1"/>
    </xf>
    <xf numFmtId="1" fontId="8" fillId="0" borderId="42" xfId="1" applyNumberFormat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1" fontId="8" fillId="0" borderId="46" xfId="2" applyNumberFormat="1" applyFont="1" applyFill="1" applyBorder="1" applyAlignment="1">
      <alignment horizontal="center" vertical="center" wrapText="1"/>
    </xf>
    <xf numFmtId="1" fontId="8" fillId="0" borderId="43" xfId="2" applyNumberFormat="1" applyFont="1" applyFill="1" applyBorder="1" applyAlignment="1">
      <alignment horizontal="center" vertical="center" wrapText="1"/>
    </xf>
    <xf numFmtId="1" fontId="8" fillId="0" borderId="44" xfId="1" applyNumberFormat="1" applyFont="1" applyBorder="1" applyAlignment="1">
      <alignment horizontal="center" vertical="center" wrapText="1"/>
    </xf>
    <xf numFmtId="1" fontId="8" fillId="0" borderId="43" xfId="1" applyNumberFormat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wrapText="1"/>
    </xf>
    <xf numFmtId="1" fontId="8" fillId="0" borderId="25" xfId="1" applyNumberFormat="1" applyFont="1" applyBorder="1" applyAlignment="1">
      <alignment horizontal="center" vertical="center" wrapText="1"/>
    </xf>
    <xf numFmtId="1" fontId="8" fillId="0" borderId="24" xfId="1" applyNumberFormat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1" fontId="7" fillId="0" borderId="18" xfId="1" applyNumberFormat="1" applyFont="1" applyBorder="1" applyAlignment="1">
      <alignment horizontal="center" vertical="center" wrapText="1"/>
    </xf>
    <xf numFmtId="1" fontId="7" fillId="0" borderId="29" xfId="1" applyNumberFormat="1" applyFont="1" applyBorder="1" applyAlignment="1">
      <alignment horizontal="center" vertical="center" wrapText="1"/>
    </xf>
    <xf numFmtId="165" fontId="7" fillId="10" borderId="48" xfId="2" applyFont="1" applyFill="1" applyBorder="1" applyAlignment="1">
      <alignment horizontal="center" vertical="center" wrapText="1"/>
    </xf>
    <xf numFmtId="165" fontId="7" fillId="10" borderId="49" xfId="2" applyFont="1" applyFill="1" applyBorder="1" applyAlignment="1">
      <alignment horizontal="center" vertical="center" wrapText="1"/>
    </xf>
    <xf numFmtId="1" fontId="8" fillId="0" borderId="41" xfId="1" applyNumberFormat="1" applyFont="1" applyBorder="1" applyAlignment="1">
      <alignment horizontal="center" vertical="center" wrapText="1"/>
    </xf>
    <xf numFmtId="1" fontId="8" fillId="0" borderId="11" xfId="1" applyNumberFormat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0" fontId="7" fillId="0" borderId="54" xfId="1" applyFont="1" applyBorder="1" applyAlignment="1">
      <alignment horizontal="center" vertical="center" wrapText="1"/>
    </xf>
    <xf numFmtId="0" fontId="7" fillId="0" borderId="5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166" fontId="11" fillId="0" borderId="27" xfId="1" applyNumberFormat="1" applyFont="1" applyBorder="1" applyAlignment="1">
      <alignment horizontal="center" vertical="center"/>
    </xf>
    <xf numFmtId="166" fontId="11" fillId="0" borderId="29" xfId="1" applyNumberFormat="1" applyFont="1" applyBorder="1" applyAlignment="1">
      <alignment horizontal="center" vertical="center"/>
    </xf>
    <xf numFmtId="168" fontId="11" fillId="0" borderId="28" xfId="1" applyNumberFormat="1" applyFont="1" applyBorder="1" applyAlignment="1">
      <alignment horizontal="center" vertical="center"/>
    </xf>
    <xf numFmtId="166" fontId="3" fillId="0" borderId="12" xfId="1" applyNumberFormat="1" applyFont="1" applyBorder="1" applyAlignment="1">
      <alignment horizontal="center" vertical="center"/>
    </xf>
    <xf numFmtId="166" fontId="3" fillId="0" borderId="43" xfId="1" applyNumberFormat="1" applyFont="1" applyBorder="1" applyAlignment="1">
      <alignment horizontal="center" vertical="center"/>
    </xf>
    <xf numFmtId="168" fontId="3" fillId="0" borderId="13" xfId="1" applyNumberFormat="1" applyFont="1" applyBorder="1" applyAlignment="1">
      <alignment horizontal="center" vertical="center"/>
    </xf>
    <xf numFmtId="1" fontId="8" fillId="0" borderId="29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2" fillId="0" borderId="4" xfId="1" applyFont="1" applyBorder="1" applyAlignment="1">
      <alignment horizontal="center" vertical="center"/>
    </xf>
    <xf numFmtId="0" fontId="13" fillId="0" borderId="5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2" fillId="0" borderId="5" xfId="1" applyFont="1" applyBorder="1"/>
    <xf numFmtId="165" fontId="14" fillId="0" borderId="4" xfId="2" applyFont="1" applyFill="1" applyBorder="1" applyAlignment="1">
      <alignment horizontal="left" vertical="center"/>
    </xf>
    <xf numFmtId="0" fontId="2" fillId="0" borderId="4" xfId="1" applyFont="1" applyBorder="1"/>
    <xf numFmtId="0" fontId="2" fillId="0" borderId="8" xfId="1" applyFont="1" applyBorder="1"/>
    <xf numFmtId="0" fontId="2" fillId="0" borderId="6" xfId="1" applyFont="1" applyBorder="1" applyAlignment="1">
      <alignment horizontal="center"/>
    </xf>
    <xf numFmtId="0" fontId="12" fillId="0" borderId="6" xfId="1" applyFont="1" applyBorder="1" applyAlignment="1">
      <alignment horizontal="left" vertical="center"/>
    </xf>
    <xf numFmtId="0" fontId="2" fillId="0" borderId="6" xfId="1" applyFont="1" applyBorder="1"/>
    <xf numFmtId="0" fontId="2" fillId="0" borderId="7" xfId="1" applyFont="1" applyBorder="1"/>
    <xf numFmtId="165" fontId="7" fillId="10" borderId="56" xfId="2" applyFont="1" applyFill="1" applyBorder="1" applyAlignment="1">
      <alignment horizontal="center" vertical="center" wrapText="1"/>
    </xf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5" xfId="1" applyFont="1" applyBorder="1" applyAlignment="1">
      <alignment horizontal="left"/>
    </xf>
    <xf numFmtId="1" fontId="8" fillId="0" borderId="36" xfId="1" applyNumberFormat="1" applyFont="1" applyBorder="1" applyAlignment="1">
      <alignment horizontal="center" vertical="center" wrapText="1"/>
    </xf>
    <xf numFmtId="1" fontId="8" fillId="0" borderId="57" xfId="1" applyNumberFormat="1" applyFont="1" applyBorder="1" applyAlignment="1">
      <alignment horizontal="center" vertical="center" wrapText="1"/>
    </xf>
    <xf numFmtId="1" fontId="8" fillId="0" borderId="46" xfId="1" applyNumberFormat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168" fontId="8" fillId="0" borderId="18" xfId="2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9" fontId="22" fillId="0" borderId="0" xfId="3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4" fillId="13" borderId="1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13" borderId="18" xfId="4" applyNumberFormat="1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left" vertical="center" wrapText="1"/>
    </xf>
    <xf numFmtId="171" fontId="28" fillId="0" borderId="18" xfId="0" applyNumberFormat="1" applyFont="1" applyBorder="1" applyAlignment="1">
      <alignment horizontal="center" vertical="center" wrapText="1"/>
    </xf>
    <xf numFmtId="0" fontId="29" fillId="0" borderId="18" xfId="0" quotePrefix="1" applyFont="1" applyBorder="1" applyAlignment="1">
      <alignment horizontal="center" vertical="center" wrapText="1"/>
    </xf>
    <xf numFmtId="171" fontId="28" fillId="0" borderId="18" xfId="0" applyNumberFormat="1" applyFont="1" applyBorder="1" applyAlignment="1">
      <alignment horizontal="center" vertical="center"/>
    </xf>
    <xf numFmtId="15" fontId="26" fillId="0" borderId="18" xfId="0" applyNumberFormat="1" applyFont="1" applyBorder="1" applyAlignment="1">
      <alignment horizontal="center" vertical="center" wrapText="1"/>
    </xf>
    <xf numFmtId="0" fontId="30" fillId="0" borderId="58" xfId="0" applyFont="1" applyBorder="1" applyAlignment="1">
      <alignment vertical="top" wrapText="1"/>
    </xf>
    <xf numFmtId="3" fontId="30" fillId="0" borderId="18" xfId="5" quotePrefix="1" applyNumberFormat="1" applyFont="1" applyFill="1" applyBorder="1" applyAlignment="1">
      <alignment horizontal="center" vertical="center"/>
    </xf>
    <xf numFmtId="171" fontId="31" fillId="0" borderId="18" xfId="0" applyNumberFormat="1" applyFont="1" applyBorder="1" applyAlignment="1">
      <alignment horizontal="center" vertical="center"/>
    </xf>
    <xf numFmtId="15" fontId="30" fillId="0" borderId="18" xfId="0" applyNumberFormat="1" applyFont="1" applyBorder="1" applyAlignment="1">
      <alignment horizontal="center" vertical="center" wrapText="1"/>
    </xf>
    <xf numFmtId="171" fontId="20" fillId="0" borderId="0" xfId="0" applyNumberFormat="1" applyFont="1" applyAlignment="1">
      <alignment horizontal="center" vertical="center"/>
    </xf>
    <xf numFmtId="0" fontId="30" fillId="0" borderId="59" xfId="0" applyFont="1" applyBorder="1" applyAlignment="1">
      <alignment vertical="top" wrapText="1"/>
    </xf>
    <xf numFmtId="3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3" fontId="20" fillId="0" borderId="0" xfId="0" applyNumberFormat="1" applyFont="1" applyAlignment="1">
      <alignment horizontal="center" vertical="center"/>
    </xf>
    <xf numFmtId="173" fontId="7" fillId="0" borderId="0" xfId="2" applyNumberFormat="1" applyFont="1" applyFill="1" applyBorder="1" applyAlignment="1">
      <alignment horizontal="left" vertical="center"/>
    </xf>
    <xf numFmtId="173" fontId="7" fillId="0" borderId="2" xfId="2" applyNumberFormat="1" applyFont="1" applyFill="1" applyBorder="1" applyAlignment="1">
      <alignment horizontal="left" vertical="center"/>
    </xf>
    <xf numFmtId="173" fontId="7" fillId="0" borderId="6" xfId="2" applyNumberFormat="1" applyFont="1" applyFill="1" applyBorder="1" applyAlignment="1">
      <alignment horizontal="left" vertical="center"/>
    </xf>
    <xf numFmtId="3" fontId="30" fillId="0" borderId="59" xfId="0" applyNumberFormat="1" applyFont="1" applyBorder="1" applyAlignment="1">
      <alignment vertical="top" wrapText="1"/>
    </xf>
    <xf numFmtId="3" fontId="32" fillId="0" borderId="58" xfId="0" applyNumberFormat="1" applyFont="1" applyBorder="1" applyAlignment="1">
      <alignment horizontal="center" vertical="center" wrapText="1"/>
    </xf>
    <xf numFmtId="0" fontId="30" fillId="0" borderId="61" xfId="0" applyFont="1" applyBorder="1" applyAlignment="1">
      <alignment vertical="top" wrapText="1"/>
    </xf>
    <xf numFmtId="3" fontId="30" fillId="0" borderId="61" xfId="0" applyNumberFormat="1" applyFont="1" applyBorder="1" applyAlignment="1">
      <alignment horizontal="center" vertical="center"/>
    </xf>
    <xf numFmtId="171" fontId="31" fillId="0" borderId="61" xfId="0" applyNumberFormat="1" applyFont="1" applyBorder="1" applyAlignment="1">
      <alignment horizontal="center" vertical="center"/>
    </xf>
    <xf numFmtId="15" fontId="30" fillId="0" borderId="61" xfId="0" applyNumberFormat="1" applyFont="1" applyBorder="1" applyAlignment="1">
      <alignment horizontal="center" vertical="center" wrapText="1"/>
    </xf>
    <xf numFmtId="15" fontId="30" fillId="0" borderId="0" xfId="0" applyNumberFormat="1" applyFont="1" applyAlignment="1">
      <alignment horizontal="center" vertical="center" wrapText="1"/>
    </xf>
    <xf numFmtId="3" fontId="30" fillId="13" borderId="18" xfId="0" applyNumberFormat="1" applyFont="1" applyFill="1" applyBorder="1" applyAlignment="1">
      <alignment horizontal="center" vertical="center"/>
    </xf>
    <xf numFmtId="171" fontId="31" fillId="13" borderId="18" xfId="0" applyNumberFormat="1" applyFont="1" applyFill="1" applyBorder="1" applyAlignment="1">
      <alignment horizontal="center" vertical="center"/>
    </xf>
    <xf numFmtId="0" fontId="30" fillId="13" borderId="18" xfId="0" applyFont="1" applyFill="1" applyBorder="1" applyAlignment="1">
      <alignment horizontal="center" vertical="center" wrapText="1"/>
    </xf>
    <xf numFmtId="0" fontId="24" fillId="13" borderId="23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15" fontId="26" fillId="0" borderId="23" xfId="0" applyNumberFormat="1" applyFont="1" applyBorder="1" applyAlignment="1">
      <alignment horizontal="center" vertical="center" wrapText="1"/>
    </xf>
    <xf numFmtId="15" fontId="30" fillId="0" borderId="23" xfId="0" applyNumberFormat="1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30" fillId="0" borderId="64" xfId="0" applyFont="1" applyBorder="1" applyAlignment="1">
      <alignment vertical="top" wrapText="1"/>
    </xf>
    <xf numFmtId="0" fontId="30" fillId="0" borderId="4" xfId="0" applyFont="1" applyBorder="1" applyAlignment="1">
      <alignment vertical="top" wrapText="1"/>
    </xf>
    <xf numFmtId="3" fontId="32" fillId="0" borderId="65" xfId="0" applyNumberFormat="1" applyFont="1" applyBorder="1" applyAlignment="1">
      <alignment horizontal="center" vertical="center" wrapText="1"/>
    </xf>
    <xf numFmtId="0" fontId="30" fillId="0" borderId="66" xfId="0" applyFont="1" applyBorder="1" applyAlignment="1">
      <alignment vertical="top" wrapText="1"/>
    </xf>
    <xf numFmtId="15" fontId="30" fillId="0" borderId="67" xfId="0" applyNumberFormat="1" applyFont="1" applyBorder="1" applyAlignment="1">
      <alignment horizontal="center" vertical="center" wrapText="1"/>
    </xf>
    <xf numFmtId="0" fontId="30" fillId="0" borderId="8" xfId="0" applyFont="1" applyBorder="1" applyAlignment="1">
      <alignment vertical="top" wrapText="1"/>
    </xf>
    <xf numFmtId="0" fontId="30" fillId="0" borderId="6" xfId="0" applyFont="1" applyBorder="1" applyAlignment="1">
      <alignment vertical="top" wrapText="1"/>
    </xf>
    <xf numFmtId="3" fontId="30" fillId="0" borderId="6" xfId="0" applyNumberFormat="1" applyFont="1" applyBorder="1" applyAlignment="1">
      <alignment horizontal="center" vertical="center"/>
    </xf>
    <xf numFmtId="171" fontId="31" fillId="0" borderId="6" xfId="0" applyNumberFormat="1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8" fillId="14" borderId="24" xfId="1" applyFont="1" applyFill="1" applyBorder="1" applyAlignment="1">
      <alignment horizontal="center" vertical="center" wrapText="1"/>
    </xf>
    <xf numFmtId="166" fontId="3" fillId="14" borderId="21" xfId="1" applyNumberFormat="1" applyFont="1" applyFill="1" applyBorder="1" applyAlignment="1">
      <alignment horizontal="center" vertical="center"/>
    </xf>
    <xf numFmtId="166" fontId="3" fillId="14" borderId="18" xfId="1" applyNumberFormat="1" applyFont="1" applyFill="1" applyBorder="1" applyAlignment="1">
      <alignment horizontal="center" vertical="center"/>
    </xf>
    <xf numFmtId="168" fontId="3" fillId="14" borderId="17" xfId="1" applyNumberFormat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166" fontId="3" fillId="0" borderId="61" xfId="1" applyNumberFormat="1" applyFont="1" applyBorder="1" applyAlignment="1">
      <alignment horizontal="center" vertical="center"/>
    </xf>
    <xf numFmtId="168" fontId="3" fillId="0" borderId="61" xfId="1" applyNumberFormat="1" applyFont="1" applyBorder="1" applyAlignment="1">
      <alignment horizontal="center" vertical="center"/>
    </xf>
    <xf numFmtId="2" fontId="3" fillId="0" borderId="61" xfId="1" applyNumberFormat="1" applyFont="1" applyBorder="1" applyAlignment="1">
      <alignment horizontal="center" vertical="center"/>
    </xf>
    <xf numFmtId="1" fontId="8" fillId="0" borderId="61" xfId="1" applyNumberFormat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168" fontId="3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1" fontId="8" fillId="0" borderId="0" xfId="1" applyNumberFormat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166" fontId="3" fillId="0" borderId="16" xfId="1" applyNumberFormat="1" applyFont="1" applyBorder="1" applyAlignment="1">
      <alignment horizontal="center" vertical="center"/>
    </xf>
    <xf numFmtId="168" fontId="3" fillId="0" borderId="16" xfId="1" applyNumberFormat="1" applyFont="1" applyBorder="1" applyAlignment="1">
      <alignment horizontal="center" vertical="center"/>
    </xf>
    <xf numFmtId="2" fontId="3" fillId="0" borderId="16" xfId="1" applyNumberFormat="1" applyFont="1" applyBorder="1" applyAlignment="1">
      <alignment horizontal="center" vertical="center"/>
    </xf>
    <xf numFmtId="1" fontId="8" fillId="0" borderId="16" xfId="1" applyNumberFormat="1" applyFont="1" applyBorder="1" applyAlignment="1">
      <alignment horizontal="center" vertical="center" wrapText="1"/>
    </xf>
    <xf numFmtId="0" fontId="8" fillId="0" borderId="37" xfId="1" applyFont="1" applyBorder="1" applyAlignment="1">
      <alignment horizontal="center" vertical="center" wrapText="1"/>
    </xf>
    <xf numFmtId="0" fontId="8" fillId="14" borderId="24" xfId="1" applyFont="1" applyFill="1" applyBorder="1" applyAlignment="1">
      <alignment vertical="center" wrapText="1"/>
    </xf>
    <xf numFmtId="0" fontId="8" fillId="0" borderId="4" xfId="1" applyFont="1" applyBorder="1" applyAlignment="1">
      <alignment vertical="center" wrapText="1"/>
    </xf>
    <xf numFmtId="0" fontId="8" fillId="0" borderId="8" xfId="1" applyFont="1" applyBorder="1" applyAlignment="1">
      <alignment vertical="center" wrapText="1"/>
    </xf>
    <xf numFmtId="166" fontId="3" fillId="0" borderId="6" xfId="1" applyNumberFormat="1" applyFont="1" applyBorder="1" applyAlignment="1">
      <alignment horizontal="center" vertical="center"/>
    </xf>
    <xf numFmtId="168" fontId="3" fillId="0" borderId="6" xfId="1" applyNumberFormat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1" fontId="8" fillId="0" borderId="6" xfId="1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6" xfId="1" applyFont="1" applyBorder="1" applyAlignment="1">
      <alignment vertical="center" wrapText="1"/>
    </xf>
    <xf numFmtId="0" fontId="8" fillId="0" borderId="7" xfId="1" applyFont="1" applyBorder="1" applyAlignment="1">
      <alignment vertical="center" wrapText="1"/>
    </xf>
    <xf numFmtId="1" fontId="8" fillId="0" borderId="61" xfId="2" applyNumberFormat="1" applyFont="1" applyFill="1" applyBorder="1" applyAlignment="1">
      <alignment horizontal="center" vertical="center" wrapText="1"/>
    </xf>
    <xf numFmtId="1" fontId="8" fillId="0" borderId="0" xfId="2" applyNumberFormat="1" applyFont="1" applyFill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166" fontId="11" fillId="0" borderId="16" xfId="1" applyNumberFormat="1" applyFont="1" applyBorder="1" applyAlignment="1">
      <alignment horizontal="center" vertical="center"/>
    </xf>
    <xf numFmtId="168" fontId="11" fillId="0" borderId="16" xfId="1" applyNumberFormat="1" applyFont="1" applyBorder="1" applyAlignment="1">
      <alignment horizontal="center" vertical="center"/>
    </xf>
    <xf numFmtId="2" fontId="11" fillId="0" borderId="16" xfId="1" applyNumberFormat="1" applyFont="1" applyBorder="1" applyAlignment="1">
      <alignment horizontal="center" vertical="center"/>
    </xf>
    <xf numFmtId="1" fontId="7" fillId="0" borderId="16" xfId="1" applyNumberFormat="1" applyFont="1" applyBorder="1" applyAlignment="1">
      <alignment horizontal="center" vertical="center" wrapText="1"/>
    </xf>
    <xf numFmtId="0" fontId="8" fillId="14" borderId="10" xfId="1" applyFont="1" applyFill="1" applyBorder="1" applyAlignment="1">
      <alignment horizontal="center" vertical="center" wrapText="1"/>
    </xf>
    <xf numFmtId="166" fontId="3" fillId="14" borderId="12" xfId="1" applyNumberFormat="1" applyFont="1" applyFill="1" applyBorder="1" applyAlignment="1">
      <alignment horizontal="center" vertical="center"/>
    </xf>
    <xf numFmtId="166" fontId="3" fillId="14" borderId="43" xfId="1" applyNumberFormat="1" applyFont="1" applyFill="1" applyBorder="1" applyAlignment="1">
      <alignment horizontal="center" vertical="center"/>
    </xf>
    <xf numFmtId="168" fontId="3" fillId="14" borderId="13" xfId="1" applyNumberFormat="1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 wrapText="1"/>
    </xf>
    <xf numFmtId="166" fontId="11" fillId="0" borderId="6" xfId="1" applyNumberFormat="1" applyFont="1" applyBorder="1" applyAlignment="1">
      <alignment horizontal="center" vertical="center"/>
    </xf>
    <xf numFmtId="168" fontId="11" fillId="0" borderId="6" xfId="1" applyNumberFormat="1" applyFont="1" applyBorder="1" applyAlignment="1">
      <alignment horizontal="center" vertical="center"/>
    </xf>
    <xf numFmtId="2" fontId="11" fillId="0" borderId="6" xfId="1" applyNumberFormat="1" applyFont="1" applyBorder="1" applyAlignment="1">
      <alignment horizontal="center" vertical="center"/>
    </xf>
    <xf numFmtId="1" fontId="7" fillId="0" borderId="6" xfId="1" applyNumberFormat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168" fontId="8" fillId="0" borderId="43" xfId="2" applyNumberFormat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166" fontId="3" fillId="3" borderId="21" xfId="1" applyNumberFormat="1" applyFont="1" applyFill="1" applyBorder="1" applyAlignment="1">
      <alignment horizontal="center" vertical="center"/>
    </xf>
    <xf numFmtId="166" fontId="3" fillId="3" borderId="18" xfId="1" applyNumberFormat="1" applyFont="1" applyFill="1" applyBorder="1" applyAlignment="1">
      <alignment horizontal="center" vertical="center"/>
    </xf>
    <xf numFmtId="168" fontId="3" fillId="3" borderId="17" xfId="1" applyNumberFormat="1" applyFont="1" applyFill="1" applyBorder="1" applyAlignment="1">
      <alignment horizontal="center" vertical="center"/>
    </xf>
    <xf numFmtId="171" fontId="31" fillId="3" borderId="18" xfId="0" applyNumberFormat="1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 wrapText="1"/>
    </xf>
    <xf numFmtId="1" fontId="8" fillId="0" borderId="23" xfId="1" applyNumberFormat="1" applyFont="1" applyFill="1" applyBorder="1" applyAlignment="1">
      <alignment horizontal="center" vertical="center" wrapText="1"/>
    </xf>
    <xf numFmtId="166" fontId="3" fillId="0" borderId="21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8" fontId="3" fillId="0" borderId="17" xfId="1" applyNumberFormat="1" applyFont="1" applyFill="1" applyBorder="1" applyAlignment="1">
      <alignment horizontal="center" vertical="center"/>
    </xf>
    <xf numFmtId="0" fontId="36" fillId="0" borderId="24" xfId="1" applyFont="1" applyFill="1" applyBorder="1" applyAlignment="1">
      <alignment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0" xfId="1" applyFont="1" applyFill="1" applyAlignment="1">
      <alignment horizontal="center"/>
    </xf>
    <xf numFmtId="171" fontId="31" fillId="0" borderId="18" xfId="0" applyNumberFormat="1" applyFont="1" applyFill="1" applyBorder="1" applyAlignment="1">
      <alignment horizontal="center" vertical="center"/>
    </xf>
    <xf numFmtId="0" fontId="7" fillId="0" borderId="66" xfId="1" applyFont="1" applyBorder="1" applyAlignment="1">
      <alignment horizontal="center" vertical="center" wrapText="1"/>
    </xf>
    <xf numFmtId="166" fontId="11" fillId="0" borderId="61" xfId="1" applyNumberFormat="1" applyFont="1" applyBorder="1" applyAlignment="1">
      <alignment horizontal="center" vertical="center"/>
    </xf>
    <xf numFmtId="166" fontId="11" fillId="0" borderId="58" xfId="1" applyNumberFormat="1" applyFont="1" applyBorder="1" applyAlignment="1">
      <alignment horizontal="center" vertical="center"/>
    </xf>
    <xf numFmtId="168" fontId="11" fillId="0" borderId="62" xfId="1" applyNumberFormat="1" applyFont="1" applyBorder="1" applyAlignment="1">
      <alignment horizontal="center" vertical="center"/>
    </xf>
    <xf numFmtId="2" fontId="11" fillId="0" borderId="61" xfId="1" applyNumberFormat="1" applyFont="1" applyBorder="1" applyAlignment="1">
      <alignment horizontal="center" vertical="center"/>
    </xf>
    <xf numFmtId="168" fontId="11" fillId="0" borderId="65" xfId="1" applyNumberFormat="1" applyFont="1" applyBorder="1" applyAlignment="1">
      <alignment horizontal="center" vertical="center"/>
    </xf>
    <xf numFmtId="1" fontId="7" fillId="0" borderId="65" xfId="1" applyNumberFormat="1" applyFont="1" applyBorder="1" applyAlignment="1">
      <alignment horizontal="center" vertical="center" wrapText="1"/>
    </xf>
    <xf numFmtId="1" fontId="7" fillId="0" borderId="60" xfId="1" applyNumberFormat="1" applyFont="1" applyBorder="1" applyAlignment="1">
      <alignment horizontal="center" vertical="center" wrapText="1"/>
    </xf>
    <xf numFmtId="0" fontId="7" fillId="0" borderId="68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/>
    </xf>
    <xf numFmtId="166" fontId="3" fillId="0" borderId="12" xfId="1" applyNumberFormat="1" applyFont="1" applyFill="1" applyBorder="1" applyAlignment="1">
      <alignment horizontal="center" vertical="center"/>
    </xf>
    <xf numFmtId="166" fontId="3" fillId="0" borderId="43" xfId="1" applyNumberFormat="1" applyFont="1" applyFill="1" applyBorder="1" applyAlignment="1">
      <alignment horizontal="center" vertical="center"/>
    </xf>
    <xf numFmtId="168" fontId="3" fillId="0" borderId="13" xfId="1" applyNumberFormat="1" applyFont="1" applyFill="1" applyBorder="1" applyAlignment="1">
      <alignment horizontal="center" vertical="center"/>
    </xf>
    <xf numFmtId="0" fontId="8" fillId="0" borderId="10" xfId="1" applyFont="1" applyFill="1" applyBorder="1" applyAlignment="1">
      <alignment horizontal="center" vertical="center" wrapText="1"/>
    </xf>
    <xf numFmtId="0" fontId="30" fillId="0" borderId="18" xfId="0" applyFont="1" applyFill="1" applyBorder="1" applyAlignment="1">
      <alignment horizontal="center" vertical="center" wrapText="1"/>
    </xf>
    <xf numFmtId="165" fontId="7" fillId="7" borderId="14" xfId="2" applyFont="1" applyFill="1" applyBorder="1" applyAlignment="1">
      <alignment horizontal="center" vertical="center"/>
    </xf>
    <xf numFmtId="165" fontId="7" fillId="7" borderId="7" xfId="2" applyFont="1" applyFill="1" applyBorder="1" applyAlignment="1">
      <alignment horizontal="center" vertical="center"/>
    </xf>
    <xf numFmtId="0" fontId="7" fillId="0" borderId="10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165" fontId="7" fillId="2" borderId="12" xfId="2" applyFont="1" applyFill="1" applyBorder="1" applyAlignment="1">
      <alignment horizontal="center" vertical="center"/>
    </xf>
    <xf numFmtId="165" fontId="7" fillId="2" borderId="13" xfId="2" applyFont="1" applyFill="1" applyBorder="1" applyAlignment="1">
      <alignment horizontal="center" vertical="center"/>
    </xf>
    <xf numFmtId="165" fontId="7" fillId="2" borderId="35" xfId="2" applyFont="1" applyFill="1" applyBorder="1" applyAlignment="1">
      <alignment horizontal="center" vertical="center" wrapText="1"/>
    </xf>
    <xf numFmtId="165" fontId="7" fillId="2" borderId="31" xfId="2" applyFont="1" applyFill="1" applyBorder="1" applyAlignment="1">
      <alignment horizontal="center" vertical="center" wrapText="1"/>
    </xf>
    <xf numFmtId="165" fontId="7" fillId="2" borderId="14" xfId="2" applyFont="1" applyFill="1" applyBorder="1" applyAlignment="1">
      <alignment horizontal="center" vertical="center" wrapText="1"/>
    </xf>
    <xf numFmtId="165" fontId="7" fillId="2" borderId="32" xfId="2" applyFont="1" applyFill="1" applyBorder="1" applyAlignment="1">
      <alignment horizontal="center" vertical="center" wrapText="1"/>
    </xf>
    <xf numFmtId="165" fontId="18" fillId="5" borderId="2" xfId="2" applyFont="1" applyFill="1" applyBorder="1" applyAlignment="1">
      <alignment horizontal="center" vertical="center"/>
    </xf>
    <xf numFmtId="165" fontId="18" fillId="5" borderId="34" xfId="2" applyFont="1" applyFill="1" applyBorder="1" applyAlignment="1">
      <alignment horizontal="center" vertical="center"/>
    </xf>
    <xf numFmtId="1" fontId="7" fillId="0" borderId="24" xfId="2" applyNumberFormat="1" applyFont="1" applyFill="1" applyBorder="1" applyAlignment="1">
      <alignment horizontal="center" vertical="center" wrapText="1"/>
    </xf>
    <xf numFmtId="1" fontId="7" fillId="0" borderId="17" xfId="2" applyNumberFormat="1" applyFont="1" applyFill="1" applyBorder="1" applyAlignment="1">
      <alignment horizontal="center" vertical="center" wrapText="1"/>
    </xf>
    <xf numFmtId="1" fontId="7" fillId="0" borderId="16" xfId="2" applyNumberFormat="1" applyFont="1" applyFill="1" applyBorder="1" applyAlignment="1">
      <alignment horizontal="center" vertical="center" wrapText="1"/>
    </xf>
    <xf numFmtId="1" fontId="7" fillId="0" borderId="26" xfId="2" applyNumberFormat="1" applyFont="1" applyFill="1" applyBorder="1" applyAlignment="1">
      <alignment horizontal="center" vertical="center" wrapText="1"/>
    </xf>
    <xf numFmtId="1" fontId="7" fillId="0" borderId="28" xfId="2" applyNumberFormat="1" applyFont="1" applyFill="1" applyBorder="1" applyAlignment="1">
      <alignment horizontal="center" vertical="center" wrapText="1"/>
    </xf>
    <xf numFmtId="165" fontId="18" fillId="11" borderId="2" xfId="2" applyFont="1" applyFill="1" applyBorder="1" applyAlignment="1">
      <alignment horizontal="center" vertical="center"/>
    </xf>
    <xf numFmtId="165" fontId="7" fillId="7" borderId="51" xfId="2" applyFont="1" applyFill="1" applyBorder="1" applyAlignment="1">
      <alignment horizontal="center" vertical="center"/>
    </xf>
    <xf numFmtId="165" fontId="7" fillId="7" borderId="52" xfId="2" applyFont="1" applyFill="1" applyBorder="1" applyAlignment="1">
      <alignment horizontal="center" vertical="center"/>
    </xf>
    <xf numFmtId="1" fontId="7" fillId="0" borderId="6" xfId="2" applyNumberFormat="1" applyFont="1" applyFill="1" applyBorder="1" applyAlignment="1">
      <alignment horizontal="center" vertical="center" wrapText="1"/>
    </xf>
    <xf numFmtId="1" fontId="7" fillId="0" borderId="66" xfId="2" applyNumberFormat="1" applyFont="1" applyFill="1" applyBorder="1" applyAlignment="1">
      <alignment horizontal="center" vertical="center" wrapText="1"/>
    </xf>
    <xf numFmtId="1" fontId="7" fillId="0" borderId="62" xfId="2" applyNumberFormat="1" applyFont="1" applyFill="1" applyBorder="1" applyAlignment="1">
      <alignment horizontal="center" vertical="center" wrapText="1"/>
    </xf>
    <xf numFmtId="165" fontId="7" fillId="10" borderId="47" xfId="2" applyFont="1" applyFill="1" applyBorder="1" applyAlignment="1">
      <alignment horizontal="center" vertical="center" wrapText="1"/>
    </xf>
    <xf numFmtId="165" fontId="7" fillId="10" borderId="48" xfId="2" applyFont="1" applyFill="1" applyBorder="1" applyAlignment="1">
      <alignment horizontal="center" vertical="center" wrapText="1"/>
    </xf>
    <xf numFmtId="165" fontId="7" fillId="10" borderId="49" xfId="2" applyFont="1" applyFill="1" applyBorder="1" applyAlignment="1">
      <alignment horizontal="center" vertical="center" wrapText="1"/>
    </xf>
    <xf numFmtId="0" fontId="7" fillId="0" borderId="46" xfId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0" fontId="7" fillId="0" borderId="44" xfId="1" applyFont="1" applyBorder="1" applyAlignment="1">
      <alignment horizontal="center" vertical="center" wrapText="1"/>
    </xf>
    <xf numFmtId="165" fontId="18" fillId="12" borderId="47" xfId="2" applyFont="1" applyFill="1" applyBorder="1" applyAlignment="1">
      <alignment horizontal="center" vertical="center"/>
    </xf>
    <xf numFmtId="165" fontId="18" fillId="12" borderId="48" xfId="2" applyFont="1" applyFill="1" applyBorder="1" applyAlignment="1">
      <alignment horizontal="center" vertical="center"/>
    </xf>
    <xf numFmtId="165" fontId="18" fillId="12" borderId="50" xfId="2" applyFont="1" applyFill="1" applyBorder="1" applyAlignment="1">
      <alignment horizontal="center" vertical="center"/>
    </xf>
    <xf numFmtId="1" fontId="7" fillId="0" borderId="29" xfId="2" applyNumberFormat="1" applyFont="1" applyFill="1" applyBorder="1" applyAlignment="1">
      <alignment horizontal="center" vertical="center" wrapText="1"/>
    </xf>
    <xf numFmtId="1" fontId="7" fillId="0" borderId="57" xfId="2" applyNumberFormat="1" applyFont="1" applyFill="1" applyBorder="1" applyAlignment="1">
      <alignment horizontal="center" vertical="center" wrapText="1"/>
    </xf>
    <xf numFmtId="1" fontId="7" fillId="0" borderId="18" xfId="2" applyNumberFormat="1" applyFont="1" applyFill="1" applyBorder="1" applyAlignment="1">
      <alignment horizontal="center" vertical="center" wrapText="1"/>
    </xf>
    <xf numFmtId="1" fontId="7" fillId="0" borderId="36" xfId="2" applyNumberFormat="1" applyFont="1" applyFill="1" applyBorder="1" applyAlignment="1">
      <alignment horizontal="center" vertical="center" wrapText="1"/>
    </xf>
    <xf numFmtId="3" fontId="32" fillId="0" borderId="60" xfId="0" applyNumberFormat="1" applyFont="1" applyBorder="1" applyAlignment="1">
      <alignment horizontal="center" vertical="center" wrapText="1"/>
    </xf>
    <xf numFmtId="3" fontId="32" fillId="0" borderId="61" xfId="0" applyNumberFormat="1" applyFont="1" applyBorder="1" applyAlignment="1">
      <alignment horizontal="center" vertical="center" wrapText="1"/>
    </xf>
    <xf numFmtId="3" fontId="32" fillId="0" borderId="62" xfId="0" applyNumberFormat="1" applyFont="1" applyBorder="1" applyAlignment="1">
      <alignment horizontal="center" vertical="center" wrapText="1"/>
    </xf>
    <xf numFmtId="3" fontId="32" fillId="0" borderId="60" xfId="0" applyNumberFormat="1" applyFont="1" applyBorder="1" applyAlignment="1">
      <alignment horizontal="center" vertical="center"/>
    </xf>
    <xf numFmtId="3" fontId="32" fillId="0" borderId="61" xfId="0" applyNumberFormat="1" applyFont="1" applyBorder="1" applyAlignment="1">
      <alignment horizontal="center" vertical="center"/>
    </xf>
    <xf numFmtId="3" fontId="32" fillId="0" borderId="62" xfId="0" applyNumberFormat="1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top" wrapText="1"/>
    </xf>
    <xf numFmtId="0" fontId="30" fillId="0" borderId="64" xfId="0" applyFont="1" applyBorder="1" applyAlignment="1">
      <alignment horizontal="center" vertical="top" wrapText="1"/>
    </xf>
    <xf numFmtId="0" fontId="35" fillId="0" borderId="0" xfId="0" applyFont="1" applyAlignment="1">
      <alignment horizontal="center" vertical="center" wrapText="1"/>
    </xf>
    <xf numFmtId="0" fontId="24" fillId="13" borderId="46" xfId="0" applyFont="1" applyFill="1" applyBorder="1" applyAlignment="1">
      <alignment horizontal="center" vertical="center" wrapText="1"/>
    </xf>
    <xf numFmtId="0" fontId="24" fillId="13" borderId="36" xfId="0" applyFont="1" applyFill="1" applyBorder="1" applyAlignment="1">
      <alignment horizontal="center" vertical="center" wrapText="1"/>
    </xf>
    <xf numFmtId="170" fontId="24" fillId="13" borderId="43" xfId="4" applyFont="1" applyFill="1" applyBorder="1" applyAlignment="1">
      <alignment horizontal="center" vertical="center" wrapText="1"/>
    </xf>
    <xf numFmtId="170" fontId="24" fillId="13" borderId="18" xfId="4" applyFont="1" applyFill="1" applyBorder="1" applyAlignment="1">
      <alignment horizontal="center" vertical="center" wrapText="1"/>
    </xf>
    <xf numFmtId="164" fontId="23" fillId="13" borderId="12" xfId="4" applyNumberFormat="1" applyFont="1" applyFill="1" applyBorder="1" applyAlignment="1">
      <alignment horizontal="center" vertical="center" wrapText="1"/>
    </xf>
    <xf numFmtId="164" fontId="23" fillId="13" borderId="13" xfId="4" applyNumberFormat="1" applyFont="1" applyFill="1" applyBorder="1" applyAlignment="1">
      <alignment horizontal="center" vertical="center" wrapText="1"/>
    </xf>
    <xf numFmtId="164" fontId="23" fillId="13" borderId="11" xfId="4" applyNumberFormat="1" applyFont="1" applyFill="1" applyBorder="1" applyAlignment="1">
      <alignment horizontal="center" vertical="center" wrapText="1"/>
    </xf>
    <xf numFmtId="164" fontId="23" fillId="13" borderId="33" xfId="4" applyNumberFormat="1" applyFont="1" applyFill="1" applyBorder="1" applyAlignment="1">
      <alignment horizontal="center" vertical="center" wrapText="1"/>
    </xf>
    <xf numFmtId="0" fontId="24" fillId="13" borderId="41" xfId="4" applyNumberFormat="1" applyFont="1" applyFill="1" applyBorder="1" applyAlignment="1">
      <alignment horizontal="center" vertical="center" wrapText="1"/>
    </xf>
    <xf numFmtId="0" fontId="24" fillId="13" borderId="21" xfId="4" applyNumberFormat="1" applyFont="1" applyFill="1" applyBorder="1" applyAlignment="1">
      <alignment horizontal="center" vertical="center" wrapText="1"/>
    </xf>
    <xf numFmtId="0" fontId="24" fillId="13" borderId="17" xfId="4" applyNumberFormat="1" applyFont="1" applyFill="1" applyBorder="1" applyAlignment="1">
      <alignment horizontal="center" vertical="center" wrapText="1"/>
    </xf>
    <xf numFmtId="165" fontId="7" fillId="2" borderId="9" xfId="2" applyFont="1" applyFill="1" applyBorder="1" applyAlignment="1">
      <alignment horizontal="center" vertical="center"/>
    </xf>
    <xf numFmtId="165" fontId="7" fillId="2" borderId="10" xfId="2" applyFont="1" applyFill="1" applyBorder="1" applyAlignment="1">
      <alignment horizontal="center" vertical="center"/>
    </xf>
    <xf numFmtId="165" fontId="7" fillId="3" borderId="11" xfId="2" applyFont="1" applyFill="1" applyBorder="1" applyAlignment="1">
      <alignment horizontal="center" vertical="center"/>
    </xf>
    <xf numFmtId="165" fontId="7" fillId="3" borderId="12" xfId="2" applyFont="1" applyFill="1" applyBorder="1" applyAlignment="1">
      <alignment horizontal="center" vertical="center"/>
    </xf>
    <xf numFmtId="165" fontId="7" fillId="3" borderId="13" xfId="2" applyFont="1" applyFill="1" applyBorder="1" applyAlignment="1">
      <alignment horizontal="center" vertical="center"/>
    </xf>
    <xf numFmtId="165" fontId="7" fillId="5" borderId="11" xfId="2" applyFont="1" applyFill="1" applyBorder="1" applyAlignment="1">
      <alignment horizontal="center" vertical="center"/>
    </xf>
    <xf numFmtId="165" fontId="7" fillId="5" borderId="12" xfId="2" applyFont="1" applyFill="1" applyBorder="1" applyAlignment="1">
      <alignment horizontal="center" vertical="center"/>
    </xf>
    <xf numFmtId="165" fontId="7" fillId="6" borderId="11" xfId="2" applyFont="1" applyFill="1" applyBorder="1" applyAlignment="1">
      <alignment horizontal="center" vertical="center"/>
    </xf>
    <xf numFmtId="165" fontId="7" fillId="6" borderId="12" xfId="2" applyFont="1" applyFill="1" applyBorder="1" applyAlignment="1">
      <alignment horizontal="center" vertical="center"/>
    </xf>
    <xf numFmtId="165" fontId="7" fillId="6" borderId="13" xfId="2" applyFont="1" applyFill="1" applyBorder="1" applyAlignment="1">
      <alignment horizontal="center" vertical="center"/>
    </xf>
    <xf numFmtId="165" fontId="7" fillId="7" borderId="20" xfId="2" applyFont="1" applyFill="1" applyBorder="1" applyAlignment="1">
      <alignment horizontal="center" vertical="center"/>
    </xf>
    <xf numFmtId="165" fontId="7" fillId="2" borderId="15" xfId="2" applyFont="1" applyFill="1" applyBorder="1" applyAlignment="1">
      <alignment horizontal="center" vertical="center" wrapText="1"/>
    </xf>
    <xf numFmtId="165" fontId="7" fillId="2" borderId="16" xfId="2" applyFont="1" applyFill="1" applyBorder="1" applyAlignment="1">
      <alignment horizontal="center" vertical="center" wrapText="1"/>
    </xf>
    <xf numFmtId="165" fontId="7" fillId="2" borderId="17" xfId="2" applyFont="1" applyFill="1" applyBorder="1" applyAlignment="1">
      <alignment horizontal="center" vertical="center" wrapText="1"/>
    </xf>
    <xf numFmtId="165" fontId="7" fillId="2" borderId="18" xfId="2" applyFont="1" applyFill="1" applyBorder="1" applyAlignment="1">
      <alignment horizontal="center" vertical="center" wrapText="1"/>
    </xf>
  </cellXfs>
  <cellStyles count="6">
    <cellStyle name="Comma [0] 2" xfId="3" xr:uid="{00000000-0005-0000-0000-000000000000}"/>
    <cellStyle name="Comma [0] 2 4" xfId="4" xr:uid="{00000000-0005-0000-0000-000001000000}"/>
    <cellStyle name="Comma 2" xfId="2" xr:uid="{00000000-0005-0000-0000-000002000000}"/>
    <cellStyle name="Comma 3" xfId="5" xr:uid="{00000000-0005-0000-0000-000003000000}"/>
    <cellStyle name="Normal" xfId="0" builtinId="0"/>
    <cellStyle name="Normal 2" xfId="1" xr:uid="{00000000-0005-0000-0000-000005000000}"/>
  </cellStyles>
  <dxfs count="17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38502</xdr:colOff>
      <xdr:row>0</xdr:row>
      <xdr:rowOff>94897</xdr:rowOff>
    </xdr:from>
    <xdr:to>
      <xdr:col>2</xdr:col>
      <xdr:colOff>268941</xdr:colOff>
      <xdr:row>3</xdr:row>
      <xdr:rowOff>62753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3A8C7-AC7F-49EC-9DDF-4329B8499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84" y="94897"/>
          <a:ext cx="346981" cy="44298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26894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25FC9-A782-44A7-B803-C0098DA1F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76" y="104504"/>
          <a:ext cx="329134" cy="4224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65395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F7F8F-FDAB-40D7-9295-90A93CA17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95" y="104952"/>
          <a:ext cx="364591" cy="4269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65395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8008F-3B29-4E2D-9C81-72662944A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95" y="104952"/>
          <a:ext cx="364591" cy="4269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26894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8FA31-13C3-48FF-8154-C5DD5241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94" y="104952"/>
          <a:ext cx="326892" cy="4269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26894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9E300-EB26-43F2-8D1F-86F671C7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94" y="104952"/>
          <a:ext cx="326892" cy="4269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41636</xdr:colOff>
      <xdr:row>1</xdr:row>
      <xdr:rowOff>26318</xdr:rowOff>
    </xdr:from>
    <xdr:to>
      <xdr:col>2</xdr:col>
      <xdr:colOff>237703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A7C09-9D6C-42D1-89EA-5ECA9656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36" y="125378"/>
          <a:ext cx="317987" cy="43088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zoomScale="130" zoomScaleNormal="130" workbookViewId="0">
      <selection activeCell="D10" sqref="D10"/>
    </sheetView>
  </sheetViews>
  <sheetFormatPr defaultColWidth="9" defaultRowHeight="10.199999999999999"/>
  <cols>
    <col min="1" max="1" width="9" style="91"/>
    <col min="2" max="2" width="10.6640625" style="82" customWidth="1"/>
    <col min="3" max="3" width="10.6640625" style="85" customWidth="1"/>
    <col min="4" max="4" width="9" style="88"/>
    <col min="5" max="5" width="7.6640625" style="88" customWidth="1"/>
    <col min="6" max="6" width="45.6640625" style="85" customWidth="1"/>
    <col min="7" max="8" width="7.6640625" style="85" customWidth="1"/>
    <col min="9" max="10" width="11.6640625" style="90" customWidth="1"/>
    <col min="11" max="13" width="11.6640625" style="86" customWidth="1"/>
    <col min="14" max="14" width="30.5546875" style="82" customWidth="1"/>
    <col min="15" max="16384" width="9" style="82"/>
  </cols>
  <sheetData>
    <row r="1" spans="1:14" ht="20.399999999999999">
      <c r="A1" s="91" t="s">
        <v>160</v>
      </c>
      <c r="B1" s="79" t="s">
        <v>78</v>
      </c>
      <c r="C1" s="80" t="s">
        <v>79</v>
      </c>
      <c r="D1" s="80" t="s">
        <v>80</v>
      </c>
      <c r="E1" s="80" t="s">
        <v>81</v>
      </c>
      <c r="F1" s="80" t="s">
        <v>82</v>
      </c>
      <c r="G1" s="80" t="s">
        <v>83</v>
      </c>
      <c r="H1" s="80" t="s">
        <v>84</v>
      </c>
      <c r="I1" s="81" t="s">
        <v>85</v>
      </c>
      <c r="J1" s="81" t="s">
        <v>86</v>
      </c>
      <c r="K1" s="81" t="s">
        <v>87</v>
      </c>
      <c r="L1" s="81" t="s">
        <v>88</v>
      </c>
      <c r="M1" s="81" t="s">
        <v>89</v>
      </c>
    </row>
    <row r="2" spans="1:14">
      <c r="A2" s="91">
        <v>1</v>
      </c>
      <c r="B2" s="82">
        <v>18</v>
      </c>
      <c r="C2" s="83" t="s">
        <v>90</v>
      </c>
      <c r="D2" s="84" t="s">
        <v>91</v>
      </c>
      <c r="E2" s="84"/>
      <c r="F2" s="84" t="s">
        <v>92</v>
      </c>
      <c r="G2" s="85" t="s">
        <v>15</v>
      </c>
      <c r="H2" s="85" t="s">
        <v>93</v>
      </c>
      <c r="I2" s="84">
        <v>21.777000000000001</v>
      </c>
      <c r="J2" s="84">
        <v>21.777000000000001</v>
      </c>
      <c r="K2" s="86" t="s">
        <v>94</v>
      </c>
      <c r="L2" s="86" t="s">
        <v>94</v>
      </c>
      <c r="M2" s="84" t="s">
        <v>15</v>
      </c>
      <c r="N2" s="87"/>
    </row>
    <row r="3" spans="1:14">
      <c r="A3" s="91">
        <f>+A2+1</f>
        <v>2</v>
      </c>
      <c r="B3" s="82">
        <v>18</v>
      </c>
      <c r="C3" s="83" t="s">
        <v>90</v>
      </c>
      <c r="D3" s="84" t="s">
        <v>95</v>
      </c>
      <c r="E3" s="84"/>
      <c r="F3" s="84" t="s">
        <v>96</v>
      </c>
      <c r="G3" s="85" t="s">
        <v>15</v>
      </c>
      <c r="H3" s="85" t="s">
        <v>93</v>
      </c>
      <c r="I3" s="84">
        <v>25.157</v>
      </c>
      <c r="J3" s="84">
        <v>25.157</v>
      </c>
      <c r="K3" s="86" t="s">
        <v>94</v>
      </c>
      <c r="L3" s="86" t="s">
        <v>94</v>
      </c>
      <c r="M3" s="84" t="s">
        <v>15</v>
      </c>
      <c r="N3" s="87"/>
    </row>
    <row r="4" spans="1:14">
      <c r="A4" s="91">
        <f t="shared" ref="A4:A32" si="0">+A3+1</f>
        <v>3</v>
      </c>
      <c r="B4" s="82">
        <v>18</v>
      </c>
      <c r="C4" s="83" t="s">
        <v>90</v>
      </c>
      <c r="D4" s="84" t="s">
        <v>97</v>
      </c>
      <c r="E4" s="84"/>
      <c r="F4" s="84" t="s">
        <v>98</v>
      </c>
      <c r="G4" s="85" t="s">
        <v>15</v>
      </c>
      <c r="H4" s="85" t="s">
        <v>93</v>
      </c>
      <c r="I4" s="84">
        <v>23.83</v>
      </c>
      <c r="J4" s="84">
        <v>23.83</v>
      </c>
      <c r="K4" s="86" t="s">
        <v>94</v>
      </c>
      <c r="L4" s="86" t="s">
        <v>94</v>
      </c>
      <c r="M4" s="84" t="s">
        <v>15</v>
      </c>
      <c r="N4" s="87"/>
    </row>
    <row r="5" spans="1:14">
      <c r="A5" s="91">
        <f t="shared" si="0"/>
        <v>4</v>
      </c>
      <c r="B5" s="82">
        <v>18</v>
      </c>
      <c r="C5" s="83" t="s">
        <v>90</v>
      </c>
      <c r="D5" s="84" t="s">
        <v>99</v>
      </c>
      <c r="E5" s="84"/>
      <c r="F5" s="84" t="s">
        <v>100</v>
      </c>
      <c r="G5" s="85" t="s">
        <v>15</v>
      </c>
      <c r="H5" s="85" t="s">
        <v>93</v>
      </c>
      <c r="I5" s="84">
        <v>11.736000000000001</v>
      </c>
      <c r="J5" s="84">
        <v>11.736000000000001</v>
      </c>
      <c r="K5" s="86" t="s">
        <v>94</v>
      </c>
      <c r="L5" s="86" t="s">
        <v>94</v>
      </c>
      <c r="M5" s="84" t="s">
        <v>15</v>
      </c>
      <c r="N5" s="87"/>
    </row>
    <row r="6" spans="1:14">
      <c r="A6" s="91">
        <f t="shared" si="0"/>
        <v>5</v>
      </c>
      <c r="B6" s="82">
        <v>18</v>
      </c>
      <c r="C6" s="83" t="s">
        <v>90</v>
      </c>
      <c r="D6" s="84" t="s">
        <v>101</v>
      </c>
      <c r="E6" s="84"/>
      <c r="F6" s="84" t="s">
        <v>102</v>
      </c>
      <c r="G6" s="85" t="s">
        <v>15</v>
      </c>
      <c r="H6" s="85" t="s">
        <v>93</v>
      </c>
      <c r="I6" s="84">
        <v>21.468</v>
      </c>
      <c r="J6" s="84">
        <v>21.468</v>
      </c>
      <c r="K6" s="86" t="s">
        <v>94</v>
      </c>
      <c r="L6" s="86" t="s">
        <v>94</v>
      </c>
      <c r="M6" s="84" t="s">
        <v>103</v>
      </c>
      <c r="N6" s="87"/>
    </row>
    <row r="7" spans="1:14">
      <c r="A7" s="91">
        <f t="shared" si="0"/>
        <v>6</v>
      </c>
      <c r="B7" s="82">
        <v>18</v>
      </c>
      <c r="C7" s="83" t="s">
        <v>90</v>
      </c>
      <c r="D7" s="84" t="s">
        <v>104</v>
      </c>
      <c r="E7" s="84"/>
      <c r="F7" s="84" t="s">
        <v>105</v>
      </c>
      <c r="G7" s="85" t="s">
        <v>15</v>
      </c>
      <c r="H7" s="85" t="s">
        <v>93</v>
      </c>
      <c r="I7" s="84">
        <v>33.628</v>
      </c>
      <c r="J7" s="84">
        <v>33.628</v>
      </c>
      <c r="K7" s="86" t="s">
        <v>94</v>
      </c>
      <c r="L7" s="86" t="s">
        <v>94</v>
      </c>
      <c r="M7" s="84" t="s">
        <v>103</v>
      </c>
      <c r="N7" s="87"/>
    </row>
    <row r="8" spans="1:14">
      <c r="A8" s="91">
        <f t="shared" si="0"/>
        <v>7</v>
      </c>
      <c r="B8" s="82">
        <v>18</v>
      </c>
      <c r="C8" s="83" t="s">
        <v>90</v>
      </c>
      <c r="D8" s="84" t="s">
        <v>106</v>
      </c>
      <c r="E8" s="84"/>
      <c r="F8" s="84" t="s">
        <v>107</v>
      </c>
      <c r="G8" s="85" t="s">
        <v>15</v>
      </c>
      <c r="H8" s="85" t="s">
        <v>93</v>
      </c>
      <c r="I8" s="84">
        <v>30.446999999999999</v>
      </c>
      <c r="J8" s="84">
        <v>30.446999999999999</v>
      </c>
      <c r="K8" s="86" t="s">
        <v>94</v>
      </c>
      <c r="L8" s="86" t="s">
        <v>94</v>
      </c>
      <c r="M8" s="84" t="s">
        <v>15</v>
      </c>
      <c r="N8" s="87"/>
    </row>
    <row r="9" spans="1:14">
      <c r="A9" s="91">
        <f t="shared" si="0"/>
        <v>8</v>
      </c>
      <c r="B9" s="82">
        <v>18</v>
      </c>
      <c r="C9" s="83" t="s">
        <v>90</v>
      </c>
      <c r="D9" s="84" t="s">
        <v>108</v>
      </c>
      <c r="E9" s="84"/>
      <c r="F9" s="84" t="s">
        <v>109</v>
      </c>
      <c r="G9" s="85" t="s">
        <v>15</v>
      </c>
      <c r="H9" s="85" t="s">
        <v>93</v>
      </c>
      <c r="I9" s="84">
        <v>20.873000000000001</v>
      </c>
      <c r="J9" s="84">
        <v>20.873000000000001</v>
      </c>
      <c r="K9" s="86" t="s">
        <v>94</v>
      </c>
      <c r="L9" s="86" t="s">
        <v>94</v>
      </c>
      <c r="M9" s="84" t="s">
        <v>103</v>
      </c>
      <c r="N9" s="87"/>
    </row>
    <row r="10" spans="1:14">
      <c r="A10" s="91">
        <f t="shared" si="0"/>
        <v>9</v>
      </c>
      <c r="B10" s="82">
        <v>18</v>
      </c>
      <c r="C10" s="83" t="s">
        <v>90</v>
      </c>
      <c r="D10" s="84" t="s">
        <v>110</v>
      </c>
      <c r="E10" s="84" t="s">
        <v>111</v>
      </c>
      <c r="F10" s="84" t="s">
        <v>112</v>
      </c>
      <c r="G10" s="85" t="s">
        <v>15</v>
      </c>
      <c r="H10" s="85" t="s">
        <v>93</v>
      </c>
      <c r="I10" s="84">
        <v>5.1790000000000003</v>
      </c>
      <c r="J10" s="84">
        <v>5.1790000000000003</v>
      </c>
      <c r="K10" s="86" t="s">
        <v>94</v>
      </c>
      <c r="L10" s="86" t="s">
        <v>94</v>
      </c>
      <c r="M10" s="84" t="s">
        <v>103</v>
      </c>
      <c r="N10" s="87"/>
    </row>
    <row r="11" spans="1:14">
      <c r="A11" s="91">
        <f t="shared" si="0"/>
        <v>10</v>
      </c>
      <c r="B11" s="82">
        <v>18</v>
      </c>
      <c r="C11" s="83" t="s">
        <v>90</v>
      </c>
      <c r="D11" s="84" t="s">
        <v>113</v>
      </c>
      <c r="E11" s="84"/>
      <c r="F11" s="84" t="s">
        <v>114</v>
      </c>
      <c r="G11" s="85" t="s">
        <v>15</v>
      </c>
      <c r="H11" s="85" t="s">
        <v>93</v>
      </c>
      <c r="I11" s="84">
        <v>19.109000000000002</v>
      </c>
      <c r="J11" s="84">
        <v>19.109000000000002</v>
      </c>
      <c r="K11" s="86" t="s">
        <v>94</v>
      </c>
      <c r="L11" s="86" t="s">
        <v>94</v>
      </c>
      <c r="M11" s="84" t="s">
        <v>15</v>
      </c>
      <c r="N11" s="87"/>
    </row>
    <row r="12" spans="1:14">
      <c r="A12" s="91">
        <f t="shared" si="0"/>
        <v>11</v>
      </c>
      <c r="B12" s="82">
        <v>18</v>
      </c>
      <c r="C12" s="83" t="s">
        <v>90</v>
      </c>
      <c r="D12" s="84" t="s">
        <v>115</v>
      </c>
      <c r="E12" s="84" t="s">
        <v>111</v>
      </c>
      <c r="F12" s="84" t="s">
        <v>116</v>
      </c>
      <c r="G12" s="85" t="s">
        <v>15</v>
      </c>
      <c r="H12" s="85" t="s">
        <v>93</v>
      </c>
      <c r="I12" s="84">
        <v>1.8120000000000001</v>
      </c>
      <c r="J12" s="84">
        <v>1.8120000000000001</v>
      </c>
      <c r="K12" s="86" t="s">
        <v>94</v>
      </c>
      <c r="L12" s="86" t="s">
        <v>94</v>
      </c>
      <c r="M12" s="84" t="s">
        <v>103</v>
      </c>
      <c r="N12" s="87"/>
    </row>
    <row r="13" spans="1:14">
      <c r="A13" s="91">
        <f t="shared" si="0"/>
        <v>12</v>
      </c>
      <c r="B13" s="82">
        <v>18</v>
      </c>
      <c r="C13" s="83" t="s">
        <v>90</v>
      </c>
      <c r="D13" s="84" t="s">
        <v>117</v>
      </c>
      <c r="E13" s="84"/>
      <c r="F13" s="84" t="s">
        <v>118</v>
      </c>
      <c r="G13" s="85" t="s">
        <v>15</v>
      </c>
      <c r="H13" s="85" t="s">
        <v>93</v>
      </c>
      <c r="I13" s="84">
        <v>1.81</v>
      </c>
      <c r="J13" s="84">
        <v>1.81</v>
      </c>
      <c r="K13" s="86" t="s">
        <v>94</v>
      </c>
      <c r="L13" s="86" t="s">
        <v>94</v>
      </c>
      <c r="M13" s="84" t="s">
        <v>103</v>
      </c>
      <c r="N13" s="87"/>
    </row>
    <row r="14" spans="1:14">
      <c r="A14" s="91">
        <f t="shared" si="0"/>
        <v>13</v>
      </c>
      <c r="B14" s="82">
        <v>18</v>
      </c>
      <c r="C14" s="83" t="s">
        <v>90</v>
      </c>
      <c r="D14" s="84" t="s">
        <v>119</v>
      </c>
      <c r="E14" s="84"/>
      <c r="F14" s="84" t="s">
        <v>120</v>
      </c>
      <c r="G14" s="85" t="s">
        <v>15</v>
      </c>
      <c r="H14" s="85" t="s">
        <v>93</v>
      </c>
      <c r="I14" s="84">
        <v>8.3740000000000006</v>
      </c>
      <c r="J14" s="84">
        <v>8.3740000000000006</v>
      </c>
      <c r="K14" s="86" t="s">
        <v>94</v>
      </c>
      <c r="L14" s="86" t="s">
        <v>94</v>
      </c>
      <c r="M14" s="84" t="s">
        <v>103</v>
      </c>
      <c r="N14" s="87"/>
    </row>
    <row r="15" spans="1:14">
      <c r="A15" s="91">
        <f t="shared" si="0"/>
        <v>14</v>
      </c>
      <c r="B15" s="82">
        <v>18</v>
      </c>
      <c r="C15" s="83" t="s">
        <v>90</v>
      </c>
      <c r="D15" s="84" t="s">
        <v>121</v>
      </c>
      <c r="E15" s="84"/>
      <c r="F15" s="84" t="s">
        <v>122</v>
      </c>
      <c r="G15" s="85" t="s">
        <v>15</v>
      </c>
      <c r="H15" s="85" t="s">
        <v>93</v>
      </c>
      <c r="I15" s="84">
        <v>35.862000000000002</v>
      </c>
      <c r="J15" s="84">
        <v>35.862000000000002</v>
      </c>
      <c r="K15" s="86" t="s">
        <v>94</v>
      </c>
      <c r="L15" s="86" t="s">
        <v>94</v>
      </c>
      <c r="M15" s="84" t="s">
        <v>103</v>
      </c>
      <c r="N15" s="87"/>
    </row>
    <row r="16" spans="1:14">
      <c r="A16" s="91">
        <f t="shared" si="0"/>
        <v>15</v>
      </c>
      <c r="B16" s="82">
        <v>18</v>
      </c>
      <c r="C16" s="83" t="s">
        <v>90</v>
      </c>
      <c r="D16" s="84" t="s">
        <v>123</v>
      </c>
      <c r="E16" s="84"/>
      <c r="F16" s="84" t="s">
        <v>124</v>
      </c>
      <c r="G16" s="85" t="s">
        <v>15</v>
      </c>
      <c r="H16" s="85" t="s">
        <v>93</v>
      </c>
      <c r="I16" s="84">
        <v>21.5</v>
      </c>
      <c r="J16" s="84">
        <v>21.5</v>
      </c>
      <c r="K16" s="86" t="s">
        <v>94</v>
      </c>
      <c r="L16" s="86" t="s">
        <v>94</v>
      </c>
      <c r="M16" s="84" t="s">
        <v>15</v>
      </c>
      <c r="N16" s="87"/>
    </row>
    <row r="17" spans="1:14">
      <c r="A17" s="91">
        <f t="shared" si="0"/>
        <v>16</v>
      </c>
      <c r="B17" s="82">
        <v>18</v>
      </c>
      <c r="C17" s="83" t="s">
        <v>90</v>
      </c>
      <c r="D17" s="84" t="s">
        <v>125</v>
      </c>
      <c r="E17" s="84"/>
      <c r="F17" s="84" t="s">
        <v>126</v>
      </c>
      <c r="G17" s="85" t="s">
        <v>15</v>
      </c>
      <c r="H17" s="85" t="s">
        <v>93</v>
      </c>
      <c r="I17" s="84">
        <v>9.66</v>
      </c>
      <c r="J17" s="84">
        <v>9.66</v>
      </c>
      <c r="K17" s="86" t="s">
        <v>94</v>
      </c>
      <c r="L17" s="86" t="s">
        <v>94</v>
      </c>
      <c r="M17" s="84" t="s">
        <v>15</v>
      </c>
      <c r="N17" s="87"/>
    </row>
    <row r="18" spans="1:14">
      <c r="A18" s="91">
        <f t="shared" si="0"/>
        <v>17</v>
      </c>
      <c r="B18" s="82">
        <v>18</v>
      </c>
      <c r="C18" s="83" t="s">
        <v>90</v>
      </c>
      <c r="D18" s="84" t="s">
        <v>127</v>
      </c>
      <c r="E18" s="84"/>
      <c r="F18" s="84" t="s">
        <v>128</v>
      </c>
      <c r="G18" s="85" t="s">
        <v>15</v>
      </c>
      <c r="H18" s="85" t="s">
        <v>93</v>
      </c>
      <c r="I18" s="84">
        <v>24.574000000000002</v>
      </c>
      <c r="J18" s="84">
        <v>24.574000000000002</v>
      </c>
      <c r="K18" s="86" t="s">
        <v>94</v>
      </c>
      <c r="L18" s="86" t="s">
        <v>94</v>
      </c>
      <c r="M18" s="84" t="s">
        <v>103</v>
      </c>
      <c r="N18" s="87"/>
    </row>
    <row r="19" spans="1:14">
      <c r="A19" s="91">
        <f t="shared" si="0"/>
        <v>18</v>
      </c>
      <c r="B19" s="82">
        <v>18</v>
      </c>
      <c r="C19" s="83" t="s">
        <v>90</v>
      </c>
      <c r="D19" s="84" t="s">
        <v>129</v>
      </c>
      <c r="E19" s="84"/>
      <c r="F19" s="84" t="s">
        <v>130</v>
      </c>
      <c r="G19" s="85" t="s">
        <v>15</v>
      </c>
      <c r="H19" s="85" t="s">
        <v>93</v>
      </c>
      <c r="I19" s="84">
        <v>4.8</v>
      </c>
      <c r="J19" s="84">
        <v>4.8</v>
      </c>
      <c r="K19" s="86" t="s">
        <v>94</v>
      </c>
      <c r="L19" s="86" t="s">
        <v>94</v>
      </c>
      <c r="M19" s="84" t="s">
        <v>15</v>
      </c>
      <c r="N19" s="87"/>
    </row>
    <row r="20" spans="1:14">
      <c r="A20" s="91">
        <f t="shared" si="0"/>
        <v>19</v>
      </c>
      <c r="B20" s="82">
        <v>18</v>
      </c>
      <c r="C20" s="83" t="s">
        <v>90</v>
      </c>
      <c r="D20" s="84" t="s">
        <v>131</v>
      </c>
      <c r="E20" s="84"/>
      <c r="F20" s="84" t="s">
        <v>132</v>
      </c>
      <c r="G20" s="85" t="s">
        <v>15</v>
      </c>
      <c r="H20" s="85" t="s">
        <v>93</v>
      </c>
      <c r="I20" s="84">
        <v>10.099</v>
      </c>
      <c r="J20" s="84">
        <v>10.099</v>
      </c>
      <c r="K20" s="86" t="s">
        <v>94</v>
      </c>
      <c r="L20" s="86" t="s">
        <v>94</v>
      </c>
      <c r="M20" s="84" t="s">
        <v>15</v>
      </c>
      <c r="N20" s="87"/>
    </row>
    <row r="21" spans="1:14">
      <c r="A21" s="91">
        <f t="shared" si="0"/>
        <v>20</v>
      </c>
      <c r="B21" s="82">
        <v>18</v>
      </c>
      <c r="C21" s="83" t="s">
        <v>90</v>
      </c>
      <c r="D21" s="84" t="s">
        <v>133</v>
      </c>
      <c r="E21" s="84"/>
      <c r="F21" s="84" t="s">
        <v>134</v>
      </c>
      <c r="G21" s="85" t="s">
        <v>15</v>
      </c>
      <c r="H21" s="85" t="s">
        <v>93</v>
      </c>
      <c r="I21" s="84">
        <v>12.388999999999999</v>
      </c>
      <c r="J21" s="84">
        <v>12.388999999999999</v>
      </c>
      <c r="K21" s="86" t="s">
        <v>94</v>
      </c>
      <c r="L21" s="86" t="s">
        <v>94</v>
      </c>
      <c r="M21" s="84" t="s">
        <v>103</v>
      </c>
      <c r="N21" s="87"/>
    </row>
    <row r="22" spans="1:14">
      <c r="A22" s="91">
        <f t="shared" si="0"/>
        <v>21</v>
      </c>
      <c r="B22" s="82">
        <v>18</v>
      </c>
      <c r="C22" s="83" t="s">
        <v>90</v>
      </c>
      <c r="D22" s="88" t="s">
        <v>135</v>
      </c>
      <c r="F22" s="85" t="s">
        <v>136</v>
      </c>
      <c r="G22" s="85" t="s">
        <v>15</v>
      </c>
      <c r="H22" s="85" t="s">
        <v>93</v>
      </c>
      <c r="I22" s="89">
        <v>25.812999999999999</v>
      </c>
      <c r="J22" s="89">
        <v>25.812999999999999</v>
      </c>
      <c r="K22" s="86" t="s">
        <v>94</v>
      </c>
      <c r="L22" s="86" t="s">
        <v>94</v>
      </c>
      <c r="M22" s="84" t="s">
        <v>15</v>
      </c>
      <c r="N22" s="87"/>
    </row>
    <row r="23" spans="1:14">
      <c r="A23" s="91">
        <f t="shared" si="0"/>
        <v>22</v>
      </c>
      <c r="B23" s="82">
        <v>18</v>
      </c>
      <c r="C23" s="83" t="s">
        <v>90</v>
      </c>
      <c r="D23" s="88" t="s">
        <v>137</v>
      </c>
      <c r="F23" s="85" t="s">
        <v>138</v>
      </c>
      <c r="G23" s="85" t="s">
        <v>15</v>
      </c>
      <c r="H23" s="85" t="s">
        <v>93</v>
      </c>
      <c r="I23" s="89">
        <v>4.1040000000000001</v>
      </c>
      <c r="J23" s="89">
        <v>4.1040000000000001</v>
      </c>
      <c r="K23" s="86" t="s">
        <v>94</v>
      </c>
      <c r="L23" s="86" t="s">
        <v>94</v>
      </c>
      <c r="M23" s="84" t="s">
        <v>15</v>
      </c>
      <c r="N23" s="87"/>
    </row>
    <row r="24" spans="1:14">
      <c r="A24" s="91">
        <f t="shared" si="0"/>
        <v>23</v>
      </c>
      <c r="B24" s="82">
        <v>18</v>
      </c>
      <c r="C24" s="83" t="s">
        <v>90</v>
      </c>
      <c r="D24" s="88" t="s">
        <v>139</v>
      </c>
      <c r="E24" s="88" t="s">
        <v>111</v>
      </c>
      <c r="F24" s="85" t="s">
        <v>140</v>
      </c>
      <c r="G24" s="85" t="s">
        <v>15</v>
      </c>
      <c r="H24" s="85" t="s">
        <v>93</v>
      </c>
      <c r="I24" s="89">
        <v>1.865</v>
      </c>
      <c r="J24" s="89">
        <v>1.865</v>
      </c>
      <c r="K24" s="86" t="s">
        <v>94</v>
      </c>
      <c r="L24" s="86" t="s">
        <v>94</v>
      </c>
      <c r="M24" s="84" t="s">
        <v>103</v>
      </c>
      <c r="N24" s="87"/>
    </row>
    <row r="25" spans="1:14">
      <c r="A25" s="91">
        <f t="shared" si="0"/>
        <v>24</v>
      </c>
      <c r="B25" s="82">
        <v>18</v>
      </c>
      <c r="C25" s="83" t="s">
        <v>90</v>
      </c>
      <c r="D25" s="88" t="s">
        <v>141</v>
      </c>
      <c r="F25" s="85" t="s">
        <v>142</v>
      </c>
      <c r="G25" s="85" t="s">
        <v>15</v>
      </c>
      <c r="H25" s="85" t="s">
        <v>93</v>
      </c>
      <c r="I25" s="89">
        <v>12.432</v>
      </c>
      <c r="J25" s="89">
        <v>12.432</v>
      </c>
      <c r="K25" s="86" t="s">
        <v>94</v>
      </c>
      <c r="L25" s="86" t="s">
        <v>94</v>
      </c>
      <c r="M25" s="84" t="s">
        <v>15</v>
      </c>
      <c r="N25" s="87"/>
    </row>
    <row r="26" spans="1:14">
      <c r="A26" s="91">
        <f t="shared" si="0"/>
        <v>25</v>
      </c>
      <c r="B26" s="82">
        <v>18</v>
      </c>
      <c r="C26" s="83" t="s">
        <v>90</v>
      </c>
      <c r="D26" s="88" t="s">
        <v>143</v>
      </c>
      <c r="F26" s="85" t="s">
        <v>144</v>
      </c>
      <c r="G26" s="85" t="s">
        <v>15</v>
      </c>
      <c r="H26" s="85" t="s">
        <v>93</v>
      </c>
      <c r="I26" s="89">
        <v>15.839</v>
      </c>
      <c r="J26" s="89">
        <v>15.839</v>
      </c>
      <c r="K26" s="86" t="s">
        <v>94</v>
      </c>
      <c r="L26" s="86" t="s">
        <v>94</v>
      </c>
      <c r="M26" s="84" t="s">
        <v>15</v>
      </c>
      <c r="N26" s="87"/>
    </row>
    <row r="27" spans="1:14">
      <c r="A27" s="91">
        <f t="shared" si="0"/>
        <v>26</v>
      </c>
      <c r="B27" s="82">
        <v>18</v>
      </c>
      <c r="C27" s="83" t="s">
        <v>90</v>
      </c>
      <c r="D27" s="88" t="s">
        <v>145</v>
      </c>
      <c r="F27" s="85" t="s">
        <v>146</v>
      </c>
      <c r="G27" s="85" t="s">
        <v>15</v>
      </c>
      <c r="H27" s="85" t="s">
        <v>93</v>
      </c>
      <c r="I27" s="89">
        <v>38.130000000000003</v>
      </c>
      <c r="J27" s="89">
        <v>38.130000000000003</v>
      </c>
      <c r="K27" s="86" t="s">
        <v>94</v>
      </c>
      <c r="L27" s="86" t="s">
        <v>94</v>
      </c>
      <c r="M27" s="84" t="s">
        <v>15</v>
      </c>
      <c r="N27" s="87"/>
    </row>
    <row r="28" spans="1:14">
      <c r="A28" s="91">
        <f t="shared" si="0"/>
        <v>27</v>
      </c>
      <c r="B28" s="82">
        <v>18</v>
      </c>
      <c r="C28" s="83" t="s">
        <v>90</v>
      </c>
      <c r="D28" s="88" t="s">
        <v>147</v>
      </c>
      <c r="F28" s="85" t="s">
        <v>148</v>
      </c>
      <c r="G28" s="85" t="s">
        <v>15</v>
      </c>
      <c r="H28" s="85" t="s">
        <v>93</v>
      </c>
      <c r="I28" s="89">
        <v>23.562000000000001</v>
      </c>
      <c r="J28" s="89">
        <v>23.562000000000001</v>
      </c>
      <c r="K28" s="86" t="s">
        <v>94</v>
      </c>
      <c r="L28" s="86" t="s">
        <v>94</v>
      </c>
      <c r="M28" s="84" t="s">
        <v>15</v>
      </c>
      <c r="N28" s="87"/>
    </row>
    <row r="29" spans="1:14">
      <c r="A29" s="91">
        <f t="shared" si="0"/>
        <v>28</v>
      </c>
      <c r="B29" s="82">
        <v>18</v>
      </c>
      <c r="C29" s="83" t="s">
        <v>90</v>
      </c>
      <c r="D29" s="88" t="s">
        <v>149</v>
      </c>
      <c r="F29" s="85" t="s">
        <v>150</v>
      </c>
      <c r="G29" s="85" t="s">
        <v>15</v>
      </c>
      <c r="H29" s="85" t="s">
        <v>93</v>
      </c>
      <c r="I29" s="89">
        <v>22.05</v>
      </c>
      <c r="J29" s="89">
        <v>22.05</v>
      </c>
      <c r="K29" s="86" t="s">
        <v>94</v>
      </c>
      <c r="L29" s="86" t="s">
        <v>94</v>
      </c>
      <c r="M29" s="84" t="s">
        <v>103</v>
      </c>
      <c r="N29" s="87"/>
    </row>
    <row r="30" spans="1:14">
      <c r="A30" s="91">
        <f t="shared" si="0"/>
        <v>29</v>
      </c>
      <c r="B30" s="82">
        <v>18</v>
      </c>
      <c r="C30" s="83" t="s">
        <v>90</v>
      </c>
      <c r="D30" s="88" t="s">
        <v>151</v>
      </c>
      <c r="F30" s="85" t="s">
        <v>152</v>
      </c>
      <c r="G30" s="85" t="s">
        <v>15</v>
      </c>
      <c r="H30" s="85" t="s">
        <v>93</v>
      </c>
      <c r="I30" s="89">
        <v>31.5</v>
      </c>
      <c r="J30" s="89">
        <v>31.5</v>
      </c>
      <c r="K30" s="86" t="s">
        <v>94</v>
      </c>
      <c r="L30" s="86" t="s">
        <v>94</v>
      </c>
      <c r="M30" s="84" t="s">
        <v>15</v>
      </c>
      <c r="N30" s="87"/>
    </row>
    <row r="31" spans="1:14">
      <c r="A31" s="91">
        <f t="shared" si="0"/>
        <v>30</v>
      </c>
      <c r="B31" s="82">
        <v>18</v>
      </c>
      <c r="C31" s="83" t="s">
        <v>90</v>
      </c>
      <c r="D31" s="88" t="s">
        <v>153</v>
      </c>
      <c r="F31" s="85" t="s">
        <v>154</v>
      </c>
      <c r="G31" s="85" t="s">
        <v>15</v>
      </c>
      <c r="H31" s="85" t="s">
        <v>93</v>
      </c>
      <c r="I31" s="89">
        <v>11.602</v>
      </c>
      <c r="J31" s="89">
        <v>11.602</v>
      </c>
      <c r="K31" s="86" t="s">
        <v>94</v>
      </c>
      <c r="L31" s="86" t="s">
        <v>94</v>
      </c>
      <c r="M31" s="84" t="s">
        <v>103</v>
      </c>
      <c r="N31" s="87"/>
    </row>
    <row r="32" spans="1:14">
      <c r="A32" s="91">
        <f t="shared" si="0"/>
        <v>31</v>
      </c>
      <c r="B32" s="82">
        <v>18</v>
      </c>
      <c r="C32" s="83" t="s">
        <v>90</v>
      </c>
      <c r="D32" s="88" t="s">
        <v>155</v>
      </c>
      <c r="F32" s="85" t="s">
        <v>156</v>
      </c>
      <c r="G32" s="85" t="s">
        <v>15</v>
      </c>
      <c r="H32" s="85" t="s">
        <v>93</v>
      </c>
      <c r="I32" s="89">
        <v>29.443000000000001</v>
      </c>
      <c r="J32" s="89">
        <v>29.443000000000001</v>
      </c>
      <c r="K32" s="86" t="s">
        <v>94</v>
      </c>
      <c r="L32" s="86" t="s">
        <v>94</v>
      </c>
      <c r="M32" s="84" t="s">
        <v>15</v>
      </c>
      <c r="N32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U139"/>
  <sheetViews>
    <sheetView view="pageBreakPreview" topLeftCell="A13" zoomScale="85" zoomScaleNormal="100" zoomScaleSheetLayoutView="85" workbookViewId="0">
      <selection activeCell="E28" sqref="E28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7" width="7.6640625" style="2" customWidth="1"/>
    <col min="8" max="19" width="10.6640625" style="1" customWidth="1"/>
    <col min="20" max="20" width="5.6640625" style="1" customWidth="1"/>
    <col min="21" max="21" width="1" style="4" customWidth="1"/>
    <col min="22" max="254" width="8.88671875" style="4"/>
    <col min="255" max="255" width="7.5546875" style="4" customWidth="1"/>
    <col min="256" max="256" width="7.33203125" style="4" customWidth="1"/>
    <col min="257" max="257" width="9.6640625" style="4" customWidth="1"/>
    <col min="258" max="259" width="6.6640625" style="4" customWidth="1"/>
    <col min="260" max="269" width="6.33203125" style="4" customWidth="1"/>
    <col min="270" max="270" width="9.109375" style="4" customWidth="1"/>
    <col min="271" max="276" width="7.6640625" style="4" customWidth="1"/>
    <col min="277" max="277" width="1.88671875" style="4" customWidth="1"/>
    <col min="278" max="510" width="8.88671875" style="4"/>
    <col min="511" max="511" width="7.5546875" style="4" customWidth="1"/>
    <col min="512" max="512" width="7.33203125" style="4" customWidth="1"/>
    <col min="513" max="513" width="9.6640625" style="4" customWidth="1"/>
    <col min="514" max="515" width="6.6640625" style="4" customWidth="1"/>
    <col min="516" max="525" width="6.33203125" style="4" customWidth="1"/>
    <col min="526" max="526" width="9.109375" style="4" customWidth="1"/>
    <col min="527" max="532" width="7.6640625" style="4" customWidth="1"/>
    <col min="533" max="533" width="1.88671875" style="4" customWidth="1"/>
    <col min="534" max="766" width="8.88671875" style="4"/>
    <col min="767" max="767" width="7.5546875" style="4" customWidth="1"/>
    <col min="768" max="768" width="7.33203125" style="4" customWidth="1"/>
    <col min="769" max="769" width="9.6640625" style="4" customWidth="1"/>
    <col min="770" max="771" width="6.6640625" style="4" customWidth="1"/>
    <col min="772" max="781" width="6.33203125" style="4" customWidth="1"/>
    <col min="782" max="782" width="9.109375" style="4" customWidth="1"/>
    <col min="783" max="788" width="7.6640625" style="4" customWidth="1"/>
    <col min="789" max="789" width="1.88671875" style="4" customWidth="1"/>
    <col min="790" max="1022" width="8.88671875" style="4"/>
    <col min="1023" max="1023" width="7.5546875" style="4" customWidth="1"/>
    <col min="1024" max="1024" width="7.33203125" style="4" customWidth="1"/>
    <col min="1025" max="1025" width="9.6640625" style="4" customWidth="1"/>
    <col min="1026" max="1027" width="6.6640625" style="4" customWidth="1"/>
    <col min="1028" max="1037" width="6.33203125" style="4" customWidth="1"/>
    <col min="1038" max="1038" width="9.109375" style="4" customWidth="1"/>
    <col min="1039" max="1044" width="7.6640625" style="4" customWidth="1"/>
    <col min="1045" max="1045" width="1.88671875" style="4" customWidth="1"/>
    <col min="1046" max="1278" width="8.88671875" style="4"/>
    <col min="1279" max="1279" width="7.5546875" style="4" customWidth="1"/>
    <col min="1280" max="1280" width="7.33203125" style="4" customWidth="1"/>
    <col min="1281" max="1281" width="9.6640625" style="4" customWidth="1"/>
    <col min="1282" max="1283" width="6.6640625" style="4" customWidth="1"/>
    <col min="1284" max="1293" width="6.33203125" style="4" customWidth="1"/>
    <col min="1294" max="1294" width="9.109375" style="4" customWidth="1"/>
    <col min="1295" max="1300" width="7.6640625" style="4" customWidth="1"/>
    <col min="1301" max="1301" width="1.88671875" style="4" customWidth="1"/>
    <col min="1302" max="1534" width="8.88671875" style="4"/>
    <col min="1535" max="1535" width="7.5546875" style="4" customWidth="1"/>
    <col min="1536" max="1536" width="7.33203125" style="4" customWidth="1"/>
    <col min="1537" max="1537" width="9.6640625" style="4" customWidth="1"/>
    <col min="1538" max="1539" width="6.6640625" style="4" customWidth="1"/>
    <col min="1540" max="1549" width="6.33203125" style="4" customWidth="1"/>
    <col min="1550" max="1550" width="9.109375" style="4" customWidth="1"/>
    <col min="1551" max="1556" width="7.6640625" style="4" customWidth="1"/>
    <col min="1557" max="1557" width="1.88671875" style="4" customWidth="1"/>
    <col min="1558" max="1790" width="8.88671875" style="4"/>
    <col min="1791" max="1791" width="7.5546875" style="4" customWidth="1"/>
    <col min="1792" max="1792" width="7.33203125" style="4" customWidth="1"/>
    <col min="1793" max="1793" width="9.6640625" style="4" customWidth="1"/>
    <col min="1794" max="1795" width="6.6640625" style="4" customWidth="1"/>
    <col min="1796" max="1805" width="6.33203125" style="4" customWidth="1"/>
    <col min="1806" max="1806" width="9.109375" style="4" customWidth="1"/>
    <col min="1807" max="1812" width="7.6640625" style="4" customWidth="1"/>
    <col min="1813" max="1813" width="1.88671875" style="4" customWidth="1"/>
    <col min="1814" max="2046" width="8.88671875" style="4"/>
    <col min="2047" max="2047" width="7.5546875" style="4" customWidth="1"/>
    <col min="2048" max="2048" width="7.33203125" style="4" customWidth="1"/>
    <col min="2049" max="2049" width="9.6640625" style="4" customWidth="1"/>
    <col min="2050" max="2051" width="6.6640625" style="4" customWidth="1"/>
    <col min="2052" max="2061" width="6.33203125" style="4" customWidth="1"/>
    <col min="2062" max="2062" width="9.109375" style="4" customWidth="1"/>
    <col min="2063" max="2068" width="7.6640625" style="4" customWidth="1"/>
    <col min="2069" max="2069" width="1.88671875" style="4" customWidth="1"/>
    <col min="2070" max="2302" width="8.88671875" style="4"/>
    <col min="2303" max="2303" width="7.5546875" style="4" customWidth="1"/>
    <col min="2304" max="2304" width="7.33203125" style="4" customWidth="1"/>
    <col min="2305" max="2305" width="9.6640625" style="4" customWidth="1"/>
    <col min="2306" max="2307" width="6.6640625" style="4" customWidth="1"/>
    <col min="2308" max="2317" width="6.33203125" style="4" customWidth="1"/>
    <col min="2318" max="2318" width="9.109375" style="4" customWidth="1"/>
    <col min="2319" max="2324" width="7.6640625" style="4" customWidth="1"/>
    <col min="2325" max="2325" width="1.88671875" style="4" customWidth="1"/>
    <col min="2326" max="2558" width="8.88671875" style="4"/>
    <col min="2559" max="2559" width="7.5546875" style="4" customWidth="1"/>
    <col min="2560" max="2560" width="7.33203125" style="4" customWidth="1"/>
    <col min="2561" max="2561" width="9.6640625" style="4" customWidth="1"/>
    <col min="2562" max="2563" width="6.6640625" style="4" customWidth="1"/>
    <col min="2564" max="2573" width="6.33203125" style="4" customWidth="1"/>
    <col min="2574" max="2574" width="9.109375" style="4" customWidth="1"/>
    <col min="2575" max="2580" width="7.6640625" style="4" customWidth="1"/>
    <col min="2581" max="2581" width="1.88671875" style="4" customWidth="1"/>
    <col min="2582" max="2814" width="8.88671875" style="4"/>
    <col min="2815" max="2815" width="7.5546875" style="4" customWidth="1"/>
    <col min="2816" max="2816" width="7.33203125" style="4" customWidth="1"/>
    <col min="2817" max="2817" width="9.6640625" style="4" customWidth="1"/>
    <col min="2818" max="2819" width="6.6640625" style="4" customWidth="1"/>
    <col min="2820" max="2829" width="6.33203125" style="4" customWidth="1"/>
    <col min="2830" max="2830" width="9.109375" style="4" customWidth="1"/>
    <col min="2831" max="2836" width="7.6640625" style="4" customWidth="1"/>
    <col min="2837" max="2837" width="1.88671875" style="4" customWidth="1"/>
    <col min="2838" max="3070" width="8.88671875" style="4"/>
    <col min="3071" max="3071" width="7.5546875" style="4" customWidth="1"/>
    <col min="3072" max="3072" width="7.33203125" style="4" customWidth="1"/>
    <col min="3073" max="3073" width="9.6640625" style="4" customWidth="1"/>
    <col min="3074" max="3075" width="6.6640625" style="4" customWidth="1"/>
    <col min="3076" max="3085" width="6.33203125" style="4" customWidth="1"/>
    <col min="3086" max="3086" width="9.109375" style="4" customWidth="1"/>
    <col min="3087" max="3092" width="7.6640625" style="4" customWidth="1"/>
    <col min="3093" max="3093" width="1.88671875" style="4" customWidth="1"/>
    <col min="3094" max="3326" width="8.88671875" style="4"/>
    <col min="3327" max="3327" width="7.5546875" style="4" customWidth="1"/>
    <col min="3328" max="3328" width="7.33203125" style="4" customWidth="1"/>
    <col min="3329" max="3329" width="9.6640625" style="4" customWidth="1"/>
    <col min="3330" max="3331" width="6.6640625" style="4" customWidth="1"/>
    <col min="3332" max="3341" width="6.33203125" style="4" customWidth="1"/>
    <col min="3342" max="3342" width="9.109375" style="4" customWidth="1"/>
    <col min="3343" max="3348" width="7.6640625" style="4" customWidth="1"/>
    <col min="3349" max="3349" width="1.88671875" style="4" customWidth="1"/>
    <col min="3350" max="3582" width="8.88671875" style="4"/>
    <col min="3583" max="3583" width="7.5546875" style="4" customWidth="1"/>
    <col min="3584" max="3584" width="7.33203125" style="4" customWidth="1"/>
    <col min="3585" max="3585" width="9.6640625" style="4" customWidth="1"/>
    <col min="3586" max="3587" width="6.6640625" style="4" customWidth="1"/>
    <col min="3588" max="3597" width="6.33203125" style="4" customWidth="1"/>
    <col min="3598" max="3598" width="9.109375" style="4" customWidth="1"/>
    <col min="3599" max="3604" width="7.6640625" style="4" customWidth="1"/>
    <col min="3605" max="3605" width="1.88671875" style="4" customWidth="1"/>
    <col min="3606" max="3838" width="8.88671875" style="4"/>
    <col min="3839" max="3839" width="7.5546875" style="4" customWidth="1"/>
    <col min="3840" max="3840" width="7.33203125" style="4" customWidth="1"/>
    <col min="3841" max="3841" width="9.6640625" style="4" customWidth="1"/>
    <col min="3842" max="3843" width="6.6640625" style="4" customWidth="1"/>
    <col min="3844" max="3853" width="6.33203125" style="4" customWidth="1"/>
    <col min="3854" max="3854" width="9.109375" style="4" customWidth="1"/>
    <col min="3855" max="3860" width="7.6640625" style="4" customWidth="1"/>
    <col min="3861" max="3861" width="1.88671875" style="4" customWidth="1"/>
    <col min="3862" max="4094" width="8.88671875" style="4"/>
    <col min="4095" max="4095" width="7.5546875" style="4" customWidth="1"/>
    <col min="4096" max="4096" width="7.33203125" style="4" customWidth="1"/>
    <col min="4097" max="4097" width="9.6640625" style="4" customWidth="1"/>
    <col min="4098" max="4099" width="6.6640625" style="4" customWidth="1"/>
    <col min="4100" max="4109" width="6.33203125" style="4" customWidth="1"/>
    <col min="4110" max="4110" width="9.109375" style="4" customWidth="1"/>
    <col min="4111" max="4116" width="7.6640625" style="4" customWidth="1"/>
    <col min="4117" max="4117" width="1.88671875" style="4" customWidth="1"/>
    <col min="4118" max="4350" width="8.88671875" style="4"/>
    <col min="4351" max="4351" width="7.5546875" style="4" customWidth="1"/>
    <col min="4352" max="4352" width="7.33203125" style="4" customWidth="1"/>
    <col min="4353" max="4353" width="9.6640625" style="4" customWidth="1"/>
    <col min="4354" max="4355" width="6.6640625" style="4" customWidth="1"/>
    <col min="4356" max="4365" width="6.33203125" style="4" customWidth="1"/>
    <col min="4366" max="4366" width="9.109375" style="4" customWidth="1"/>
    <col min="4367" max="4372" width="7.6640625" style="4" customWidth="1"/>
    <col min="4373" max="4373" width="1.88671875" style="4" customWidth="1"/>
    <col min="4374" max="4606" width="8.88671875" style="4"/>
    <col min="4607" max="4607" width="7.5546875" style="4" customWidth="1"/>
    <col min="4608" max="4608" width="7.33203125" style="4" customWidth="1"/>
    <col min="4609" max="4609" width="9.6640625" style="4" customWidth="1"/>
    <col min="4610" max="4611" width="6.6640625" style="4" customWidth="1"/>
    <col min="4612" max="4621" width="6.33203125" style="4" customWidth="1"/>
    <col min="4622" max="4622" width="9.109375" style="4" customWidth="1"/>
    <col min="4623" max="4628" width="7.6640625" style="4" customWidth="1"/>
    <col min="4629" max="4629" width="1.88671875" style="4" customWidth="1"/>
    <col min="4630" max="4862" width="8.88671875" style="4"/>
    <col min="4863" max="4863" width="7.5546875" style="4" customWidth="1"/>
    <col min="4864" max="4864" width="7.33203125" style="4" customWidth="1"/>
    <col min="4865" max="4865" width="9.6640625" style="4" customWidth="1"/>
    <col min="4866" max="4867" width="6.6640625" style="4" customWidth="1"/>
    <col min="4868" max="4877" width="6.33203125" style="4" customWidth="1"/>
    <col min="4878" max="4878" width="9.109375" style="4" customWidth="1"/>
    <col min="4879" max="4884" width="7.6640625" style="4" customWidth="1"/>
    <col min="4885" max="4885" width="1.88671875" style="4" customWidth="1"/>
    <col min="4886" max="5118" width="8.88671875" style="4"/>
    <col min="5119" max="5119" width="7.5546875" style="4" customWidth="1"/>
    <col min="5120" max="5120" width="7.33203125" style="4" customWidth="1"/>
    <col min="5121" max="5121" width="9.6640625" style="4" customWidth="1"/>
    <col min="5122" max="5123" width="6.6640625" style="4" customWidth="1"/>
    <col min="5124" max="5133" width="6.33203125" style="4" customWidth="1"/>
    <col min="5134" max="5134" width="9.109375" style="4" customWidth="1"/>
    <col min="5135" max="5140" width="7.6640625" style="4" customWidth="1"/>
    <col min="5141" max="5141" width="1.88671875" style="4" customWidth="1"/>
    <col min="5142" max="5374" width="8.88671875" style="4"/>
    <col min="5375" max="5375" width="7.5546875" style="4" customWidth="1"/>
    <col min="5376" max="5376" width="7.33203125" style="4" customWidth="1"/>
    <col min="5377" max="5377" width="9.6640625" style="4" customWidth="1"/>
    <col min="5378" max="5379" width="6.6640625" style="4" customWidth="1"/>
    <col min="5380" max="5389" width="6.33203125" style="4" customWidth="1"/>
    <col min="5390" max="5390" width="9.109375" style="4" customWidth="1"/>
    <col min="5391" max="5396" width="7.6640625" style="4" customWidth="1"/>
    <col min="5397" max="5397" width="1.88671875" style="4" customWidth="1"/>
    <col min="5398" max="5630" width="8.88671875" style="4"/>
    <col min="5631" max="5631" width="7.5546875" style="4" customWidth="1"/>
    <col min="5632" max="5632" width="7.33203125" style="4" customWidth="1"/>
    <col min="5633" max="5633" width="9.6640625" style="4" customWidth="1"/>
    <col min="5634" max="5635" width="6.6640625" style="4" customWidth="1"/>
    <col min="5636" max="5645" width="6.33203125" style="4" customWidth="1"/>
    <col min="5646" max="5646" width="9.109375" style="4" customWidth="1"/>
    <col min="5647" max="5652" width="7.6640625" style="4" customWidth="1"/>
    <col min="5653" max="5653" width="1.88671875" style="4" customWidth="1"/>
    <col min="5654" max="5886" width="8.88671875" style="4"/>
    <col min="5887" max="5887" width="7.5546875" style="4" customWidth="1"/>
    <col min="5888" max="5888" width="7.33203125" style="4" customWidth="1"/>
    <col min="5889" max="5889" width="9.6640625" style="4" customWidth="1"/>
    <col min="5890" max="5891" width="6.6640625" style="4" customWidth="1"/>
    <col min="5892" max="5901" width="6.33203125" style="4" customWidth="1"/>
    <col min="5902" max="5902" width="9.109375" style="4" customWidth="1"/>
    <col min="5903" max="5908" width="7.6640625" style="4" customWidth="1"/>
    <col min="5909" max="5909" width="1.88671875" style="4" customWidth="1"/>
    <col min="5910" max="6142" width="8.88671875" style="4"/>
    <col min="6143" max="6143" width="7.5546875" style="4" customWidth="1"/>
    <col min="6144" max="6144" width="7.33203125" style="4" customWidth="1"/>
    <col min="6145" max="6145" width="9.6640625" style="4" customWidth="1"/>
    <col min="6146" max="6147" width="6.6640625" style="4" customWidth="1"/>
    <col min="6148" max="6157" width="6.33203125" style="4" customWidth="1"/>
    <col min="6158" max="6158" width="9.109375" style="4" customWidth="1"/>
    <col min="6159" max="6164" width="7.6640625" style="4" customWidth="1"/>
    <col min="6165" max="6165" width="1.88671875" style="4" customWidth="1"/>
    <col min="6166" max="6398" width="8.88671875" style="4"/>
    <col min="6399" max="6399" width="7.5546875" style="4" customWidth="1"/>
    <col min="6400" max="6400" width="7.33203125" style="4" customWidth="1"/>
    <col min="6401" max="6401" width="9.6640625" style="4" customWidth="1"/>
    <col min="6402" max="6403" width="6.6640625" style="4" customWidth="1"/>
    <col min="6404" max="6413" width="6.33203125" style="4" customWidth="1"/>
    <col min="6414" max="6414" width="9.109375" style="4" customWidth="1"/>
    <col min="6415" max="6420" width="7.6640625" style="4" customWidth="1"/>
    <col min="6421" max="6421" width="1.88671875" style="4" customWidth="1"/>
    <col min="6422" max="6654" width="8.88671875" style="4"/>
    <col min="6655" max="6655" width="7.5546875" style="4" customWidth="1"/>
    <col min="6656" max="6656" width="7.33203125" style="4" customWidth="1"/>
    <col min="6657" max="6657" width="9.6640625" style="4" customWidth="1"/>
    <col min="6658" max="6659" width="6.6640625" style="4" customWidth="1"/>
    <col min="6660" max="6669" width="6.33203125" style="4" customWidth="1"/>
    <col min="6670" max="6670" width="9.109375" style="4" customWidth="1"/>
    <col min="6671" max="6676" width="7.6640625" style="4" customWidth="1"/>
    <col min="6677" max="6677" width="1.88671875" style="4" customWidth="1"/>
    <col min="6678" max="6910" width="8.88671875" style="4"/>
    <col min="6911" max="6911" width="7.5546875" style="4" customWidth="1"/>
    <col min="6912" max="6912" width="7.33203125" style="4" customWidth="1"/>
    <col min="6913" max="6913" width="9.6640625" style="4" customWidth="1"/>
    <col min="6914" max="6915" width="6.6640625" style="4" customWidth="1"/>
    <col min="6916" max="6925" width="6.33203125" style="4" customWidth="1"/>
    <col min="6926" max="6926" width="9.109375" style="4" customWidth="1"/>
    <col min="6927" max="6932" width="7.6640625" style="4" customWidth="1"/>
    <col min="6933" max="6933" width="1.88671875" style="4" customWidth="1"/>
    <col min="6934" max="7166" width="8.88671875" style="4"/>
    <col min="7167" max="7167" width="7.5546875" style="4" customWidth="1"/>
    <col min="7168" max="7168" width="7.33203125" style="4" customWidth="1"/>
    <col min="7169" max="7169" width="9.6640625" style="4" customWidth="1"/>
    <col min="7170" max="7171" width="6.6640625" style="4" customWidth="1"/>
    <col min="7172" max="7181" width="6.33203125" style="4" customWidth="1"/>
    <col min="7182" max="7182" width="9.109375" style="4" customWidth="1"/>
    <col min="7183" max="7188" width="7.6640625" style="4" customWidth="1"/>
    <col min="7189" max="7189" width="1.88671875" style="4" customWidth="1"/>
    <col min="7190" max="7422" width="8.88671875" style="4"/>
    <col min="7423" max="7423" width="7.5546875" style="4" customWidth="1"/>
    <col min="7424" max="7424" width="7.33203125" style="4" customWidth="1"/>
    <col min="7425" max="7425" width="9.6640625" style="4" customWidth="1"/>
    <col min="7426" max="7427" width="6.6640625" style="4" customWidth="1"/>
    <col min="7428" max="7437" width="6.33203125" style="4" customWidth="1"/>
    <col min="7438" max="7438" width="9.109375" style="4" customWidth="1"/>
    <col min="7439" max="7444" width="7.6640625" style="4" customWidth="1"/>
    <col min="7445" max="7445" width="1.88671875" style="4" customWidth="1"/>
    <col min="7446" max="7678" width="8.88671875" style="4"/>
    <col min="7679" max="7679" width="7.5546875" style="4" customWidth="1"/>
    <col min="7680" max="7680" width="7.33203125" style="4" customWidth="1"/>
    <col min="7681" max="7681" width="9.6640625" style="4" customWidth="1"/>
    <col min="7682" max="7683" width="6.6640625" style="4" customWidth="1"/>
    <col min="7684" max="7693" width="6.33203125" style="4" customWidth="1"/>
    <col min="7694" max="7694" width="9.109375" style="4" customWidth="1"/>
    <col min="7695" max="7700" width="7.6640625" style="4" customWidth="1"/>
    <col min="7701" max="7701" width="1.88671875" style="4" customWidth="1"/>
    <col min="7702" max="7934" width="8.88671875" style="4"/>
    <col min="7935" max="7935" width="7.5546875" style="4" customWidth="1"/>
    <col min="7936" max="7936" width="7.33203125" style="4" customWidth="1"/>
    <col min="7937" max="7937" width="9.6640625" style="4" customWidth="1"/>
    <col min="7938" max="7939" width="6.6640625" style="4" customWidth="1"/>
    <col min="7940" max="7949" width="6.33203125" style="4" customWidth="1"/>
    <col min="7950" max="7950" width="9.109375" style="4" customWidth="1"/>
    <col min="7951" max="7956" width="7.6640625" style="4" customWidth="1"/>
    <col min="7957" max="7957" width="1.88671875" style="4" customWidth="1"/>
    <col min="7958" max="8190" width="8.88671875" style="4"/>
    <col min="8191" max="8191" width="7.5546875" style="4" customWidth="1"/>
    <col min="8192" max="8192" width="7.33203125" style="4" customWidth="1"/>
    <col min="8193" max="8193" width="9.6640625" style="4" customWidth="1"/>
    <col min="8194" max="8195" width="6.6640625" style="4" customWidth="1"/>
    <col min="8196" max="8205" width="6.33203125" style="4" customWidth="1"/>
    <col min="8206" max="8206" width="9.109375" style="4" customWidth="1"/>
    <col min="8207" max="8212" width="7.6640625" style="4" customWidth="1"/>
    <col min="8213" max="8213" width="1.88671875" style="4" customWidth="1"/>
    <col min="8214" max="8446" width="8.88671875" style="4"/>
    <col min="8447" max="8447" width="7.5546875" style="4" customWidth="1"/>
    <col min="8448" max="8448" width="7.33203125" style="4" customWidth="1"/>
    <col min="8449" max="8449" width="9.6640625" style="4" customWidth="1"/>
    <col min="8450" max="8451" width="6.6640625" style="4" customWidth="1"/>
    <col min="8452" max="8461" width="6.33203125" style="4" customWidth="1"/>
    <col min="8462" max="8462" width="9.109375" style="4" customWidth="1"/>
    <col min="8463" max="8468" width="7.6640625" style="4" customWidth="1"/>
    <col min="8469" max="8469" width="1.88671875" style="4" customWidth="1"/>
    <col min="8470" max="8702" width="8.88671875" style="4"/>
    <col min="8703" max="8703" width="7.5546875" style="4" customWidth="1"/>
    <col min="8704" max="8704" width="7.33203125" style="4" customWidth="1"/>
    <col min="8705" max="8705" width="9.6640625" style="4" customWidth="1"/>
    <col min="8706" max="8707" width="6.6640625" style="4" customWidth="1"/>
    <col min="8708" max="8717" width="6.33203125" style="4" customWidth="1"/>
    <col min="8718" max="8718" width="9.109375" style="4" customWidth="1"/>
    <col min="8719" max="8724" width="7.6640625" style="4" customWidth="1"/>
    <col min="8725" max="8725" width="1.88671875" style="4" customWidth="1"/>
    <col min="8726" max="8958" width="8.88671875" style="4"/>
    <col min="8959" max="8959" width="7.5546875" style="4" customWidth="1"/>
    <col min="8960" max="8960" width="7.33203125" style="4" customWidth="1"/>
    <col min="8961" max="8961" width="9.6640625" style="4" customWidth="1"/>
    <col min="8962" max="8963" width="6.6640625" style="4" customWidth="1"/>
    <col min="8964" max="8973" width="6.33203125" style="4" customWidth="1"/>
    <col min="8974" max="8974" width="9.109375" style="4" customWidth="1"/>
    <col min="8975" max="8980" width="7.6640625" style="4" customWidth="1"/>
    <col min="8981" max="8981" width="1.88671875" style="4" customWidth="1"/>
    <col min="8982" max="9214" width="8.88671875" style="4"/>
    <col min="9215" max="9215" width="7.5546875" style="4" customWidth="1"/>
    <col min="9216" max="9216" width="7.33203125" style="4" customWidth="1"/>
    <col min="9217" max="9217" width="9.6640625" style="4" customWidth="1"/>
    <col min="9218" max="9219" width="6.6640625" style="4" customWidth="1"/>
    <col min="9220" max="9229" width="6.33203125" style="4" customWidth="1"/>
    <col min="9230" max="9230" width="9.109375" style="4" customWidth="1"/>
    <col min="9231" max="9236" width="7.6640625" style="4" customWidth="1"/>
    <col min="9237" max="9237" width="1.88671875" style="4" customWidth="1"/>
    <col min="9238" max="9470" width="8.88671875" style="4"/>
    <col min="9471" max="9471" width="7.5546875" style="4" customWidth="1"/>
    <col min="9472" max="9472" width="7.33203125" style="4" customWidth="1"/>
    <col min="9473" max="9473" width="9.6640625" style="4" customWidth="1"/>
    <col min="9474" max="9475" width="6.6640625" style="4" customWidth="1"/>
    <col min="9476" max="9485" width="6.33203125" style="4" customWidth="1"/>
    <col min="9486" max="9486" width="9.109375" style="4" customWidth="1"/>
    <col min="9487" max="9492" width="7.6640625" style="4" customWidth="1"/>
    <col min="9493" max="9493" width="1.88671875" style="4" customWidth="1"/>
    <col min="9494" max="9726" width="8.88671875" style="4"/>
    <col min="9727" max="9727" width="7.5546875" style="4" customWidth="1"/>
    <col min="9728" max="9728" width="7.33203125" style="4" customWidth="1"/>
    <col min="9729" max="9729" width="9.6640625" style="4" customWidth="1"/>
    <col min="9730" max="9731" width="6.6640625" style="4" customWidth="1"/>
    <col min="9732" max="9741" width="6.33203125" style="4" customWidth="1"/>
    <col min="9742" max="9742" width="9.109375" style="4" customWidth="1"/>
    <col min="9743" max="9748" width="7.6640625" style="4" customWidth="1"/>
    <col min="9749" max="9749" width="1.88671875" style="4" customWidth="1"/>
    <col min="9750" max="9982" width="8.88671875" style="4"/>
    <col min="9983" max="9983" width="7.5546875" style="4" customWidth="1"/>
    <col min="9984" max="9984" width="7.33203125" style="4" customWidth="1"/>
    <col min="9985" max="9985" width="9.6640625" style="4" customWidth="1"/>
    <col min="9986" max="9987" width="6.6640625" style="4" customWidth="1"/>
    <col min="9988" max="9997" width="6.33203125" style="4" customWidth="1"/>
    <col min="9998" max="9998" width="9.109375" style="4" customWidth="1"/>
    <col min="9999" max="10004" width="7.6640625" style="4" customWidth="1"/>
    <col min="10005" max="10005" width="1.88671875" style="4" customWidth="1"/>
    <col min="10006" max="10238" width="8.88671875" style="4"/>
    <col min="10239" max="10239" width="7.5546875" style="4" customWidth="1"/>
    <col min="10240" max="10240" width="7.33203125" style="4" customWidth="1"/>
    <col min="10241" max="10241" width="9.6640625" style="4" customWidth="1"/>
    <col min="10242" max="10243" width="6.6640625" style="4" customWidth="1"/>
    <col min="10244" max="10253" width="6.33203125" style="4" customWidth="1"/>
    <col min="10254" max="10254" width="9.109375" style="4" customWidth="1"/>
    <col min="10255" max="10260" width="7.6640625" style="4" customWidth="1"/>
    <col min="10261" max="10261" width="1.88671875" style="4" customWidth="1"/>
    <col min="10262" max="10494" width="8.88671875" style="4"/>
    <col min="10495" max="10495" width="7.5546875" style="4" customWidth="1"/>
    <col min="10496" max="10496" width="7.33203125" style="4" customWidth="1"/>
    <col min="10497" max="10497" width="9.6640625" style="4" customWidth="1"/>
    <col min="10498" max="10499" width="6.6640625" style="4" customWidth="1"/>
    <col min="10500" max="10509" width="6.33203125" style="4" customWidth="1"/>
    <col min="10510" max="10510" width="9.109375" style="4" customWidth="1"/>
    <col min="10511" max="10516" width="7.6640625" style="4" customWidth="1"/>
    <col min="10517" max="10517" width="1.88671875" style="4" customWidth="1"/>
    <col min="10518" max="10750" width="8.88671875" style="4"/>
    <col min="10751" max="10751" width="7.5546875" style="4" customWidth="1"/>
    <col min="10752" max="10752" width="7.33203125" style="4" customWidth="1"/>
    <col min="10753" max="10753" width="9.6640625" style="4" customWidth="1"/>
    <col min="10754" max="10755" width="6.6640625" style="4" customWidth="1"/>
    <col min="10756" max="10765" width="6.33203125" style="4" customWidth="1"/>
    <col min="10766" max="10766" width="9.109375" style="4" customWidth="1"/>
    <col min="10767" max="10772" width="7.6640625" style="4" customWidth="1"/>
    <col min="10773" max="10773" width="1.88671875" style="4" customWidth="1"/>
    <col min="10774" max="11006" width="8.88671875" style="4"/>
    <col min="11007" max="11007" width="7.5546875" style="4" customWidth="1"/>
    <col min="11008" max="11008" width="7.33203125" style="4" customWidth="1"/>
    <col min="11009" max="11009" width="9.6640625" style="4" customWidth="1"/>
    <col min="11010" max="11011" width="6.6640625" style="4" customWidth="1"/>
    <col min="11012" max="11021" width="6.33203125" style="4" customWidth="1"/>
    <col min="11022" max="11022" width="9.109375" style="4" customWidth="1"/>
    <col min="11023" max="11028" width="7.6640625" style="4" customWidth="1"/>
    <col min="11029" max="11029" width="1.88671875" style="4" customWidth="1"/>
    <col min="11030" max="11262" width="8.88671875" style="4"/>
    <col min="11263" max="11263" width="7.5546875" style="4" customWidth="1"/>
    <col min="11264" max="11264" width="7.33203125" style="4" customWidth="1"/>
    <col min="11265" max="11265" width="9.6640625" style="4" customWidth="1"/>
    <col min="11266" max="11267" width="6.6640625" style="4" customWidth="1"/>
    <col min="11268" max="11277" width="6.33203125" style="4" customWidth="1"/>
    <col min="11278" max="11278" width="9.109375" style="4" customWidth="1"/>
    <col min="11279" max="11284" width="7.6640625" style="4" customWidth="1"/>
    <col min="11285" max="11285" width="1.88671875" style="4" customWidth="1"/>
    <col min="11286" max="11518" width="8.88671875" style="4"/>
    <col min="11519" max="11519" width="7.5546875" style="4" customWidth="1"/>
    <col min="11520" max="11520" width="7.33203125" style="4" customWidth="1"/>
    <col min="11521" max="11521" width="9.6640625" style="4" customWidth="1"/>
    <col min="11522" max="11523" width="6.6640625" style="4" customWidth="1"/>
    <col min="11524" max="11533" width="6.33203125" style="4" customWidth="1"/>
    <col min="11534" max="11534" width="9.109375" style="4" customWidth="1"/>
    <col min="11535" max="11540" width="7.6640625" style="4" customWidth="1"/>
    <col min="11541" max="11541" width="1.88671875" style="4" customWidth="1"/>
    <col min="11542" max="11774" width="8.88671875" style="4"/>
    <col min="11775" max="11775" width="7.5546875" style="4" customWidth="1"/>
    <col min="11776" max="11776" width="7.33203125" style="4" customWidth="1"/>
    <col min="11777" max="11777" width="9.6640625" style="4" customWidth="1"/>
    <col min="11778" max="11779" width="6.6640625" style="4" customWidth="1"/>
    <col min="11780" max="11789" width="6.33203125" style="4" customWidth="1"/>
    <col min="11790" max="11790" width="9.109375" style="4" customWidth="1"/>
    <col min="11791" max="11796" width="7.6640625" style="4" customWidth="1"/>
    <col min="11797" max="11797" width="1.88671875" style="4" customWidth="1"/>
    <col min="11798" max="12030" width="8.88671875" style="4"/>
    <col min="12031" max="12031" width="7.5546875" style="4" customWidth="1"/>
    <col min="12032" max="12032" width="7.33203125" style="4" customWidth="1"/>
    <col min="12033" max="12033" width="9.6640625" style="4" customWidth="1"/>
    <col min="12034" max="12035" width="6.6640625" style="4" customWidth="1"/>
    <col min="12036" max="12045" width="6.33203125" style="4" customWidth="1"/>
    <col min="12046" max="12046" width="9.109375" style="4" customWidth="1"/>
    <col min="12047" max="12052" width="7.6640625" style="4" customWidth="1"/>
    <col min="12053" max="12053" width="1.88671875" style="4" customWidth="1"/>
    <col min="12054" max="12286" width="8.88671875" style="4"/>
    <col min="12287" max="12287" width="7.5546875" style="4" customWidth="1"/>
    <col min="12288" max="12288" width="7.33203125" style="4" customWidth="1"/>
    <col min="12289" max="12289" width="9.6640625" style="4" customWidth="1"/>
    <col min="12290" max="12291" width="6.6640625" style="4" customWidth="1"/>
    <col min="12292" max="12301" width="6.33203125" style="4" customWidth="1"/>
    <col min="12302" max="12302" width="9.109375" style="4" customWidth="1"/>
    <col min="12303" max="12308" width="7.6640625" style="4" customWidth="1"/>
    <col min="12309" max="12309" width="1.88671875" style="4" customWidth="1"/>
    <col min="12310" max="12542" width="8.88671875" style="4"/>
    <col min="12543" max="12543" width="7.5546875" style="4" customWidth="1"/>
    <col min="12544" max="12544" width="7.33203125" style="4" customWidth="1"/>
    <col min="12545" max="12545" width="9.6640625" style="4" customWidth="1"/>
    <col min="12546" max="12547" width="6.6640625" style="4" customWidth="1"/>
    <col min="12548" max="12557" width="6.33203125" style="4" customWidth="1"/>
    <col min="12558" max="12558" width="9.109375" style="4" customWidth="1"/>
    <col min="12559" max="12564" width="7.6640625" style="4" customWidth="1"/>
    <col min="12565" max="12565" width="1.88671875" style="4" customWidth="1"/>
    <col min="12566" max="12798" width="8.88671875" style="4"/>
    <col min="12799" max="12799" width="7.5546875" style="4" customWidth="1"/>
    <col min="12800" max="12800" width="7.33203125" style="4" customWidth="1"/>
    <col min="12801" max="12801" width="9.6640625" style="4" customWidth="1"/>
    <col min="12802" max="12803" width="6.6640625" style="4" customWidth="1"/>
    <col min="12804" max="12813" width="6.33203125" style="4" customWidth="1"/>
    <col min="12814" max="12814" width="9.109375" style="4" customWidth="1"/>
    <col min="12815" max="12820" width="7.6640625" style="4" customWidth="1"/>
    <col min="12821" max="12821" width="1.88671875" style="4" customWidth="1"/>
    <col min="12822" max="13054" width="8.88671875" style="4"/>
    <col min="13055" max="13055" width="7.5546875" style="4" customWidth="1"/>
    <col min="13056" max="13056" width="7.33203125" style="4" customWidth="1"/>
    <col min="13057" max="13057" width="9.6640625" style="4" customWidth="1"/>
    <col min="13058" max="13059" width="6.6640625" style="4" customWidth="1"/>
    <col min="13060" max="13069" width="6.33203125" style="4" customWidth="1"/>
    <col min="13070" max="13070" width="9.109375" style="4" customWidth="1"/>
    <col min="13071" max="13076" width="7.6640625" style="4" customWidth="1"/>
    <col min="13077" max="13077" width="1.88671875" style="4" customWidth="1"/>
    <col min="13078" max="13310" width="8.88671875" style="4"/>
    <col min="13311" max="13311" width="7.5546875" style="4" customWidth="1"/>
    <col min="13312" max="13312" width="7.33203125" style="4" customWidth="1"/>
    <col min="13313" max="13313" width="9.6640625" style="4" customWidth="1"/>
    <col min="13314" max="13315" width="6.6640625" style="4" customWidth="1"/>
    <col min="13316" max="13325" width="6.33203125" style="4" customWidth="1"/>
    <col min="13326" max="13326" width="9.109375" style="4" customWidth="1"/>
    <col min="13327" max="13332" width="7.6640625" style="4" customWidth="1"/>
    <col min="13333" max="13333" width="1.88671875" style="4" customWidth="1"/>
    <col min="13334" max="13566" width="8.88671875" style="4"/>
    <col min="13567" max="13567" width="7.5546875" style="4" customWidth="1"/>
    <col min="13568" max="13568" width="7.33203125" style="4" customWidth="1"/>
    <col min="13569" max="13569" width="9.6640625" style="4" customWidth="1"/>
    <col min="13570" max="13571" width="6.6640625" style="4" customWidth="1"/>
    <col min="13572" max="13581" width="6.33203125" style="4" customWidth="1"/>
    <col min="13582" max="13582" width="9.109375" style="4" customWidth="1"/>
    <col min="13583" max="13588" width="7.6640625" style="4" customWidth="1"/>
    <col min="13589" max="13589" width="1.88671875" style="4" customWidth="1"/>
    <col min="13590" max="13822" width="8.88671875" style="4"/>
    <col min="13823" max="13823" width="7.5546875" style="4" customWidth="1"/>
    <col min="13824" max="13824" width="7.33203125" style="4" customWidth="1"/>
    <col min="13825" max="13825" width="9.6640625" style="4" customWidth="1"/>
    <col min="13826" max="13827" width="6.6640625" style="4" customWidth="1"/>
    <col min="13828" max="13837" width="6.33203125" style="4" customWidth="1"/>
    <col min="13838" max="13838" width="9.109375" style="4" customWidth="1"/>
    <col min="13839" max="13844" width="7.6640625" style="4" customWidth="1"/>
    <col min="13845" max="13845" width="1.88671875" style="4" customWidth="1"/>
    <col min="13846" max="14078" width="8.88671875" style="4"/>
    <col min="14079" max="14079" width="7.5546875" style="4" customWidth="1"/>
    <col min="14080" max="14080" width="7.33203125" style="4" customWidth="1"/>
    <col min="14081" max="14081" width="9.6640625" style="4" customWidth="1"/>
    <col min="14082" max="14083" width="6.6640625" style="4" customWidth="1"/>
    <col min="14084" max="14093" width="6.33203125" style="4" customWidth="1"/>
    <col min="14094" max="14094" width="9.109375" style="4" customWidth="1"/>
    <col min="14095" max="14100" width="7.6640625" style="4" customWidth="1"/>
    <col min="14101" max="14101" width="1.88671875" style="4" customWidth="1"/>
    <col min="14102" max="14334" width="8.88671875" style="4"/>
    <col min="14335" max="14335" width="7.5546875" style="4" customWidth="1"/>
    <col min="14336" max="14336" width="7.33203125" style="4" customWidth="1"/>
    <col min="14337" max="14337" width="9.6640625" style="4" customWidth="1"/>
    <col min="14338" max="14339" width="6.6640625" style="4" customWidth="1"/>
    <col min="14340" max="14349" width="6.33203125" style="4" customWidth="1"/>
    <col min="14350" max="14350" width="9.109375" style="4" customWidth="1"/>
    <col min="14351" max="14356" width="7.6640625" style="4" customWidth="1"/>
    <col min="14357" max="14357" width="1.88671875" style="4" customWidth="1"/>
    <col min="14358" max="14590" width="8.88671875" style="4"/>
    <col min="14591" max="14591" width="7.5546875" style="4" customWidth="1"/>
    <col min="14592" max="14592" width="7.33203125" style="4" customWidth="1"/>
    <col min="14593" max="14593" width="9.6640625" style="4" customWidth="1"/>
    <col min="14594" max="14595" width="6.6640625" style="4" customWidth="1"/>
    <col min="14596" max="14605" width="6.33203125" style="4" customWidth="1"/>
    <col min="14606" max="14606" width="9.109375" style="4" customWidth="1"/>
    <col min="14607" max="14612" width="7.6640625" style="4" customWidth="1"/>
    <col min="14613" max="14613" width="1.88671875" style="4" customWidth="1"/>
    <col min="14614" max="14846" width="8.88671875" style="4"/>
    <col min="14847" max="14847" width="7.5546875" style="4" customWidth="1"/>
    <col min="14848" max="14848" width="7.33203125" style="4" customWidth="1"/>
    <col min="14849" max="14849" width="9.6640625" style="4" customWidth="1"/>
    <col min="14850" max="14851" width="6.6640625" style="4" customWidth="1"/>
    <col min="14852" max="14861" width="6.33203125" style="4" customWidth="1"/>
    <col min="14862" max="14862" width="9.109375" style="4" customWidth="1"/>
    <col min="14863" max="14868" width="7.6640625" style="4" customWidth="1"/>
    <col min="14869" max="14869" width="1.88671875" style="4" customWidth="1"/>
    <col min="14870" max="15102" width="8.88671875" style="4"/>
    <col min="15103" max="15103" width="7.5546875" style="4" customWidth="1"/>
    <col min="15104" max="15104" width="7.33203125" style="4" customWidth="1"/>
    <col min="15105" max="15105" width="9.6640625" style="4" customWidth="1"/>
    <col min="15106" max="15107" width="6.6640625" style="4" customWidth="1"/>
    <col min="15108" max="15117" width="6.33203125" style="4" customWidth="1"/>
    <col min="15118" max="15118" width="9.109375" style="4" customWidth="1"/>
    <col min="15119" max="15124" width="7.6640625" style="4" customWidth="1"/>
    <col min="15125" max="15125" width="1.88671875" style="4" customWidth="1"/>
    <col min="15126" max="15358" width="8.88671875" style="4"/>
    <col min="15359" max="15359" width="7.5546875" style="4" customWidth="1"/>
    <col min="15360" max="15360" width="7.33203125" style="4" customWidth="1"/>
    <col min="15361" max="15361" width="9.6640625" style="4" customWidth="1"/>
    <col min="15362" max="15363" width="6.6640625" style="4" customWidth="1"/>
    <col min="15364" max="15373" width="6.33203125" style="4" customWidth="1"/>
    <col min="15374" max="15374" width="9.109375" style="4" customWidth="1"/>
    <col min="15375" max="15380" width="7.6640625" style="4" customWidth="1"/>
    <col min="15381" max="15381" width="1.88671875" style="4" customWidth="1"/>
    <col min="15382" max="15614" width="8.88671875" style="4"/>
    <col min="15615" max="15615" width="7.5546875" style="4" customWidth="1"/>
    <col min="15616" max="15616" width="7.33203125" style="4" customWidth="1"/>
    <col min="15617" max="15617" width="9.6640625" style="4" customWidth="1"/>
    <col min="15618" max="15619" width="6.6640625" style="4" customWidth="1"/>
    <col min="15620" max="15629" width="6.33203125" style="4" customWidth="1"/>
    <col min="15630" max="15630" width="9.109375" style="4" customWidth="1"/>
    <col min="15631" max="15636" width="7.6640625" style="4" customWidth="1"/>
    <col min="15637" max="15637" width="1.88671875" style="4" customWidth="1"/>
    <col min="15638" max="15870" width="8.88671875" style="4"/>
    <col min="15871" max="15871" width="7.5546875" style="4" customWidth="1"/>
    <col min="15872" max="15872" width="7.33203125" style="4" customWidth="1"/>
    <col min="15873" max="15873" width="9.6640625" style="4" customWidth="1"/>
    <col min="15874" max="15875" width="6.6640625" style="4" customWidth="1"/>
    <col min="15876" max="15885" width="6.33203125" style="4" customWidth="1"/>
    <col min="15886" max="15886" width="9.109375" style="4" customWidth="1"/>
    <col min="15887" max="15892" width="7.6640625" style="4" customWidth="1"/>
    <col min="15893" max="15893" width="1.88671875" style="4" customWidth="1"/>
    <col min="15894" max="16126" width="8.88671875" style="4"/>
    <col min="16127" max="16127" width="7.5546875" style="4" customWidth="1"/>
    <col min="16128" max="16128" width="7.33203125" style="4" customWidth="1"/>
    <col min="16129" max="16129" width="9.6640625" style="4" customWidth="1"/>
    <col min="16130" max="16131" width="6.6640625" style="4" customWidth="1"/>
    <col min="16132" max="16141" width="6.33203125" style="4" customWidth="1"/>
    <col min="16142" max="16142" width="9.109375" style="4" customWidth="1"/>
    <col min="16143" max="16148" width="7.6640625" style="4" customWidth="1"/>
    <col min="16149" max="16149" width="1.88671875" style="4" customWidth="1"/>
    <col min="16150" max="16384" width="8.88671875" style="4"/>
  </cols>
  <sheetData>
    <row r="1" spans="2:21" ht="8.25" customHeight="1"/>
    <row r="2" spans="2:21" ht="15" customHeight="1">
      <c r="C2" s="5" t="s">
        <v>0</v>
      </c>
    </row>
    <row r="3" spans="2:21" ht="15" customHeight="1">
      <c r="C3" s="5" t="s">
        <v>1</v>
      </c>
    </row>
    <row r="4" spans="2:21" ht="9" customHeight="1"/>
    <row r="5" spans="2:21" ht="6" customHeight="1"/>
    <row r="6" spans="2:21" ht="16.95" customHeight="1">
      <c r="B6" s="332" t="s">
        <v>202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8"/>
    </row>
    <row r="7" spans="2:21" ht="6.75" customHeight="1" thickBot="1"/>
    <row r="8" spans="2:21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3"/>
    </row>
    <row r="9" spans="2:21" s="14" customFormat="1" ht="15" customHeight="1">
      <c r="B9" s="15" t="s">
        <v>3</v>
      </c>
      <c r="C9" s="16"/>
      <c r="D9" s="17"/>
      <c r="E9" s="17" t="s">
        <v>4</v>
      </c>
      <c r="F9" s="219" t="str">
        <f>'Link List'!D3</f>
        <v>044</v>
      </c>
      <c r="G9" s="17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22"/>
    </row>
    <row r="10" spans="2:21" s="14" customFormat="1" ht="6.9" customHeight="1" thickBot="1">
      <c r="B10" s="15"/>
      <c r="C10" s="16"/>
      <c r="D10" s="17"/>
      <c r="E10" s="17"/>
      <c r="F10" s="219"/>
      <c r="G10" s="17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6"/>
    </row>
    <row r="11" spans="2:21" s="14" customFormat="1" ht="6.9" customHeight="1">
      <c r="B11" s="9"/>
      <c r="C11" s="10"/>
      <c r="D11" s="11"/>
      <c r="E11" s="11"/>
      <c r="F11" s="220"/>
      <c r="G11" s="11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13"/>
    </row>
    <row r="12" spans="2:21" s="14" customFormat="1" ht="15" customHeight="1">
      <c r="B12" s="15" t="s">
        <v>5</v>
      </c>
      <c r="C12" s="16"/>
      <c r="D12" s="17"/>
      <c r="E12" s="17" t="s">
        <v>4</v>
      </c>
      <c r="F12" s="219" t="str">
        <f>'Link List'!F3</f>
        <v>SP TELUK KILUAN - SP. UMBAR</v>
      </c>
      <c r="G12" s="17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2"/>
    </row>
    <row r="13" spans="2:21" s="14" customFormat="1" ht="6.9" customHeight="1" thickBot="1">
      <c r="B13" s="15"/>
      <c r="C13" s="16"/>
      <c r="D13" s="31"/>
      <c r="E13" s="31"/>
      <c r="F13" s="221"/>
      <c r="G13" s="31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6"/>
    </row>
    <row r="14" spans="2:21" s="14" customFormat="1" ht="6.9" customHeight="1">
      <c r="B14" s="9"/>
      <c r="C14" s="10"/>
      <c r="D14" s="11"/>
      <c r="E14" s="11"/>
      <c r="F14" s="220"/>
      <c r="G14" s="11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13"/>
    </row>
    <row r="15" spans="2:21" s="14" customFormat="1" ht="15" customHeight="1">
      <c r="B15" s="15" t="s">
        <v>157</v>
      </c>
      <c r="C15" s="16"/>
      <c r="D15" s="17"/>
      <c r="E15" s="17" t="s">
        <v>4</v>
      </c>
      <c r="F15" s="219">
        <f>'Link List'!I3</f>
        <v>25.157</v>
      </c>
      <c r="G15" s="17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22"/>
    </row>
    <row r="16" spans="2:21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/>
    </row>
    <row r="17" spans="2:20" s="34" customFormat="1" ht="9.9" customHeight="1" thickBot="1">
      <c r="C17" s="35"/>
      <c r="D17" s="35"/>
      <c r="E17" s="35"/>
      <c r="F17" s="35"/>
      <c r="G17" s="35"/>
    </row>
    <row r="18" spans="2:20" s="34" customFormat="1" ht="25.2" customHeight="1" thickBot="1">
      <c r="B18" s="95"/>
      <c r="C18" s="333" t="s">
        <v>7</v>
      </c>
      <c r="D18" s="333"/>
      <c r="E18" s="334"/>
      <c r="F18" s="335" t="s">
        <v>170</v>
      </c>
      <c r="G18" s="337" t="s">
        <v>173</v>
      </c>
      <c r="H18" s="339" t="s">
        <v>198</v>
      </c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40"/>
      <c r="T18" s="327" t="s">
        <v>11</v>
      </c>
    </row>
    <row r="19" spans="2:20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36"/>
      <c r="G19" s="338"/>
      <c r="H19" s="109" t="s">
        <v>174</v>
      </c>
      <c r="I19" s="109" t="s">
        <v>175</v>
      </c>
      <c r="J19" s="110" t="s">
        <v>176</v>
      </c>
      <c r="K19" s="109" t="s">
        <v>177</v>
      </c>
      <c r="L19" s="109" t="s">
        <v>178</v>
      </c>
      <c r="M19" s="108" t="s">
        <v>179</v>
      </c>
      <c r="N19" s="109" t="s">
        <v>180</v>
      </c>
      <c r="O19" s="108" t="s">
        <v>189</v>
      </c>
      <c r="P19" s="109" t="s">
        <v>193</v>
      </c>
      <c r="Q19" s="109" t="s">
        <v>190</v>
      </c>
      <c r="R19" s="109" t="s">
        <v>191</v>
      </c>
      <c r="S19" s="109" t="s">
        <v>192</v>
      </c>
      <c r="T19" s="328"/>
    </row>
    <row r="20" spans="2:20" s="103" customFormat="1" ht="12" customHeight="1">
      <c r="B20" s="329">
        <v>1</v>
      </c>
      <c r="C20" s="330"/>
      <c r="D20" s="330"/>
      <c r="E20" s="330"/>
      <c r="F20" s="330"/>
      <c r="G20" s="331"/>
      <c r="H20" s="102">
        <v>2</v>
      </c>
      <c r="I20" s="102">
        <v>3</v>
      </c>
      <c r="J20" s="102">
        <v>4</v>
      </c>
      <c r="K20" s="102">
        <v>5</v>
      </c>
      <c r="L20" s="102">
        <v>6</v>
      </c>
      <c r="M20" s="330">
        <v>7</v>
      </c>
      <c r="N20" s="331"/>
      <c r="O20" s="330">
        <v>8</v>
      </c>
      <c r="P20" s="331"/>
      <c r="Q20" s="102">
        <v>9</v>
      </c>
      <c r="R20" s="102" t="s">
        <v>199</v>
      </c>
      <c r="S20" s="102" t="s">
        <v>200</v>
      </c>
      <c r="T20" s="104">
        <v>12</v>
      </c>
    </row>
    <row r="21" spans="2:20" s="35" customFormat="1" ht="17.100000000000001" customHeight="1">
      <c r="B21" s="48"/>
      <c r="C21" s="54">
        <f>NOTE!J22</f>
        <v>21780</v>
      </c>
      <c r="D21" s="96">
        <v>21800</v>
      </c>
      <c r="E21" s="111">
        <v>4.5</v>
      </c>
      <c r="F21" s="112">
        <f t="shared" ref="F21:F36" si="0">(100/((D21-C21)*E21))*((H21*0.5)+(I21*0.5)+(J21*4)+(K21*4)+(L21*1)+(M21*2)+(O21*1.5)+(Q21*1)+(R21*1)+(S21*1))</f>
        <v>22.222222222222221</v>
      </c>
      <c r="G21" s="113" t="str">
        <f t="shared" ref="G21:G36" si="1">IF(F21&lt;=25,"B",IF(F21&lt;=75,"S",IF(F21&lt;=100,"RR","RB")))</f>
        <v>B</v>
      </c>
      <c r="H21" s="101">
        <f>'1. Back Up Aspal'!J28</f>
        <v>0</v>
      </c>
      <c r="I21" s="101">
        <f>'1. Back Up Aspal'!M28</f>
        <v>0</v>
      </c>
      <c r="J21" s="101">
        <f>'1. Back Up Aspal'!P28</f>
        <v>0</v>
      </c>
      <c r="K21" s="101">
        <f>'1. Back Up Aspal'!S28</f>
        <v>0</v>
      </c>
      <c r="L21" s="101">
        <f>'1. Back Up Aspal'!V28</f>
        <v>0</v>
      </c>
      <c r="M21" s="99">
        <f>'1. Back Up Aspal'!Y28</f>
        <v>10</v>
      </c>
      <c r="N21" s="99">
        <f>'1. Back Up Aspal'!Z28</f>
        <v>2</v>
      </c>
      <c r="O21" s="141">
        <f>'1. Back Up Aspal'!AC28</f>
        <v>0</v>
      </c>
      <c r="P21" s="101">
        <f>'1. Back Up Aspal'!AD28</f>
        <v>2</v>
      </c>
      <c r="Q21" s="140">
        <f>'1. Back Up Aspal'!AG28</f>
        <v>0</v>
      </c>
      <c r="R21" s="101">
        <f>'1. Back Up Aspal'!AJ28</f>
        <v>0</v>
      </c>
      <c r="S21" s="101">
        <f>'1. Back Up Aspal'!AM28</f>
        <v>0</v>
      </c>
      <c r="T21" s="106"/>
    </row>
    <row r="22" spans="2:20" s="35" customFormat="1" ht="17.100000000000001" customHeight="1">
      <c r="B22" s="48"/>
      <c r="C22" s="54">
        <f>D21</f>
        <v>21800</v>
      </c>
      <c r="D22" s="96">
        <f>C22+100</f>
        <v>21900</v>
      </c>
      <c r="E22" s="111">
        <v>4.5</v>
      </c>
      <c r="F22" s="112">
        <f t="shared" si="0"/>
        <v>0</v>
      </c>
      <c r="G22" s="113" t="str">
        <f t="shared" si="1"/>
        <v>B</v>
      </c>
      <c r="H22" s="101">
        <f>'1. Back Up Aspal'!J36</f>
        <v>0</v>
      </c>
      <c r="I22" s="101">
        <f>'1. Back Up Aspal'!M36</f>
        <v>0</v>
      </c>
      <c r="J22" s="101">
        <f>'1. Back Up Aspal'!P36</f>
        <v>0</v>
      </c>
      <c r="K22" s="101">
        <f>'1. Back Up Aspal'!S36</f>
        <v>0</v>
      </c>
      <c r="L22" s="101">
        <f>'1. Back Up Aspal'!V36</f>
        <v>0</v>
      </c>
      <c r="M22" s="99">
        <f>'1. Back Up Aspal'!Y36</f>
        <v>0</v>
      </c>
      <c r="N22" s="99">
        <f>'1. Back Up Aspal'!Z36</f>
        <v>2</v>
      </c>
      <c r="O22" s="141">
        <f>'1. Back Up Aspal'!AC36</f>
        <v>0</v>
      </c>
      <c r="P22" s="101">
        <f>'1. Back Up Aspal'!AD36</f>
        <v>2</v>
      </c>
      <c r="Q22" s="140">
        <f>'1. Back Up Aspal'!AG36</f>
        <v>0</v>
      </c>
      <c r="R22" s="101">
        <f>'1. Back Up Aspal'!AJ36</f>
        <v>0</v>
      </c>
      <c r="S22" s="101">
        <f>'1. Back Up Aspal'!AM36</f>
        <v>0</v>
      </c>
      <c r="T22" s="106"/>
    </row>
    <row r="23" spans="2:20" s="35" customFormat="1" ht="17.100000000000001" customHeight="1">
      <c r="B23" s="48"/>
      <c r="C23" s="54">
        <f t="shared" ref="C23:C36" si="2">D22</f>
        <v>21900</v>
      </c>
      <c r="D23" s="96">
        <f t="shared" ref="D23:D36" si="3">C23+100</f>
        <v>22000</v>
      </c>
      <c r="E23" s="111">
        <v>4.5</v>
      </c>
      <c r="F23" s="112">
        <f t="shared" si="0"/>
        <v>0</v>
      </c>
      <c r="G23" s="113" t="str">
        <f t="shared" si="1"/>
        <v>B</v>
      </c>
      <c r="H23" s="101">
        <f>'1. Back Up Aspal'!J44</f>
        <v>0</v>
      </c>
      <c r="I23" s="101">
        <f>'1. Back Up Aspal'!M44</f>
        <v>0</v>
      </c>
      <c r="J23" s="101">
        <f>'1. Back Up Aspal'!P44</f>
        <v>0</v>
      </c>
      <c r="K23" s="101">
        <f>'1. Back Up Aspal'!S44</f>
        <v>0</v>
      </c>
      <c r="L23" s="101">
        <f>'1. Back Up Aspal'!V44</f>
        <v>0</v>
      </c>
      <c r="M23" s="99">
        <f>'1. Back Up Aspal'!Y44</f>
        <v>0</v>
      </c>
      <c r="N23" s="99">
        <f>'1. Back Up Aspal'!Z44</f>
        <v>2</v>
      </c>
      <c r="O23" s="141">
        <f>'1. Back Up Aspal'!AC44</f>
        <v>0</v>
      </c>
      <c r="P23" s="101">
        <f>'1. Back Up Aspal'!AD44</f>
        <v>2</v>
      </c>
      <c r="Q23" s="140">
        <f>'1. Back Up Aspal'!AG44</f>
        <v>0</v>
      </c>
      <c r="R23" s="101">
        <f>'1. Back Up Aspal'!AJ44</f>
        <v>0</v>
      </c>
      <c r="S23" s="101">
        <f>'1. Back Up Aspal'!AM44</f>
        <v>0</v>
      </c>
      <c r="T23" s="106"/>
    </row>
    <row r="24" spans="2:20" s="35" customFormat="1" ht="17.100000000000001" customHeight="1">
      <c r="B24" s="48"/>
      <c r="C24" s="54">
        <f t="shared" ref="C24" si="4">D23</f>
        <v>22000</v>
      </c>
      <c r="D24" s="96">
        <f t="shared" ref="D24" si="5">C24+100</f>
        <v>22100</v>
      </c>
      <c r="E24" s="111">
        <v>4.5</v>
      </c>
      <c r="F24" s="112">
        <f t="shared" ref="F24" si="6">(100/((D24-C24)*E24))*((H24*0.5)+(I24*0.5)+(J24*4)+(K24*4)+(L24*1)+(M24*2)+(O24*1.5)+(Q24*1)+(R24*1)+(S24*1))</f>
        <v>0</v>
      </c>
      <c r="G24" s="113" t="str">
        <f t="shared" ref="G24" si="7">IF(F24&lt;=25,"B",IF(F24&lt;=75,"S",IF(F24&lt;=100,"RR","RB")))</f>
        <v>B</v>
      </c>
      <c r="H24" s="101">
        <f>'1. Back Up Aspal'!J52</f>
        <v>0</v>
      </c>
      <c r="I24" s="101">
        <f>'1. Back Up Aspal'!M52</f>
        <v>0</v>
      </c>
      <c r="J24" s="101">
        <f>'1. Back Up Aspal'!P52</f>
        <v>0</v>
      </c>
      <c r="K24" s="101">
        <f>'1. Back Up Aspal'!S52</f>
        <v>0</v>
      </c>
      <c r="L24" s="101">
        <f>'1. Back Up Aspal'!V52</f>
        <v>0</v>
      </c>
      <c r="M24" s="99">
        <f>'1. Back Up Aspal'!Y52</f>
        <v>0</v>
      </c>
      <c r="N24" s="99">
        <f>'1. Back Up Aspal'!Z52</f>
        <v>2</v>
      </c>
      <c r="O24" s="141">
        <f>'1. Back Up Aspal'!AC52</f>
        <v>0</v>
      </c>
      <c r="P24" s="101">
        <f>'1. Back Up Aspal'!AD52</f>
        <v>2</v>
      </c>
      <c r="Q24" s="140">
        <f>'1. Back Up Aspal'!AG52</f>
        <v>0</v>
      </c>
      <c r="R24" s="101">
        <f>'1. Back Up Aspal'!AJ52</f>
        <v>0</v>
      </c>
      <c r="S24" s="101">
        <f>'1. Back Up Aspal'!AM52</f>
        <v>0</v>
      </c>
      <c r="T24" s="106"/>
    </row>
    <row r="25" spans="2:20" s="35" customFormat="1" ht="17.100000000000001" customHeight="1">
      <c r="B25" s="269"/>
      <c r="C25" s="249">
        <f>D24</f>
        <v>22100</v>
      </c>
      <c r="D25" s="250">
        <f>NOTE!L22</f>
        <v>22150</v>
      </c>
      <c r="E25" s="251">
        <v>4.5</v>
      </c>
      <c r="F25" s="112">
        <f t="shared" si="0"/>
        <v>0</v>
      </c>
      <c r="G25" s="113" t="str">
        <f t="shared" si="1"/>
        <v>B</v>
      </c>
      <c r="H25" s="101">
        <f>'1. Back Up Aspal'!J60</f>
        <v>0</v>
      </c>
      <c r="I25" s="101">
        <f>'1. Back Up Aspal'!M60</f>
        <v>0</v>
      </c>
      <c r="J25" s="101">
        <f>'1. Back Up Aspal'!P60</f>
        <v>0</v>
      </c>
      <c r="K25" s="101">
        <f>'1. Back Up Aspal'!S60</f>
        <v>0</v>
      </c>
      <c r="L25" s="101">
        <f>'1. Back Up Aspal'!V60</f>
        <v>0</v>
      </c>
      <c r="M25" s="99">
        <f>'1. Back Up Aspal'!Y60</f>
        <v>0</v>
      </c>
      <c r="N25" s="99">
        <f>'1. Back Up Aspal'!Z60</f>
        <v>2</v>
      </c>
      <c r="O25" s="141">
        <f>'1. Back Up Aspal'!AC60</f>
        <v>0</v>
      </c>
      <c r="P25" s="101">
        <f>'1. Back Up Aspal'!AD60</f>
        <v>2</v>
      </c>
      <c r="Q25" s="140">
        <f>'1. Back Up Aspal'!AG60</f>
        <v>0</v>
      </c>
      <c r="R25" s="101">
        <f>'1. Back Up Aspal'!AJ60</f>
        <v>0</v>
      </c>
      <c r="S25" s="101">
        <f>'1. Back Up Aspal'!AM60</f>
        <v>0</v>
      </c>
      <c r="T25" s="106"/>
    </row>
    <row r="26" spans="2:20" s="35" customFormat="1" ht="17.100000000000001" customHeight="1">
      <c r="B26" s="48"/>
      <c r="C26" s="54">
        <f>NOTE!J24</f>
        <v>22350</v>
      </c>
      <c r="D26" s="96">
        <f>C26+50</f>
        <v>22400</v>
      </c>
      <c r="E26" s="111">
        <v>4.5</v>
      </c>
      <c r="F26" s="112">
        <f t="shared" si="0"/>
        <v>0</v>
      </c>
      <c r="G26" s="113" t="str">
        <f t="shared" si="1"/>
        <v>B</v>
      </c>
      <c r="H26" s="101">
        <f>'1. Back Up Aspal'!J68</f>
        <v>0</v>
      </c>
      <c r="I26" s="101">
        <f>'1. Back Up Aspal'!M68</f>
        <v>0</v>
      </c>
      <c r="J26" s="101">
        <f>'1. Back Up Aspal'!P68</f>
        <v>0</v>
      </c>
      <c r="K26" s="101">
        <f>'1. Back Up Aspal'!S68</f>
        <v>0</v>
      </c>
      <c r="L26" s="101">
        <f>'1. Back Up Aspal'!V68</f>
        <v>0</v>
      </c>
      <c r="M26" s="99">
        <f>'1. Back Up Aspal'!Y68</f>
        <v>0</v>
      </c>
      <c r="N26" s="99">
        <f>'1. Back Up Aspal'!Z68</f>
        <v>2</v>
      </c>
      <c r="O26" s="141">
        <f>'1. Back Up Aspal'!AC68</f>
        <v>0</v>
      </c>
      <c r="P26" s="101">
        <f>'1. Back Up Aspal'!AD68</f>
        <v>2</v>
      </c>
      <c r="Q26" s="140">
        <f>'1. Back Up Aspal'!AG68</f>
        <v>0</v>
      </c>
      <c r="R26" s="101">
        <f>'1. Back Up Aspal'!AJ68</f>
        <v>0</v>
      </c>
      <c r="S26" s="101">
        <f>'1. Back Up Aspal'!AM68</f>
        <v>0</v>
      </c>
      <c r="T26" s="106"/>
    </row>
    <row r="27" spans="2:20" s="35" customFormat="1" ht="17.100000000000001" customHeight="1">
      <c r="B27" s="48"/>
      <c r="C27" s="54">
        <f t="shared" si="2"/>
        <v>22400</v>
      </c>
      <c r="D27" s="96">
        <f t="shared" si="3"/>
        <v>22500</v>
      </c>
      <c r="E27" s="111">
        <v>4.5</v>
      </c>
      <c r="F27" s="112">
        <f t="shared" si="0"/>
        <v>0</v>
      </c>
      <c r="G27" s="113" t="str">
        <f t="shared" si="1"/>
        <v>B</v>
      </c>
      <c r="H27" s="101">
        <f>'1. Back Up Aspal'!J76</f>
        <v>0</v>
      </c>
      <c r="I27" s="101">
        <f>'1. Back Up Aspal'!M76</f>
        <v>0</v>
      </c>
      <c r="J27" s="101">
        <f>'1. Back Up Aspal'!P76</f>
        <v>0</v>
      </c>
      <c r="K27" s="101">
        <f>'1. Back Up Aspal'!S76</f>
        <v>0</v>
      </c>
      <c r="L27" s="101">
        <f>'1. Back Up Aspal'!V76</f>
        <v>0</v>
      </c>
      <c r="M27" s="99">
        <f>'1. Back Up Aspal'!Y76</f>
        <v>0</v>
      </c>
      <c r="N27" s="99">
        <f>'1. Back Up Aspal'!Z76</f>
        <v>2</v>
      </c>
      <c r="O27" s="141">
        <f>'1. Back Up Aspal'!AC76</f>
        <v>0</v>
      </c>
      <c r="P27" s="101">
        <f>'1. Back Up Aspal'!AD76</f>
        <v>2</v>
      </c>
      <c r="Q27" s="140">
        <f>'1. Back Up Aspal'!AG76</f>
        <v>0</v>
      </c>
      <c r="R27" s="101">
        <f>'1. Back Up Aspal'!AJ76</f>
        <v>0</v>
      </c>
      <c r="S27" s="101">
        <f>'1. Back Up Aspal'!AM76</f>
        <v>0</v>
      </c>
      <c r="T27" s="106"/>
    </row>
    <row r="28" spans="2:20" s="35" customFormat="1" ht="17.100000000000001" customHeight="1">
      <c r="B28" s="269"/>
      <c r="C28" s="249">
        <f t="shared" si="2"/>
        <v>22500</v>
      </c>
      <c r="D28" s="250">
        <f>NOTE!L24</f>
        <v>22600</v>
      </c>
      <c r="E28" s="251">
        <v>4.5</v>
      </c>
      <c r="F28" s="112">
        <f t="shared" si="0"/>
        <v>25</v>
      </c>
      <c r="G28" s="113" t="str">
        <f t="shared" si="1"/>
        <v>B</v>
      </c>
      <c r="H28" s="101">
        <f>'1. Back Up Aspal'!J84</f>
        <v>0</v>
      </c>
      <c r="I28" s="101">
        <f>'1. Back Up Aspal'!M84</f>
        <v>225</v>
      </c>
      <c r="J28" s="101">
        <f>'1. Back Up Aspal'!P84</f>
        <v>0</v>
      </c>
      <c r="K28" s="101">
        <f>'1. Back Up Aspal'!S84</f>
        <v>0</v>
      </c>
      <c r="L28" s="101">
        <f>'1. Back Up Aspal'!V84</f>
        <v>0</v>
      </c>
      <c r="M28" s="99">
        <f>'1. Back Up Aspal'!Y84</f>
        <v>0</v>
      </c>
      <c r="N28" s="99">
        <f>'1. Back Up Aspal'!Z84</f>
        <v>2</v>
      </c>
      <c r="O28" s="141">
        <f>'1. Back Up Aspal'!AC84</f>
        <v>0</v>
      </c>
      <c r="P28" s="101">
        <f>'1. Back Up Aspal'!AD84</f>
        <v>2</v>
      </c>
      <c r="Q28" s="140">
        <f>'1. Back Up Aspal'!AG84</f>
        <v>0</v>
      </c>
      <c r="R28" s="101">
        <f>'1. Back Up Aspal'!AJ84</f>
        <v>0</v>
      </c>
      <c r="S28" s="101">
        <f>'1. Back Up Aspal'!AM84</f>
        <v>0</v>
      </c>
      <c r="T28" s="106"/>
    </row>
    <row r="29" spans="2:20" s="35" customFormat="1" ht="17.100000000000001" customHeight="1">
      <c r="B29" s="48"/>
      <c r="C29" s="54">
        <f>NOTE!J26</f>
        <v>24000</v>
      </c>
      <c r="D29" s="96">
        <v>24100</v>
      </c>
      <c r="E29" s="111">
        <v>4.5</v>
      </c>
      <c r="F29" s="112">
        <f t="shared" si="0"/>
        <v>25</v>
      </c>
      <c r="G29" s="113" t="str">
        <f t="shared" si="1"/>
        <v>B</v>
      </c>
      <c r="H29" s="101">
        <f>'1. Back Up Aspal'!J92</f>
        <v>0</v>
      </c>
      <c r="I29" s="101">
        <f>'1. Back Up Aspal'!M92</f>
        <v>225</v>
      </c>
      <c r="J29" s="101">
        <f>'1. Back Up Aspal'!P92</f>
        <v>0</v>
      </c>
      <c r="K29" s="101">
        <f>'1. Back Up Aspal'!S92</f>
        <v>0</v>
      </c>
      <c r="L29" s="101">
        <f>'1. Back Up Aspal'!V92</f>
        <v>0</v>
      </c>
      <c r="M29" s="99">
        <f>'1. Back Up Aspal'!Y92</f>
        <v>0</v>
      </c>
      <c r="N29" s="99">
        <f>'1. Back Up Aspal'!Z92</f>
        <v>2</v>
      </c>
      <c r="O29" s="141">
        <f>'1. Back Up Aspal'!AC92</f>
        <v>0</v>
      </c>
      <c r="P29" s="101">
        <f>'1. Back Up Aspal'!AD92</f>
        <v>2</v>
      </c>
      <c r="Q29" s="140">
        <f>'1. Back Up Aspal'!AG92</f>
        <v>0</v>
      </c>
      <c r="R29" s="101">
        <f>'1. Back Up Aspal'!AJ92</f>
        <v>0</v>
      </c>
      <c r="S29" s="101">
        <f>'1. Back Up Aspal'!AM92</f>
        <v>0</v>
      </c>
      <c r="T29" s="106"/>
    </row>
    <row r="30" spans="2:20" s="35" customFormat="1" ht="17.100000000000001" customHeight="1">
      <c r="B30" s="48"/>
      <c r="C30" s="54">
        <f t="shared" si="2"/>
        <v>24100</v>
      </c>
      <c r="D30" s="96">
        <f t="shared" si="3"/>
        <v>24200</v>
      </c>
      <c r="E30" s="111">
        <v>4.5</v>
      </c>
      <c r="F30" s="112">
        <f t="shared" si="0"/>
        <v>55.55555555555555</v>
      </c>
      <c r="G30" s="113" t="str">
        <f t="shared" si="1"/>
        <v>S</v>
      </c>
      <c r="H30" s="101">
        <f>'1. Back Up Aspal'!J100</f>
        <v>0</v>
      </c>
      <c r="I30" s="101">
        <f>'1. Back Up Aspal'!M100</f>
        <v>500</v>
      </c>
      <c r="J30" s="101">
        <f>'1. Back Up Aspal'!P100</f>
        <v>0</v>
      </c>
      <c r="K30" s="101">
        <f>'1. Back Up Aspal'!S100</f>
        <v>0</v>
      </c>
      <c r="L30" s="101">
        <f>'1. Back Up Aspal'!V100</f>
        <v>0</v>
      </c>
      <c r="M30" s="99">
        <f>'1. Back Up Aspal'!Y100</f>
        <v>0</v>
      </c>
      <c r="N30" s="99">
        <f>'1. Back Up Aspal'!Z100</f>
        <v>2</v>
      </c>
      <c r="O30" s="141">
        <f>'1. Back Up Aspal'!AC100</f>
        <v>0</v>
      </c>
      <c r="P30" s="101">
        <f>'1. Back Up Aspal'!AD100</f>
        <v>2</v>
      </c>
      <c r="Q30" s="140">
        <f>'1. Back Up Aspal'!AG100</f>
        <v>0</v>
      </c>
      <c r="R30" s="101">
        <f>'1. Back Up Aspal'!AJ100</f>
        <v>0</v>
      </c>
      <c r="S30" s="101">
        <f>'1. Back Up Aspal'!AM100</f>
        <v>0</v>
      </c>
      <c r="T30" s="106"/>
    </row>
    <row r="31" spans="2:20" s="35" customFormat="1" ht="17.100000000000001" customHeight="1">
      <c r="B31" s="48"/>
      <c r="C31" s="54">
        <f t="shared" si="2"/>
        <v>24200</v>
      </c>
      <c r="D31" s="96">
        <f t="shared" si="3"/>
        <v>24300</v>
      </c>
      <c r="E31" s="111">
        <v>4.5</v>
      </c>
      <c r="F31" s="112">
        <f t="shared" si="0"/>
        <v>38.888888888888886</v>
      </c>
      <c r="G31" s="113" t="str">
        <f t="shared" si="1"/>
        <v>S</v>
      </c>
      <c r="H31" s="101">
        <f>'1. Back Up Aspal'!J108</f>
        <v>0</v>
      </c>
      <c r="I31" s="101">
        <f>'1. Back Up Aspal'!M108</f>
        <v>350</v>
      </c>
      <c r="J31" s="101">
        <f>'1. Back Up Aspal'!P108</f>
        <v>0</v>
      </c>
      <c r="K31" s="101">
        <f>'1. Back Up Aspal'!S108</f>
        <v>0</v>
      </c>
      <c r="L31" s="101">
        <f>'1. Back Up Aspal'!V108</f>
        <v>0</v>
      </c>
      <c r="M31" s="99">
        <f>'1. Back Up Aspal'!Y108</f>
        <v>0</v>
      </c>
      <c r="N31" s="99">
        <f>'1. Back Up Aspal'!Z108</f>
        <v>2</v>
      </c>
      <c r="O31" s="141">
        <f>'1. Back Up Aspal'!AC108</f>
        <v>0</v>
      </c>
      <c r="P31" s="101">
        <f>'1. Back Up Aspal'!AD108</f>
        <v>2</v>
      </c>
      <c r="Q31" s="140">
        <f>'1. Back Up Aspal'!AG108</f>
        <v>0</v>
      </c>
      <c r="R31" s="101">
        <f>'1. Back Up Aspal'!AJ108</f>
        <v>0</v>
      </c>
      <c r="S31" s="101">
        <f>'1. Back Up Aspal'!AM108</f>
        <v>0</v>
      </c>
      <c r="T31" s="106"/>
    </row>
    <row r="32" spans="2:20" s="35" customFormat="1" ht="17.100000000000001" customHeight="1">
      <c r="B32" s="48"/>
      <c r="C32" s="54">
        <f t="shared" si="2"/>
        <v>24300</v>
      </c>
      <c r="D32" s="96">
        <f t="shared" si="3"/>
        <v>24400</v>
      </c>
      <c r="E32" s="111">
        <v>4.5</v>
      </c>
      <c r="F32" s="112">
        <f t="shared" si="0"/>
        <v>33.333333333333329</v>
      </c>
      <c r="G32" s="113" t="str">
        <f t="shared" si="1"/>
        <v>S</v>
      </c>
      <c r="H32" s="101">
        <f>'1. Back Up Aspal'!J116</f>
        <v>0</v>
      </c>
      <c r="I32" s="101">
        <f>'1. Back Up Aspal'!M116</f>
        <v>300</v>
      </c>
      <c r="J32" s="101">
        <f>'1. Back Up Aspal'!P116</f>
        <v>0</v>
      </c>
      <c r="K32" s="101">
        <f>'1. Back Up Aspal'!S116</f>
        <v>0</v>
      </c>
      <c r="L32" s="101">
        <f>'1. Back Up Aspal'!V116</f>
        <v>0</v>
      </c>
      <c r="M32" s="99">
        <f>'1. Back Up Aspal'!Y116</f>
        <v>0</v>
      </c>
      <c r="N32" s="99">
        <f>'1. Back Up Aspal'!Z116</f>
        <v>2</v>
      </c>
      <c r="O32" s="141">
        <f>'1. Back Up Aspal'!AC116</f>
        <v>0</v>
      </c>
      <c r="P32" s="101">
        <f>'1. Back Up Aspal'!AD116</f>
        <v>2</v>
      </c>
      <c r="Q32" s="140">
        <f>'1. Back Up Aspal'!AG116</f>
        <v>0</v>
      </c>
      <c r="R32" s="101">
        <f>'1. Back Up Aspal'!AJ116</f>
        <v>0</v>
      </c>
      <c r="S32" s="101">
        <f>'1. Back Up Aspal'!AM116</f>
        <v>0</v>
      </c>
      <c r="T32" s="106"/>
    </row>
    <row r="33" spans="2:20" s="35" customFormat="1" ht="17.100000000000001" customHeight="1">
      <c r="B33" s="48"/>
      <c r="C33" s="54">
        <f t="shared" si="2"/>
        <v>24400</v>
      </c>
      <c r="D33" s="96">
        <f t="shared" si="3"/>
        <v>24500</v>
      </c>
      <c r="E33" s="111">
        <v>4.5</v>
      </c>
      <c r="F33" s="112">
        <f t="shared" si="0"/>
        <v>50</v>
      </c>
      <c r="G33" s="113" t="str">
        <f t="shared" si="1"/>
        <v>S</v>
      </c>
      <c r="H33" s="101">
        <f>'1. Back Up Aspal'!J124</f>
        <v>0</v>
      </c>
      <c r="I33" s="101">
        <f>'1. Back Up Aspal'!M124</f>
        <v>450</v>
      </c>
      <c r="J33" s="101">
        <f>'1. Back Up Aspal'!P124</f>
        <v>0</v>
      </c>
      <c r="K33" s="101">
        <f>'1. Back Up Aspal'!S124</f>
        <v>0</v>
      </c>
      <c r="L33" s="101">
        <f>'1. Back Up Aspal'!V124</f>
        <v>0</v>
      </c>
      <c r="M33" s="99">
        <f>'1. Back Up Aspal'!Y124</f>
        <v>0</v>
      </c>
      <c r="N33" s="99">
        <f>'1. Back Up Aspal'!Z124</f>
        <v>2</v>
      </c>
      <c r="O33" s="141">
        <f>'1. Back Up Aspal'!AC124</f>
        <v>0</v>
      </c>
      <c r="P33" s="101">
        <f>'1. Back Up Aspal'!AD124</f>
        <v>2</v>
      </c>
      <c r="Q33" s="140">
        <f>'1. Back Up Aspal'!AG124</f>
        <v>0</v>
      </c>
      <c r="R33" s="101">
        <f>'1. Back Up Aspal'!AJ124</f>
        <v>0</v>
      </c>
      <c r="S33" s="101">
        <f>'1. Back Up Aspal'!AM124</f>
        <v>0</v>
      </c>
      <c r="T33" s="106"/>
    </row>
    <row r="34" spans="2:20" s="35" customFormat="1" ht="17.100000000000001" customHeight="1">
      <c r="B34" s="48"/>
      <c r="C34" s="54">
        <f t="shared" si="2"/>
        <v>24500</v>
      </c>
      <c r="D34" s="96">
        <f t="shared" si="3"/>
        <v>24600</v>
      </c>
      <c r="E34" s="111">
        <v>4.5</v>
      </c>
      <c r="F34" s="112">
        <f t="shared" si="0"/>
        <v>400</v>
      </c>
      <c r="G34" s="113" t="str">
        <f t="shared" si="1"/>
        <v>RB</v>
      </c>
      <c r="H34" s="101">
        <f>'1. Back Up Aspal'!J132</f>
        <v>0</v>
      </c>
      <c r="I34" s="101">
        <f>'1. Back Up Aspal'!M132</f>
        <v>0</v>
      </c>
      <c r="J34" s="101">
        <f>'1. Back Up Aspal'!P132</f>
        <v>450</v>
      </c>
      <c r="K34" s="101">
        <f>'1. Back Up Aspal'!S132</f>
        <v>0</v>
      </c>
      <c r="L34" s="101">
        <f>'1. Back Up Aspal'!V132</f>
        <v>0</v>
      </c>
      <c r="M34" s="99">
        <f>'1. Back Up Aspal'!Y132</f>
        <v>0</v>
      </c>
      <c r="N34" s="99">
        <f>'1. Back Up Aspal'!Z132</f>
        <v>2</v>
      </c>
      <c r="O34" s="141">
        <f>'1. Back Up Aspal'!AC132</f>
        <v>0</v>
      </c>
      <c r="P34" s="101">
        <f>'1. Back Up Aspal'!AD132</f>
        <v>2</v>
      </c>
      <c r="Q34" s="140">
        <f>'1. Back Up Aspal'!AG132</f>
        <v>0</v>
      </c>
      <c r="R34" s="101">
        <f>'1. Back Up Aspal'!AJ132</f>
        <v>0</v>
      </c>
      <c r="S34" s="101">
        <f>'1. Back Up Aspal'!AM132</f>
        <v>0</v>
      </c>
      <c r="T34" s="106"/>
    </row>
    <row r="35" spans="2:20" s="35" customFormat="1" ht="17.100000000000001" customHeight="1">
      <c r="B35" s="48"/>
      <c r="C35" s="54">
        <f t="shared" si="2"/>
        <v>24600</v>
      </c>
      <c r="D35" s="96">
        <f t="shared" si="3"/>
        <v>24700</v>
      </c>
      <c r="E35" s="111">
        <v>4.5</v>
      </c>
      <c r="F35" s="112">
        <f t="shared" si="0"/>
        <v>400</v>
      </c>
      <c r="G35" s="113" t="str">
        <f t="shared" si="1"/>
        <v>RB</v>
      </c>
      <c r="H35" s="101">
        <f>'1. Back Up Aspal'!J140</f>
        <v>0</v>
      </c>
      <c r="I35" s="101">
        <f>'1. Back Up Aspal'!M140</f>
        <v>0</v>
      </c>
      <c r="J35" s="101">
        <f>'1. Back Up Aspal'!P140</f>
        <v>450</v>
      </c>
      <c r="K35" s="101">
        <f>'1. Back Up Aspal'!S140</f>
        <v>0</v>
      </c>
      <c r="L35" s="101">
        <f>'1. Back Up Aspal'!V140</f>
        <v>0</v>
      </c>
      <c r="M35" s="99">
        <f>'1. Back Up Aspal'!Y140</f>
        <v>0</v>
      </c>
      <c r="N35" s="99">
        <f>'1. Back Up Aspal'!Z140</f>
        <v>2</v>
      </c>
      <c r="O35" s="141">
        <f>'1. Back Up Aspal'!AC140</f>
        <v>0</v>
      </c>
      <c r="P35" s="101">
        <f>'1. Back Up Aspal'!AD140</f>
        <v>2</v>
      </c>
      <c r="Q35" s="140">
        <f>'1. Back Up Aspal'!AG140</f>
        <v>0</v>
      </c>
      <c r="R35" s="101">
        <f>'1. Back Up Aspal'!AJ140</f>
        <v>0</v>
      </c>
      <c r="S35" s="101">
        <f>'1. Back Up Aspal'!AM140</f>
        <v>0</v>
      </c>
      <c r="T35" s="106"/>
    </row>
    <row r="36" spans="2:20" s="35" customFormat="1" ht="17.100000000000001" customHeight="1">
      <c r="B36" s="308"/>
      <c r="C36" s="305">
        <f t="shared" si="2"/>
        <v>24700</v>
      </c>
      <c r="D36" s="96">
        <f t="shared" si="3"/>
        <v>24800</v>
      </c>
      <c r="E36" s="307">
        <v>4.5</v>
      </c>
      <c r="F36" s="112">
        <f t="shared" si="0"/>
        <v>400</v>
      </c>
      <c r="G36" s="113" t="str">
        <f t="shared" si="1"/>
        <v>RB</v>
      </c>
      <c r="H36" s="101">
        <f>'1. Back Up Aspal'!J148</f>
        <v>0</v>
      </c>
      <c r="I36" s="101">
        <f>'1. Back Up Aspal'!M148</f>
        <v>0</v>
      </c>
      <c r="J36" s="304">
        <f>'1. Back Up Aspal'!P148</f>
        <v>450</v>
      </c>
      <c r="K36" s="101">
        <f>'1. Back Up Aspal'!S148</f>
        <v>0</v>
      </c>
      <c r="L36" s="101">
        <f>'1. Back Up Aspal'!V148</f>
        <v>0</v>
      </c>
      <c r="M36" s="99">
        <f>'1. Back Up Aspal'!Y148</f>
        <v>0</v>
      </c>
      <c r="N36" s="99">
        <f>'1. Back Up Aspal'!Z148</f>
        <v>2</v>
      </c>
      <c r="O36" s="141">
        <f>'1. Back Up Aspal'!AC148</f>
        <v>0</v>
      </c>
      <c r="P36" s="101">
        <f>'1. Back Up Aspal'!AD148</f>
        <v>2</v>
      </c>
      <c r="Q36" s="140">
        <f>'1. Back Up Aspal'!AG148</f>
        <v>0</v>
      </c>
      <c r="R36" s="101">
        <f>'1. Back Up Aspal'!AJ148</f>
        <v>0</v>
      </c>
      <c r="S36" s="101">
        <f>'1. Back Up Aspal'!AM148</f>
        <v>0</v>
      </c>
      <c r="T36" s="106"/>
    </row>
    <row r="37" spans="2:20" s="35" customFormat="1" ht="17.100000000000001" customHeight="1">
      <c r="B37" s="308"/>
      <c r="C37" s="305">
        <f t="shared" ref="C37:C39" si="8">D36</f>
        <v>24800</v>
      </c>
      <c r="D37" s="96">
        <f t="shared" ref="D37:D39" si="9">C37+100</f>
        <v>24900</v>
      </c>
      <c r="E37" s="307">
        <v>4.5</v>
      </c>
      <c r="F37" s="112">
        <f t="shared" ref="F37:F39" si="10">(100/((D37-C37)*E37))*((H37*0.5)+(I37*0.5)+(J37*4)+(K37*4)+(L37*1)+(M37*2)+(O37*1.5)+(Q37*1)+(R37*1)+(S37*1))</f>
        <v>400</v>
      </c>
      <c r="G37" s="113" t="str">
        <f t="shared" ref="G37:G39" si="11">IF(F37&lt;=25,"B",IF(F37&lt;=75,"S",IF(F37&lt;=100,"RR","RB")))</f>
        <v>RB</v>
      </c>
      <c r="H37" s="101">
        <f>'1. Back Up Aspal'!J156</f>
        <v>0</v>
      </c>
      <c r="I37" s="101">
        <f>'1. Back Up Aspal'!M156</f>
        <v>0</v>
      </c>
      <c r="J37" s="304">
        <f>'1. Back Up Aspal'!P156</f>
        <v>450</v>
      </c>
      <c r="K37" s="101">
        <f>'1. Back Up Aspal'!S156</f>
        <v>0</v>
      </c>
      <c r="L37" s="101">
        <f>'1. Back Up Aspal'!V156</f>
        <v>0</v>
      </c>
      <c r="M37" s="99">
        <f>'1. Back Up Aspal'!Y156</f>
        <v>0</v>
      </c>
      <c r="N37" s="99">
        <f>'1. Back Up Aspal'!Z156</f>
        <v>2</v>
      </c>
      <c r="O37" s="141">
        <f>'1. Back Up Aspal'!AC156</f>
        <v>0</v>
      </c>
      <c r="P37" s="101">
        <f>'1. Back Up Aspal'!AD156</f>
        <v>2</v>
      </c>
      <c r="Q37" s="140">
        <f>'1. Back Up Aspal'!AG156</f>
        <v>0</v>
      </c>
      <c r="R37" s="101">
        <f>'1. Back Up Aspal'!AJ156</f>
        <v>0</v>
      </c>
      <c r="S37" s="101">
        <f>'1. Back Up Aspal'!AM156</f>
        <v>0</v>
      </c>
      <c r="T37" s="106"/>
    </row>
    <row r="38" spans="2:20" s="35" customFormat="1" ht="17.100000000000001" customHeight="1">
      <c r="B38" s="308"/>
      <c r="C38" s="305">
        <f t="shared" si="8"/>
        <v>24900</v>
      </c>
      <c r="D38" s="96">
        <f t="shared" si="9"/>
        <v>25000</v>
      </c>
      <c r="E38" s="307">
        <v>4.5</v>
      </c>
      <c r="F38" s="112">
        <f t="shared" si="10"/>
        <v>400</v>
      </c>
      <c r="G38" s="113" t="str">
        <f t="shared" si="11"/>
        <v>RB</v>
      </c>
      <c r="H38" s="101">
        <f>'1. Back Up Aspal'!J164</f>
        <v>0</v>
      </c>
      <c r="I38" s="101">
        <f>'1. Back Up Aspal'!M164</f>
        <v>0</v>
      </c>
      <c r="J38" s="304">
        <f>'1. Back Up Aspal'!P164</f>
        <v>450</v>
      </c>
      <c r="K38" s="101">
        <f>'1. Back Up Aspal'!S164</f>
        <v>0</v>
      </c>
      <c r="L38" s="101">
        <f>'1. Back Up Aspal'!V164</f>
        <v>0</v>
      </c>
      <c r="M38" s="99">
        <f>'1. Back Up Aspal'!Y164</f>
        <v>0</v>
      </c>
      <c r="N38" s="99">
        <f>'1. Back Up Aspal'!Z164</f>
        <v>2</v>
      </c>
      <c r="O38" s="141">
        <f>'1. Back Up Aspal'!AC164</f>
        <v>0</v>
      </c>
      <c r="P38" s="101">
        <f>'1. Back Up Aspal'!AD164</f>
        <v>2</v>
      </c>
      <c r="Q38" s="140">
        <f>'1. Back Up Aspal'!AG164</f>
        <v>0</v>
      </c>
      <c r="R38" s="101">
        <f>'1. Back Up Aspal'!AJ164</f>
        <v>0</v>
      </c>
      <c r="S38" s="101">
        <f>'1. Back Up Aspal'!AM164</f>
        <v>0</v>
      </c>
      <c r="T38" s="106"/>
    </row>
    <row r="39" spans="2:20" s="35" customFormat="1" ht="17.100000000000001" customHeight="1">
      <c r="B39" s="308"/>
      <c r="C39" s="305">
        <f t="shared" si="8"/>
        <v>25000</v>
      </c>
      <c r="D39" s="96">
        <f t="shared" si="9"/>
        <v>25100</v>
      </c>
      <c r="E39" s="307">
        <v>4.5</v>
      </c>
      <c r="F39" s="112">
        <f t="shared" si="10"/>
        <v>400</v>
      </c>
      <c r="G39" s="113" t="str">
        <f t="shared" si="11"/>
        <v>RB</v>
      </c>
      <c r="H39" s="101">
        <f>'1. Back Up Aspal'!J172</f>
        <v>0</v>
      </c>
      <c r="I39" s="101">
        <f>'1. Back Up Aspal'!M172</f>
        <v>0</v>
      </c>
      <c r="J39" s="304">
        <f>'1. Back Up Aspal'!P172</f>
        <v>450</v>
      </c>
      <c r="K39" s="101">
        <f>'1. Back Up Aspal'!S172</f>
        <v>0</v>
      </c>
      <c r="L39" s="101">
        <f>'1. Back Up Aspal'!V172</f>
        <v>0</v>
      </c>
      <c r="M39" s="99">
        <f>'1. Back Up Aspal'!Y172</f>
        <v>0</v>
      </c>
      <c r="N39" s="99">
        <f>'1. Back Up Aspal'!Z172</f>
        <v>2</v>
      </c>
      <c r="O39" s="141">
        <f>'1. Back Up Aspal'!AC172</f>
        <v>0</v>
      </c>
      <c r="P39" s="101">
        <f>'1. Back Up Aspal'!AD172</f>
        <v>2</v>
      </c>
      <c r="Q39" s="140">
        <f>'1. Back Up Aspal'!AG172</f>
        <v>0</v>
      </c>
      <c r="R39" s="101">
        <f>'1. Back Up Aspal'!AJ172</f>
        <v>0</v>
      </c>
      <c r="S39" s="101">
        <f>'1. Back Up Aspal'!AM172</f>
        <v>0</v>
      </c>
      <c r="T39" s="106"/>
    </row>
    <row r="40" spans="2:20" s="35" customFormat="1" ht="17.100000000000001" customHeight="1">
      <c r="B40" s="308"/>
      <c r="C40" s="305">
        <f t="shared" ref="C40" si="12">D39</f>
        <v>25100</v>
      </c>
      <c r="D40" s="96">
        <v>25157</v>
      </c>
      <c r="E40" s="307">
        <v>4.5</v>
      </c>
      <c r="F40" s="112">
        <f t="shared" ref="F40" si="13">(100/((D40-C40)*E40))*((H40*0.5)+(I40*0.5)+(J40*4)+(K40*4)+(L40*1)+(M40*2)+(O40*1.5)+(Q40*1)+(R40*1)+(S40*1))</f>
        <v>400</v>
      </c>
      <c r="G40" s="113" t="str">
        <f t="shared" ref="G40" si="14">IF(F40&lt;=25,"B",IF(F40&lt;=75,"S",IF(F40&lt;=100,"RR","RB")))</f>
        <v>RB</v>
      </c>
      <c r="H40" s="101">
        <f>'1. Back Up Aspal'!J180</f>
        <v>0</v>
      </c>
      <c r="I40" s="101">
        <f>'1. Back Up Aspal'!M180</f>
        <v>0</v>
      </c>
      <c r="J40" s="304">
        <f>'1. Back Up Aspal'!P180</f>
        <v>256.5</v>
      </c>
      <c r="K40" s="101">
        <f>'1. Back Up Aspal'!S180</f>
        <v>0</v>
      </c>
      <c r="L40" s="101">
        <f>'1. Back Up Aspal'!V180</f>
        <v>0</v>
      </c>
      <c r="M40" s="99">
        <f>'1. Back Up Aspal'!Y180</f>
        <v>0</v>
      </c>
      <c r="N40" s="99">
        <f>'1. Back Up Aspal'!Z180</f>
        <v>2</v>
      </c>
      <c r="O40" s="141">
        <f>'1. Back Up Aspal'!AC180</f>
        <v>0</v>
      </c>
      <c r="P40" s="101">
        <f>'1. Back Up Aspal'!AD180</f>
        <v>2</v>
      </c>
      <c r="Q40" s="140">
        <f>'1. Back Up Aspal'!AG180</f>
        <v>0</v>
      </c>
      <c r="R40" s="101">
        <f>'1. Back Up Aspal'!AJ180</f>
        <v>0</v>
      </c>
      <c r="S40" s="101">
        <f>'1. Back Up Aspal'!AM180</f>
        <v>0</v>
      </c>
      <c r="T40" s="106"/>
    </row>
    <row r="41" spans="2:20" s="35" customFormat="1" ht="17.100000000000001" customHeight="1">
      <c r="B41" s="270"/>
      <c r="C41" s="49"/>
      <c r="D41" s="49"/>
      <c r="E41" s="259"/>
      <c r="F41" s="260"/>
      <c r="G41" s="259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2"/>
    </row>
    <row r="42" spans="2:20" s="35" customFormat="1" ht="17.100000000000001" customHeight="1">
      <c r="B42" s="270"/>
      <c r="C42" s="49"/>
      <c r="D42" s="49"/>
      <c r="E42" s="259"/>
      <c r="F42" s="260"/>
      <c r="G42" s="259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2"/>
    </row>
    <row r="43" spans="2:20" s="35" customFormat="1" ht="17.100000000000001" customHeight="1">
      <c r="B43" s="270"/>
      <c r="C43" s="49"/>
      <c r="D43" s="49"/>
      <c r="E43" s="259"/>
      <c r="F43" s="260"/>
      <c r="G43" s="259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2"/>
    </row>
    <row r="44" spans="2:20" s="35" customFormat="1" ht="17.100000000000001" customHeight="1">
      <c r="B44" s="270"/>
      <c r="C44" s="49"/>
      <c r="D44" s="49"/>
      <c r="E44" s="259"/>
      <c r="F44" s="260"/>
      <c r="G44" s="259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2"/>
    </row>
    <row r="45" spans="2:20" s="35" customFormat="1" ht="17.100000000000001" customHeight="1">
      <c r="B45" s="270"/>
      <c r="C45" s="49"/>
      <c r="D45" s="49"/>
      <c r="E45" s="259"/>
      <c r="F45" s="260"/>
      <c r="G45" s="259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2"/>
    </row>
    <row r="46" spans="2:20" s="35" customFormat="1" ht="17.100000000000001" customHeight="1">
      <c r="B46" s="270"/>
      <c r="C46" s="49"/>
      <c r="D46" s="49"/>
      <c r="E46" s="259"/>
      <c r="F46" s="260"/>
      <c r="G46" s="259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2"/>
    </row>
    <row r="47" spans="2:20" s="35" customFormat="1" ht="17.100000000000001" customHeight="1">
      <c r="B47" s="270"/>
      <c r="C47" s="49"/>
      <c r="D47" s="49"/>
      <c r="E47" s="259"/>
      <c r="F47" s="260"/>
      <c r="G47" s="259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2"/>
    </row>
    <row r="48" spans="2:20" s="35" customFormat="1" ht="17.100000000000001" customHeight="1">
      <c r="B48" s="270"/>
      <c r="C48" s="49"/>
      <c r="D48" s="49"/>
      <c r="E48" s="259"/>
      <c r="F48" s="260"/>
      <c r="G48" s="259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2"/>
    </row>
    <row r="49" spans="2:20" s="35" customFormat="1" ht="17.100000000000001" customHeight="1">
      <c r="B49" s="270"/>
      <c r="C49" s="49"/>
      <c r="D49" s="49"/>
      <c r="E49" s="259"/>
      <c r="F49" s="260"/>
      <c r="G49" s="259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2"/>
    </row>
    <row r="50" spans="2:20" s="35" customFormat="1" ht="17.100000000000001" customHeight="1">
      <c r="B50" s="270"/>
      <c r="C50" s="49"/>
      <c r="D50" s="49"/>
      <c r="E50" s="259"/>
      <c r="F50" s="260"/>
      <c r="G50" s="259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2"/>
    </row>
    <row r="51" spans="2:20" s="35" customFormat="1" ht="17.100000000000001" customHeight="1">
      <c r="B51" s="270"/>
      <c r="C51" s="49"/>
      <c r="D51" s="49"/>
      <c r="E51" s="259"/>
      <c r="F51" s="260"/>
      <c r="G51" s="259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2"/>
    </row>
    <row r="52" spans="2:20" s="35" customFormat="1" ht="17.100000000000001" customHeight="1">
      <c r="B52" s="270"/>
      <c r="C52" s="49"/>
      <c r="D52" s="49"/>
      <c r="E52" s="259"/>
      <c r="F52" s="260"/>
      <c r="G52" s="259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2"/>
    </row>
    <row r="53" spans="2:20" s="35" customFormat="1" ht="17.100000000000001" customHeight="1">
      <c r="B53" s="270"/>
      <c r="C53" s="49"/>
      <c r="D53" s="49"/>
      <c r="E53" s="259"/>
      <c r="F53" s="260"/>
      <c r="G53" s="259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2"/>
    </row>
    <row r="54" spans="2:20" s="35" customFormat="1" ht="17.100000000000001" customHeight="1">
      <c r="B54" s="270"/>
      <c r="C54" s="49"/>
      <c r="D54" s="49"/>
      <c r="E54" s="259"/>
      <c r="F54" s="260"/>
      <c r="G54" s="259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2"/>
    </row>
    <row r="55" spans="2:20" s="35" customFormat="1" ht="17.100000000000001" customHeight="1">
      <c r="B55" s="270"/>
      <c r="C55" s="49"/>
      <c r="D55" s="49"/>
      <c r="E55" s="259"/>
      <c r="F55" s="260"/>
      <c r="G55" s="259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2"/>
    </row>
    <row r="56" spans="2:20" s="35" customFormat="1" ht="17.100000000000001" customHeight="1">
      <c r="B56" s="270"/>
      <c r="C56" s="49"/>
      <c r="D56" s="49"/>
      <c r="E56" s="259"/>
      <c r="F56" s="260"/>
      <c r="G56" s="259"/>
      <c r="H56" s="261"/>
      <c r="I56" s="261"/>
      <c r="J56" s="261"/>
      <c r="K56" s="261"/>
      <c r="L56" s="261"/>
      <c r="M56" s="261"/>
      <c r="N56" s="261"/>
      <c r="O56" s="261"/>
      <c r="P56" s="261"/>
      <c r="Q56" s="261"/>
      <c r="R56" s="261"/>
      <c r="S56" s="261"/>
      <c r="T56" s="262"/>
    </row>
    <row r="57" spans="2:20" s="35" customFormat="1" ht="17.100000000000001" customHeight="1">
      <c r="B57" s="270"/>
      <c r="C57" s="49"/>
      <c r="D57" s="49"/>
      <c r="E57" s="259"/>
      <c r="F57" s="260"/>
      <c r="G57" s="259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2"/>
    </row>
    <row r="58" spans="2:20" s="35" customFormat="1" ht="17.100000000000001" customHeight="1">
      <c r="B58" s="270"/>
      <c r="C58" s="49"/>
      <c r="D58" s="49"/>
      <c r="E58" s="259"/>
      <c r="F58" s="260"/>
      <c r="G58" s="259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2"/>
    </row>
    <row r="59" spans="2:20" s="35" customFormat="1" ht="17.100000000000001" customHeight="1">
      <c r="B59" s="270"/>
      <c r="C59" s="49"/>
      <c r="D59" s="49"/>
      <c r="E59" s="259"/>
      <c r="F59" s="260"/>
      <c r="G59" s="259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2"/>
    </row>
    <row r="60" spans="2:20" s="35" customFormat="1" ht="17.100000000000001" customHeight="1">
      <c r="B60" s="270"/>
      <c r="C60" s="49"/>
      <c r="D60" s="49"/>
      <c r="E60" s="259"/>
      <c r="F60" s="260"/>
      <c r="G60" s="259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2"/>
    </row>
    <row r="61" spans="2:20" s="35" customFormat="1" ht="17.100000000000001" customHeight="1">
      <c r="B61" s="270"/>
      <c r="C61" s="49"/>
      <c r="D61" s="49"/>
      <c r="E61" s="259"/>
      <c r="F61" s="260"/>
      <c r="G61" s="259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2"/>
    </row>
    <row r="62" spans="2:20" s="35" customFormat="1" ht="17.100000000000001" customHeight="1">
      <c r="B62" s="270"/>
      <c r="C62" s="49"/>
      <c r="D62" s="49"/>
      <c r="E62" s="259"/>
      <c r="F62" s="260"/>
      <c r="G62" s="259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2"/>
    </row>
    <row r="63" spans="2:20" s="35" customFormat="1" ht="17.100000000000001" customHeight="1">
      <c r="B63" s="270"/>
      <c r="C63" s="49"/>
      <c r="D63" s="49"/>
      <c r="E63" s="259"/>
      <c r="F63" s="260"/>
      <c r="G63" s="259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1"/>
      <c r="S63" s="261"/>
      <c r="T63" s="262"/>
    </row>
    <row r="64" spans="2:20" s="35" customFormat="1" ht="17.100000000000001" customHeight="1">
      <c r="B64" s="270"/>
      <c r="C64" s="49"/>
      <c r="D64" s="49"/>
      <c r="E64" s="259"/>
      <c r="F64" s="260"/>
      <c r="G64" s="259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1"/>
      <c r="S64" s="261"/>
      <c r="T64" s="262"/>
    </row>
    <row r="65" spans="2:20" s="35" customFormat="1" ht="17.100000000000001" customHeight="1">
      <c r="B65" s="270"/>
      <c r="C65" s="49"/>
      <c r="D65" s="49"/>
      <c r="E65" s="259"/>
      <c r="F65" s="260"/>
      <c r="G65" s="259"/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2"/>
    </row>
    <row r="66" spans="2:20" s="35" customFormat="1" ht="17.100000000000001" customHeight="1">
      <c r="B66" s="270"/>
      <c r="C66" s="49"/>
      <c r="D66" s="49"/>
      <c r="E66" s="259"/>
      <c r="F66" s="260"/>
      <c r="G66" s="259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1"/>
      <c r="S66" s="261"/>
      <c r="T66" s="262"/>
    </row>
    <row r="67" spans="2:20" s="35" customFormat="1" ht="17.100000000000001" customHeight="1">
      <c r="B67" s="270"/>
      <c r="C67" s="49"/>
      <c r="D67" s="49"/>
      <c r="E67" s="259"/>
      <c r="F67" s="260"/>
      <c r="G67" s="259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2"/>
    </row>
    <row r="68" spans="2:20" s="35" customFormat="1" ht="17.100000000000001" customHeight="1">
      <c r="B68" s="270"/>
      <c r="C68" s="49"/>
      <c r="D68" s="49"/>
      <c r="E68" s="259"/>
      <c r="F68" s="260"/>
      <c r="G68" s="259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2"/>
    </row>
    <row r="69" spans="2:20" s="35" customFormat="1" ht="17.100000000000001" customHeight="1">
      <c r="B69" s="270"/>
      <c r="C69" s="49"/>
      <c r="D69" s="49"/>
      <c r="E69" s="259"/>
      <c r="F69" s="260"/>
      <c r="G69" s="259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2"/>
    </row>
    <row r="70" spans="2:20" s="35" customFormat="1" ht="17.100000000000001" customHeight="1">
      <c r="B70" s="270"/>
      <c r="C70" s="49"/>
      <c r="D70" s="49"/>
      <c r="E70" s="259"/>
      <c r="F70" s="260"/>
      <c r="G70" s="259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2"/>
    </row>
    <row r="71" spans="2:20" s="35" customFormat="1" ht="17.100000000000001" customHeight="1">
      <c r="B71" s="270"/>
      <c r="C71" s="49"/>
      <c r="D71" s="49"/>
      <c r="E71" s="259"/>
      <c r="F71" s="260"/>
      <c r="G71" s="259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2"/>
    </row>
    <row r="72" spans="2:20" s="35" customFormat="1" ht="17.100000000000001" customHeight="1">
      <c r="B72" s="270"/>
      <c r="C72" s="49"/>
      <c r="D72" s="49"/>
      <c r="E72" s="259"/>
      <c r="F72" s="260"/>
      <c r="G72" s="259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2"/>
    </row>
    <row r="73" spans="2:20" s="35" customFormat="1" ht="17.100000000000001" customHeight="1">
      <c r="B73" s="270"/>
      <c r="C73" s="49"/>
      <c r="D73" s="49"/>
      <c r="E73" s="259"/>
      <c r="F73" s="260"/>
      <c r="G73" s="259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2"/>
    </row>
    <row r="74" spans="2:20" s="35" customFormat="1" ht="17.100000000000001" customHeight="1">
      <c r="B74" s="270"/>
      <c r="C74" s="49"/>
      <c r="D74" s="49"/>
      <c r="E74" s="259"/>
      <c r="F74" s="260"/>
      <c r="G74" s="259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2"/>
    </row>
    <row r="75" spans="2:20" s="35" customFormat="1" ht="17.100000000000001" customHeight="1">
      <c r="B75" s="270"/>
      <c r="C75" s="49"/>
      <c r="D75" s="49"/>
      <c r="E75" s="259"/>
      <c r="F75" s="260"/>
      <c r="G75" s="259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2"/>
    </row>
    <row r="76" spans="2:20" s="35" customFormat="1" ht="17.100000000000001" customHeight="1">
      <c r="B76" s="270"/>
      <c r="C76" s="49"/>
      <c r="D76" s="49"/>
      <c r="E76" s="259"/>
      <c r="F76" s="260"/>
      <c r="G76" s="259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2"/>
    </row>
    <row r="77" spans="2:20" s="35" customFormat="1" ht="17.100000000000001" customHeight="1">
      <c r="B77" s="270"/>
      <c r="C77" s="49"/>
      <c r="D77" s="49"/>
      <c r="E77" s="259"/>
      <c r="F77" s="260"/>
      <c r="G77" s="259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2"/>
    </row>
    <row r="78" spans="2:20" s="35" customFormat="1" ht="17.100000000000001" customHeight="1">
      <c r="B78" s="270"/>
      <c r="C78" s="49"/>
      <c r="D78" s="49"/>
      <c r="E78" s="259"/>
      <c r="F78" s="260"/>
      <c r="G78" s="259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2"/>
    </row>
    <row r="79" spans="2:20" s="35" customFormat="1" ht="17.100000000000001" customHeight="1">
      <c r="B79" s="270"/>
      <c r="C79" s="49"/>
      <c r="D79" s="49"/>
      <c r="E79" s="259"/>
      <c r="F79" s="260"/>
      <c r="G79" s="259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2"/>
    </row>
    <row r="80" spans="2:20" s="35" customFormat="1" ht="17.100000000000001" customHeight="1">
      <c r="B80" s="270"/>
      <c r="C80" s="49"/>
      <c r="D80" s="49"/>
      <c r="E80" s="259"/>
      <c r="F80" s="260"/>
      <c r="G80" s="259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2"/>
    </row>
    <row r="81" spans="2:20" s="35" customFormat="1" ht="17.100000000000001" customHeight="1">
      <c r="B81" s="270"/>
      <c r="C81" s="49"/>
      <c r="D81" s="49"/>
      <c r="E81" s="259"/>
      <c r="F81" s="260"/>
      <c r="G81" s="259"/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2"/>
    </row>
    <row r="82" spans="2:20" s="35" customFormat="1" ht="17.100000000000001" customHeight="1">
      <c r="B82" s="270"/>
      <c r="C82" s="49"/>
      <c r="D82" s="49"/>
      <c r="E82" s="259"/>
      <c r="F82" s="260"/>
      <c r="G82" s="259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2"/>
    </row>
    <row r="83" spans="2:20" s="35" customFormat="1" ht="17.100000000000001" customHeight="1">
      <c r="B83" s="270"/>
      <c r="C83" s="49"/>
      <c r="D83" s="49"/>
      <c r="E83" s="259"/>
      <c r="F83" s="260"/>
      <c r="G83" s="259"/>
      <c r="H83" s="261"/>
      <c r="I83" s="261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2"/>
    </row>
    <row r="84" spans="2:20" s="35" customFormat="1" ht="17.100000000000001" customHeight="1">
      <c r="B84" s="270"/>
      <c r="C84" s="49"/>
      <c r="D84" s="49"/>
      <c r="E84" s="259"/>
      <c r="F84" s="260"/>
      <c r="G84" s="259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2"/>
    </row>
    <row r="85" spans="2:20" s="35" customFormat="1" ht="17.100000000000001" customHeight="1">
      <c r="B85" s="270"/>
      <c r="C85" s="49"/>
      <c r="D85" s="49"/>
      <c r="E85" s="259"/>
      <c r="F85" s="260"/>
      <c r="G85" s="259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2"/>
    </row>
    <row r="86" spans="2:20" s="35" customFormat="1" ht="17.100000000000001" customHeight="1">
      <c r="B86" s="270"/>
      <c r="C86" s="49"/>
      <c r="D86" s="49"/>
      <c r="E86" s="259"/>
      <c r="F86" s="260"/>
      <c r="G86" s="259"/>
      <c r="H86" s="261"/>
      <c r="I86" s="261"/>
      <c r="J86" s="261"/>
      <c r="K86" s="261"/>
      <c r="L86" s="261"/>
      <c r="M86" s="261"/>
      <c r="N86" s="261"/>
      <c r="O86" s="261"/>
      <c r="P86" s="261"/>
      <c r="Q86" s="261"/>
      <c r="R86" s="261"/>
      <c r="S86" s="261"/>
      <c r="T86" s="262"/>
    </row>
    <row r="87" spans="2:20" s="35" customFormat="1" ht="17.100000000000001" customHeight="1">
      <c r="B87" s="270"/>
      <c r="C87" s="49"/>
      <c r="D87" s="49"/>
      <c r="E87" s="259"/>
      <c r="F87" s="260"/>
      <c r="G87" s="259"/>
      <c r="H87" s="261"/>
      <c r="I87" s="261"/>
      <c r="J87" s="261"/>
      <c r="K87" s="261"/>
      <c r="L87" s="261"/>
      <c r="M87" s="261"/>
      <c r="N87" s="261"/>
      <c r="O87" s="261"/>
      <c r="P87" s="261"/>
      <c r="Q87" s="261"/>
      <c r="R87" s="261"/>
      <c r="S87" s="261"/>
      <c r="T87" s="262"/>
    </row>
    <row r="88" spans="2:20" s="35" customFormat="1" ht="17.100000000000001" customHeight="1">
      <c r="B88" s="270"/>
      <c r="C88" s="49"/>
      <c r="D88" s="49"/>
      <c r="E88" s="259"/>
      <c r="F88" s="260"/>
      <c r="G88" s="259"/>
      <c r="H88" s="261"/>
      <c r="I88" s="261"/>
      <c r="J88" s="261"/>
      <c r="K88" s="261"/>
      <c r="L88" s="261"/>
      <c r="M88" s="261"/>
      <c r="N88" s="261"/>
      <c r="O88" s="261"/>
      <c r="P88" s="261"/>
      <c r="Q88" s="261"/>
      <c r="R88" s="261"/>
      <c r="S88" s="261"/>
      <c r="T88" s="262"/>
    </row>
    <row r="89" spans="2:20" s="35" customFormat="1" ht="17.100000000000001" customHeight="1">
      <c r="B89" s="270"/>
      <c r="C89" s="49"/>
      <c r="D89" s="49"/>
      <c r="E89" s="259"/>
      <c r="F89" s="260"/>
      <c r="G89" s="259"/>
      <c r="H89" s="261"/>
      <c r="I89" s="261"/>
      <c r="J89" s="261"/>
      <c r="K89" s="261"/>
      <c r="L89" s="261"/>
      <c r="M89" s="261"/>
      <c r="N89" s="261"/>
      <c r="O89" s="261"/>
      <c r="P89" s="261"/>
      <c r="Q89" s="261"/>
      <c r="R89" s="261"/>
      <c r="S89" s="261"/>
      <c r="T89" s="262"/>
    </row>
    <row r="90" spans="2:20" s="35" customFormat="1" ht="17.100000000000001" customHeight="1">
      <c r="B90" s="270"/>
      <c r="C90" s="49"/>
      <c r="D90" s="49"/>
      <c r="E90" s="259"/>
      <c r="F90" s="260"/>
      <c r="G90" s="259"/>
      <c r="H90" s="261"/>
      <c r="I90" s="261"/>
      <c r="J90" s="261"/>
      <c r="K90" s="261"/>
      <c r="L90" s="261"/>
      <c r="M90" s="261"/>
      <c r="N90" s="261"/>
      <c r="O90" s="261"/>
      <c r="P90" s="261"/>
      <c r="Q90" s="261"/>
      <c r="R90" s="261"/>
      <c r="S90" s="261"/>
      <c r="T90" s="262"/>
    </row>
    <row r="91" spans="2:20" s="35" customFormat="1" ht="17.100000000000001" customHeight="1">
      <c r="B91" s="270"/>
      <c r="C91" s="49"/>
      <c r="D91" s="49"/>
      <c r="E91" s="259"/>
      <c r="F91" s="260"/>
      <c r="G91" s="259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2"/>
    </row>
    <row r="92" spans="2:20" s="35" customFormat="1" ht="17.100000000000001" customHeight="1">
      <c r="B92" s="270"/>
      <c r="C92" s="49"/>
      <c r="D92" s="49"/>
      <c r="E92" s="259"/>
      <c r="F92" s="260"/>
      <c r="G92" s="259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2"/>
    </row>
    <row r="93" spans="2:20" s="35" customFormat="1" ht="17.100000000000001" customHeight="1">
      <c r="B93" s="270"/>
      <c r="C93" s="49"/>
      <c r="D93" s="49"/>
      <c r="E93" s="259"/>
      <c r="F93" s="260"/>
      <c r="G93" s="259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2"/>
    </row>
    <row r="94" spans="2:20" s="35" customFormat="1" ht="17.100000000000001" customHeight="1">
      <c r="B94" s="270"/>
      <c r="C94" s="49"/>
      <c r="D94" s="49"/>
      <c r="E94" s="259"/>
      <c r="F94" s="260"/>
      <c r="G94" s="259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2"/>
    </row>
    <row r="95" spans="2:20" s="35" customFormat="1" ht="17.100000000000001" customHeight="1">
      <c r="B95" s="270"/>
      <c r="C95" s="49"/>
      <c r="D95" s="49"/>
      <c r="E95" s="259"/>
      <c r="F95" s="260"/>
      <c r="G95" s="259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261"/>
      <c r="S95" s="261"/>
      <c r="T95" s="262"/>
    </row>
    <row r="96" spans="2:20" s="35" customFormat="1" ht="17.100000000000001" customHeight="1">
      <c r="B96" s="270"/>
      <c r="C96" s="49"/>
      <c r="D96" s="49"/>
      <c r="E96" s="259"/>
      <c r="F96" s="260"/>
      <c r="G96" s="259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261"/>
      <c r="S96" s="261"/>
      <c r="T96" s="262"/>
    </row>
    <row r="97" spans="2:20" s="35" customFormat="1" ht="17.100000000000001" customHeight="1" thickBot="1">
      <c r="B97" s="271"/>
      <c r="C97" s="272"/>
      <c r="D97" s="272"/>
      <c r="E97" s="273"/>
      <c r="F97" s="274"/>
      <c r="G97" s="273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6"/>
    </row>
    <row r="98" spans="2:20" s="57" customFormat="1" ht="10.199999999999999" customHeight="1" thickBot="1">
      <c r="B98" s="59"/>
      <c r="C98" s="60"/>
      <c r="D98" s="60"/>
      <c r="E98" s="60"/>
      <c r="F98" s="60"/>
      <c r="G98" s="60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61"/>
      <c r="T98" s="64"/>
    </row>
    <row r="99" spans="2:20" s="57" customFormat="1" ht="5.25" customHeight="1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2:20" s="57" customFormat="1" ht="12" customHeight="1">
      <c r="B100" s="65" t="s">
        <v>39</v>
      </c>
      <c r="C100" s="14"/>
      <c r="D100" s="14"/>
      <c r="E100" s="14"/>
      <c r="F100" s="14"/>
      <c r="G100" s="14"/>
      <c r="T100" s="66"/>
    </row>
    <row r="101" spans="2:20" s="57" customFormat="1" ht="3" customHeight="1">
      <c r="B101" s="65"/>
      <c r="C101" s="14"/>
      <c r="D101" s="14"/>
      <c r="E101" s="14"/>
      <c r="F101" s="14"/>
      <c r="G101" s="14"/>
      <c r="T101" s="66"/>
    </row>
    <row r="102" spans="2:20" s="57" customFormat="1" ht="15" customHeight="1">
      <c r="B102" s="65" t="s">
        <v>41</v>
      </c>
      <c r="D102" s="14"/>
      <c r="E102" s="14"/>
      <c r="F102" s="14"/>
      <c r="G102" s="14"/>
      <c r="H102" s="57" t="s">
        <v>179</v>
      </c>
      <c r="T102" s="14"/>
    </row>
    <row r="103" spans="2:20" s="67" customFormat="1" ht="15" customHeight="1">
      <c r="B103" s="68" t="s">
        <v>42</v>
      </c>
      <c r="C103" s="69" t="s">
        <v>43</v>
      </c>
      <c r="D103" s="70"/>
      <c r="E103" s="70"/>
      <c r="F103" s="70"/>
      <c r="G103" s="70"/>
      <c r="H103" s="70">
        <v>1</v>
      </c>
      <c r="T103" s="69"/>
    </row>
    <row r="104" spans="2:20" s="67" customFormat="1" ht="15" customHeight="1">
      <c r="B104" s="68" t="s">
        <v>44</v>
      </c>
      <c r="C104" s="69" t="s">
        <v>45</v>
      </c>
      <c r="D104" s="70"/>
      <c r="E104" s="70"/>
      <c r="F104" s="70"/>
      <c r="G104" s="70"/>
      <c r="H104" s="70">
        <v>2</v>
      </c>
      <c r="T104" s="69"/>
    </row>
    <row r="105" spans="2:20" s="67" customFormat="1" ht="15" customHeight="1">
      <c r="B105" s="68" t="s">
        <v>46</v>
      </c>
      <c r="C105" s="69" t="s">
        <v>47</v>
      </c>
      <c r="D105" s="70"/>
      <c r="E105" s="70"/>
      <c r="F105" s="70"/>
      <c r="G105" s="70"/>
      <c r="H105" s="70">
        <v>3</v>
      </c>
      <c r="T105" s="69"/>
    </row>
    <row r="106" spans="2:20" s="67" customFormat="1" ht="15" customHeight="1">
      <c r="B106" s="68" t="s">
        <v>48</v>
      </c>
      <c r="C106" s="69" t="s">
        <v>49</v>
      </c>
      <c r="D106" s="70"/>
      <c r="E106" s="70"/>
      <c r="F106" s="70"/>
      <c r="G106" s="70"/>
      <c r="H106" s="70">
        <v>4</v>
      </c>
      <c r="T106" s="69"/>
    </row>
    <row r="107" spans="2:20" s="67" customFormat="1" ht="15" customHeight="1">
      <c r="B107" s="68" t="s">
        <v>50</v>
      </c>
      <c r="C107" s="69" t="s">
        <v>51</v>
      </c>
      <c r="D107" s="70"/>
      <c r="E107" s="70"/>
      <c r="F107" s="70"/>
      <c r="G107" s="70"/>
      <c r="T107" s="68"/>
    </row>
    <row r="108" spans="2:20" s="67" customFormat="1" ht="15" customHeight="1">
      <c r="B108" s="68" t="s">
        <v>52</v>
      </c>
      <c r="C108" s="69" t="s">
        <v>53</v>
      </c>
      <c r="D108" s="70"/>
      <c r="E108" s="70"/>
      <c r="F108" s="70"/>
      <c r="G108" s="70"/>
      <c r="H108" s="67" t="s">
        <v>185</v>
      </c>
    </row>
    <row r="109" spans="2:20" s="67" customFormat="1" ht="15" customHeight="1">
      <c r="B109" s="68" t="s">
        <v>54</v>
      </c>
      <c r="C109" s="69" t="s">
        <v>55</v>
      </c>
      <c r="D109" s="70"/>
      <c r="E109" s="70"/>
      <c r="F109" s="70"/>
      <c r="G109" s="70"/>
      <c r="H109" s="70">
        <v>1</v>
      </c>
      <c r="T109" s="69"/>
    </row>
    <row r="110" spans="2:20" s="67" customFormat="1" ht="15" customHeight="1">
      <c r="B110" s="68" t="s">
        <v>56</v>
      </c>
      <c r="C110" s="69" t="s">
        <v>57</v>
      </c>
      <c r="D110" s="70"/>
      <c r="E110" s="70"/>
      <c r="F110" s="70"/>
      <c r="G110" s="70"/>
      <c r="H110" s="70">
        <v>2</v>
      </c>
      <c r="T110" s="69"/>
    </row>
    <row r="111" spans="2:20" s="71" customFormat="1" ht="15" customHeight="1">
      <c r="B111" s="68" t="s">
        <v>58</v>
      </c>
      <c r="C111" s="69" t="s">
        <v>59</v>
      </c>
      <c r="D111" s="70"/>
      <c r="E111" s="70"/>
      <c r="F111" s="70"/>
      <c r="G111" s="70"/>
      <c r="H111" s="70">
        <v>3</v>
      </c>
    </row>
    <row r="112" spans="2:20" s="72" customFormat="1" ht="15" customHeight="1">
      <c r="B112" s="68" t="s">
        <v>60</v>
      </c>
      <c r="C112" s="69" t="s">
        <v>61</v>
      </c>
      <c r="D112" s="70"/>
      <c r="E112" s="70"/>
      <c r="F112" s="70"/>
      <c r="G112" s="70"/>
      <c r="H112" s="70">
        <v>4</v>
      </c>
      <c r="T112" s="73"/>
    </row>
    <row r="113" spans="2:8" ht="10.199999999999999" customHeight="1">
      <c r="B113" s="68"/>
      <c r="C113" s="70"/>
      <c r="D113" s="70"/>
      <c r="E113" s="70"/>
      <c r="F113" s="70"/>
      <c r="G113" s="70"/>
    </row>
    <row r="114" spans="2:8">
      <c r="B114" s="65" t="s">
        <v>62</v>
      </c>
      <c r="D114" s="70"/>
      <c r="E114" s="70"/>
      <c r="F114" s="70"/>
      <c r="G114" s="70"/>
      <c r="H114" s="1" t="s">
        <v>189</v>
      </c>
    </row>
    <row r="115" spans="2:8">
      <c r="B115" s="68" t="s">
        <v>42</v>
      </c>
      <c r="C115" s="74" t="s">
        <v>63</v>
      </c>
      <c r="D115" s="70"/>
      <c r="E115" s="70"/>
      <c r="F115" s="70"/>
      <c r="G115" s="70"/>
      <c r="H115" s="70">
        <v>1</v>
      </c>
    </row>
    <row r="116" spans="2:8">
      <c r="B116" s="68" t="s">
        <v>44</v>
      </c>
      <c r="C116" s="74" t="s">
        <v>64</v>
      </c>
      <c r="D116" s="70"/>
      <c r="E116" s="70"/>
      <c r="F116" s="70"/>
      <c r="G116" s="70"/>
      <c r="H116" s="70">
        <v>2</v>
      </c>
    </row>
    <row r="117" spans="2:8">
      <c r="B117" s="68" t="s">
        <v>46</v>
      </c>
      <c r="C117" s="74" t="s">
        <v>65</v>
      </c>
      <c r="D117" s="75"/>
      <c r="E117" s="75"/>
      <c r="F117" s="75"/>
      <c r="G117" s="75"/>
      <c r="H117" s="70">
        <v>3</v>
      </c>
    </row>
    <row r="118" spans="2:8">
      <c r="B118" s="77" t="s">
        <v>66</v>
      </c>
      <c r="C118" s="74" t="s">
        <v>67</v>
      </c>
      <c r="H118" s="70">
        <v>4</v>
      </c>
    </row>
    <row r="119" spans="2:8">
      <c r="B119" s="77" t="s">
        <v>50</v>
      </c>
      <c r="C119" s="74" t="s">
        <v>68</v>
      </c>
      <c r="H119" s="2">
        <v>5</v>
      </c>
    </row>
    <row r="120" spans="2:8">
      <c r="B120" s="77" t="s">
        <v>52</v>
      </c>
      <c r="C120" s="74" t="s">
        <v>69</v>
      </c>
    </row>
    <row r="121" spans="2:8" ht="10.199999999999999" customHeight="1">
      <c r="B121" s="68"/>
      <c r="C121" s="70"/>
      <c r="D121" s="70"/>
      <c r="E121" s="70"/>
      <c r="F121" s="70"/>
      <c r="G121" s="70"/>
    </row>
    <row r="122" spans="2:8">
      <c r="B122" s="65" t="s">
        <v>70</v>
      </c>
    </row>
    <row r="123" spans="2:8">
      <c r="B123" s="68" t="s">
        <v>42</v>
      </c>
      <c r="C123" s="78" t="s">
        <v>43</v>
      </c>
    </row>
    <row r="124" spans="2:8">
      <c r="B124" s="68" t="s">
        <v>44</v>
      </c>
      <c r="C124" s="78" t="s">
        <v>71</v>
      </c>
    </row>
    <row r="125" spans="2:8">
      <c r="B125" s="68" t="s">
        <v>46</v>
      </c>
      <c r="C125" s="78" t="s">
        <v>72</v>
      </c>
    </row>
    <row r="126" spans="2:8">
      <c r="B126" s="68" t="s">
        <v>48</v>
      </c>
      <c r="C126" s="78" t="s">
        <v>73</v>
      </c>
    </row>
    <row r="127" spans="2:8">
      <c r="B127" s="68" t="s">
        <v>50</v>
      </c>
      <c r="C127" s="78" t="s">
        <v>74</v>
      </c>
    </row>
    <row r="128" spans="2:8">
      <c r="B128" s="68" t="s">
        <v>52</v>
      </c>
      <c r="C128" s="78" t="s">
        <v>75</v>
      </c>
    </row>
    <row r="129" spans="2:19">
      <c r="B129" s="68" t="s">
        <v>54</v>
      </c>
      <c r="C129" s="78" t="s">
        <v>76</v>
      </c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</row>
    <row r="130" spans="2:19">
      <c r="B130" s="68" t="s">
        <v>56</v>
      </c>
      <c r="C130" s="78" t="s">
        <v>77</v>
      </c>
    </row>
    <row r="132" spans="2:19">
      <c r="B132" s="65" t="s">
        <v>161</v>
      </c>
    </row>
    <row r="133" spans="2:19">
      <c r="B133" s="68" t="s">
        <v>42</v>
      </c>
      <c r="C133" s="78" t="s">
        <v>162</v>
      </c>
    </row>
    <row r="134" spans="2:19">
      <c r="B134" s="68" t="s">
        <v>44</v>
      </c>
      <c r="C134" s="78" t="s">
        <v>163</v>
      </c>
    </row>
    <row r="135" spans="2:19">
      <c r="B135" s="68" t="s">
        <v>46</v>
      </c>
      <c r="C135" s="78" t="s">
        <v>164</v>
      </c>
    </row>
    <row r="136" spans="2:19">
      <c r="B136" s="68" t="s">
        <v>48</v>
      </c>
      <c r="C136" s="78" t="s">
        <v>165</v>
      </c>
    </row>
    <row r="137" spans="2:19">
      <c r="B137" s="68" t="s">
        <v>50</v>
      </c>
      <c r="C137" s="78" t="s">
        <v>166</v>
      </c>
    </row>
    <row r="138" spans="2:19">
      <c r="B138" s="68" t="s">
        <v>52</v>
      </c>
      <c r="C138" s="78" t="s">
        <v>167</v>
      </c>
    </row>
    <row r="139" spans="2:19">
      <c r="B139" s="68" t="s">
        <v>54</v>
      </c>
      <c r="C139" s="78" t="s">
        <v>168</v>
      </c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</row>
  </sheetData>
  <mergeCells count="9">
    <mergeCell ref="T18:T19"/>
    <mergeCell ref="B20:G20"/>
    <mergeCell ref="B6:T6"/>
    <mergeCell ref="M20:N20"/>
    <mergeCell ref="O20:P20"/>
    <mergeCell ref="C18:E18"/>
    <mergeCell ref="F18:F19"/>
    <mergeCell ref="G18:G19"/>
    <mergeCell ref="H18:S18"/>
  </mergeCells>
  <conditionalFormatting sqref="G21:G23 G25:G36 G41:G97">
    <cfRule type="cellIs" dxfId="175" priority="17" stopIfTrue="1" operator="equal">
      <formula>"RB"</formula>
    </cfRule>
    <cfRule type="cellIs" dxfId="174" priority="18" stopIfTrue="1" operator="equal">
      <formula>"RR"</formula>
    </cfRule>
    <cfRule type="cellIs" dxfId="173" priority="19" stopIfTrue="1" operator="equal">
      <formula>"B"</formula>
    </cfRule>
    <cfRule type="cellIs" dxfId="172" priority="20" stopIfTrue="1" operator="equal">
      <formula>"S"</formula>
    </cfRule>
  </conditionalFormatting>
  <conditionalFormatting sqref="G24">
    <cfRule type="cellIs" dxfId="171" priority="13" stopIfTrue="1" operator="equal">
      <formula>"RB"</formula>
    </cfRule>
    <cfRule type="cellIs" dxfId="170" priority="14" stopIfTrue="1" operator="equal">
      <formula>"RR"</formula>
    </cfRule>
    <cfRule type="cellIs" dxfId="169" priority="15" stopIfTrue="1" operator="equal">
      <formula>"B"</formula>
    </cfRule>
    <cfRule type="cellIs" dxfId="168" priority="16" stopIfTrue="1" operator="equal">
      <formula>"S"</formula>
    </cfRule>
  </conditionalFormatting>
  <conditionalFormatting sqref="G37:G38">
    <cfRule type="cellIs" dxfId="167" priority="9" stopIfTrue="1" operator="equal">
      <formula>"RB"</formula>
    </cfRule>
    <cfRule type="cellIs" dxfId="166" priority="10" stopIfTrue="1" operator="equal">
      <formula>"RR"</formula>
    </cfRule>
    <cfRule type="cellIs" dxfId="165" priority="11" stopIfTrue="1" operator="equal">
      <formula>"B"</formula>
    </cfRule>
    <cfRule type="cellIs" dxfId="164" priority="12" stopIfTrue="1" operator="equal">
      <formula>"S"</formula>
    </cfRule>
  </conditionalFormatting>
  <conditionalFormatting sqref="G39">
    <cfRule type="cellIs" dxfId="163" priority="5" stopIfTrue="1" operator="equal">
      <formula>"RB"</formula>
    </cfRule>
    <cfRule type="cellIs" dxfId="162" priority="6" stopIfTrue="1" operator="equal">
      <formula>"RR"</formula>
    </cfRule>
    <cfRule type="cellIs" dxfId="161" priority="7" stopIfTrue="1" operator="equal">
      <formula>"B"</formula>
    </cfRule>
    <cfRule type="cellIs" dxfId="160" priority="8" stopIfTrue="1" operator="equal">
      <formula>"S"</formula>
    </cfRule>
  </conditionalFormatting>
  <conditionalFormatting sqref="G40">
    <cfRule type="cellIs" dxfId="159" priority="1" stopIfTrue="1" operator="equal">
      <formula>"RB"</formula>
    </cfRule>
    <cfRule type="cellIs" dxfId="158" priority="2" stopIfTrue="1" operator="equal">
      <formula>"RR"</formula>
    </cfRule>
    <cfRule type="cellIs" dxfId="157" priority="3" stopIfTrue="1" operator="equal">
      <formula>"B"</formula>
    </cfRule>
    <cfRule type="cellIs" dxfId="156" priority="4" stopIfTrue="1" operator="equal">
      <formula>"S"</formula>
    </cfRule>
  </conditionalFormatting>
  <printOptions horizontalCentered="1"/>
  <pageMargins left="0.47244094488188981" right="0.27559055118110237" top="0.47244094488188981" bottom="0.31496062992125984" header="0.31496062992125984" footer="0.31496062992125984"/>
  <pageSetup paperSize="9" scale="5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O230"/>
  <sheetViews>
    <sheetView view="pageBreakPreview" topLeftCell="A162" zoomScaleNormal="100" zoomScaleSheetLayoutView="100" workbookViewId="0">
      <selection activeCell="J140" sqref="J140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7" width="7.6640625" style="2" customWidth="1"/>
    <col min="8" max="9" width="5.6640625" style="1" customWidth="1"/>
    <col min="10" max="10" width="10.6640625" style="1" customWidth="1"/>
    <col min="11" max="12" width="5.6640625" style="1" customWidth="1"/>
    <col min="13" max="13" width="10.6640625" style="1" customWidth="1"/>
    <col min="14" max="15" width="5.6640625" style="1" customWidth="1"/>
    <col min="16" max="16" width="10.6640625" style="1" customWidth="1"/>
    <col min="17" max="18" width="5.6640625" style="1" customWidth="1"/>
    <col min="19" max="19" width="10.6640625" style="1" customWidth="1"/>
    <col min="20" max="21" width="5.6640625" style="1" customWidth="1"/>
    <col min="22" max="22" width="10.6640625" style="1" customWidth="1"/>
    <col min="23" max="24" width="5.6640625" style="1" customWidth="1"/>
    <col min="25" max="26" width="10.6640625" style="1" customWidth="1"/>
    <col min="27" max="28" width="5.6640625" style="1" customWidth="1"/>
    <col min="29" max="30" width="10.6640625" style="1" customWidth="1"/>
    <col min="31" max="32" width="5.6640625" style="1" customWidth="1"/>
    <col min="33" max="33" width="10.6640625" style="1" customWidth="1"/>
    <col min="34" max="35" width="5.6640625" style="1" customWidth="1"/>
    <col min="36" max="36" width="10.6640625" style="1" customWidth="1"/>
    <col min="37" max="38" width="5.6640625" style="1" customWidth="1"/>
    <col min="39" max="39" width="10.6640625" style="1" customWidth="1"/>
    <col min="40" max="40" width="5.6640625" style="1" customWidth="1"/>
    <col min="41" max="41" width="1" style="4" customWidth="1"/>
    <col min="42" max="274" width="8.88671875" style="4"/>
    <col min="275" max="275" width="7.5546875" style="4" customWidth="1"/>
    <col min="276" max="276" width="7.33203125" style="4" customWidth="1"/>
    <col min="277" max="277" width="9.6640625" style="4" customWidth="1"/>
    <col min="278" max="279" width="6.6640625" style="4" customWidth="1"/>
    <col min="280" max="289" width="6.33203125" style="4" customWidth="1"/>
    <col min="290" max="290" width="9.109375" style="4" customWidth="1"/>
    <col min="291" max="296" width="7.6640625" style="4" customWidth="1"/>
    <col min="297" max="297" width="1.88671875" style="4" customWidth="1"/>
    <col min="298" max="530" width="8.88671875" style="4"/>
    <col min="531" max="531" width="7.5546875" style="4" customWidth="1"/>
    <col min="532" max="532" width="7.33203125" style="4" customWidth="1"/>
    <col min="533" max="533" width="9.6640625" style="4" customWidth="1"/>
    <col min="534" max="535" width="6.6640625" style="4" customWidth="1"/>
    <col min="536" max="545" width="6.33203125" style="4" customWidth="1"/>
    <col min="546" max="546" width="9.109375" style="4" customWidth="1"/>
    <col min="547" max="552" width="7.6640625" style="4" customWidth="1"/>
    <col min="553" max="553" width="1.88671875" style="4" customWidth="1"/>
    <col min="554" max="786" width="8.88671875" style="4"/>
    <col min="787" max="787" width="7.5546875" style="4" customWidth="1"/>
    <col min="788" max="788" width="7.33203125" style="4" customWidth="1"/>
    <col min="789" max="789" width="9.6640625" style="4" customWidth="1"/>
    <col min="790" max="791" width="6.6640625" style="4" customWidth="1"/>
    <col min="792" max="801" width="6.33203125" style="4" customWidth="1"/>
    <col min="802" max="802" width="9.109375" style="4" customWidth="1"/>
    <col min="803" max="808" width="7.6640625" style="4" customWidth="1"/>
    <col min="809" max="809" width="1.88671875" style="4" customWidth="1"/>
    <col min="810" max="1042" width="8.88671875" style="4"/>
    <col min="1043" max="1043" width="7.5546875" style="4" customWidth="1"/>
    <col min="1044" max="1044" width="7.33203125" style="4" customWidth="1"/>
    <col min="1045" max="1045" width="9.6640625" style="4" customWidth="1"/>
    <col min="1046" max="1047" width="6.6640625" style="4" customWidth="1"/>
    <col min="1048" max="1057" width="6.33203125" style="4" customWidth="1"/>
    <col min="1058" max="1058" width="9.109375" style="4" customWidth="1"/>
    <col min="1059" max="1064" width="7.6640625" style="4" customWidth="1"/>
    <col min="1065" max="1065" width="1.88671875" style="4" customWidth="1"/>
    <col min="1066" max="1298" width="8.88671875" style="4"/>
    <col min="1299" max="1299" width="7.5546875" style="4" customWidth="1"/>
    <col min="1300" max="1300" width="7.33203125" style="4" customWidth="1"/>
    <col min="1301" max="1301" width="9.6640625" style="4" customWidth="1"/>
    <col min="1302" max="1303" width="6.6640625" style="4" customWidth="1"/>
    <col min="1304" max="1313" width="6.33203125" style="4" customWidth="1"/>
    <col min="1314" max="1314" width="9.109375" style="4" customWidth="1"/>
    <col min="1315" max="1320" width="7.6640625" style="4" customWidth="1"/>
    <col min="1321" max="1321" width="1.88671875" style="4" customWidth="1"/>
    <col min="1322" max="1554" width="8.88671875" style="4"/>
    <col min="1555" max="1555" width="7.5546875" style="4" customWidth="1"/>
    <col min="1556" max="1556" width="7.33203125" style="4" customWidth="1"/>
    <col min="1557" max="1557" width="9.6640625" style="4" customWidth="1"/>
    <col min="1558" max="1559" width="6.6640625" style="4" customWidth="1"/>
    <col min="1560" max="1569" width="6.33203125" style="4" customWidth="1"/>
    <col min="1570" max="1570" width="9.109375" style="4" customWidth="1"/>
    <col min="1571" max="1576" width="7.6640625" style="4" customWidth="1"/>
    <col min="1577" max="1577" width="1.88671875" style="4" customWidth="1"/>
    <col min="1578" max="1810" width="8.88671875" style="4"/>
    <col min="1811" max="1811" width="7.5546875" style="4" customWidth="1"/>
    <col min="1812" max="1812" width="7.33203125" style="4" customWidth="1"/>
    <col min="1813" max="1813" width="9.6640625" style="4" customWidth="1"/>
    <col min="1814" max="1815" width="6.6640625" style="4" customWidth="1"/>
    <col min="1816" max="1825" width="6.33203125" style="4" customWidth="1"/>
    <col min="1826" max="1826" width="9.109375" style="4" customWidth="1"/>
    <col min="1827" max="1832" width="7.6640625" style="4" customWidth="1"/>
    <col min="1833" max="1833" width="1.88671875" style="4" customWidth="1"/>
    <col min="1834" max="2066" width="8.88671875" style="4"/>
    <col min="2067" max="2067" width="7.5546875" style="4" customWidth="1"/>
    <col min="2068" max="2068" width="7.33203125" style="4" customWidth="1"/>
    <col min="2069" max="2069" width="9.6640625" style="4" customWidth="1"/>
    <col min="2070" max="2071" width="6.6640625" style="4" customWidth="1"/>
    <col min="2072" max="2081" width="6.33203125" style="4" customWidth="1"/>
    <col min="2082" max="2082" width="9.109375" style="4" customWidth="1"/>
    <col min="2083" max="2088" width="7.6640625" style="4" customWidth="1"/>
    <col min="2089" max="2089" width="1.88671875" style="4" customWidth="1"/>
    <col min="2090" max="2322" width="8.88671875" style="4"/>
    <col min="2323" max="2323" width="7.5546875" style="4" customWidth="1"/>
    <col min="2324" max="2324" width="7.33203125" style="4" customWidth="1"/>
    <col min="2325" max="2325" width="9.6640625" style="4" customWidth="1"/>
    <col min="2326" max="2327" width="6.6640625" style="4" customWidth="1"/>
    <col min="2328" max="2337" width="6.33203125" style="4" customWidth="1"/>
    <col min="2338" max="2338" width="9.109375" style="4" customWidth="1"/>
    <col min="2339" max="2344" width="7.6640625" style="4" customWidth="1"/>
    <col min="2345" max="2345" width="1.88671875" style="4" customWidth="1"/>
    <col min="2346" max="2578" width="8.88671875" style="4"/>
    <col min="2579" max="2579" width="7.5546875" style="4" customWidth="1"/>
    <col min="2580" max="2580" width="7.33203125" style="4" customWidth="1"/>
    <col min="2581" max="2581" width="9.6640625" style="4" customWidth="1"/>
    <col min="2582" max="2583" width="6.6640625" style="4" customWidth="1"/>
    <col min="2584" max="2593" width="6.33203125" style="4" customWidth="1"/>
    <col min="2594" max="2594" width="9.109375" style="4" customWidth="1"/>
    <col min="2595" max="2600" width="7.6640625" style="4" customWidth="1"/>
    <col min="2601" max="2601" width="1.88671875" style="4" customWidth="1"/>
    <col min="2602" max="2834" width="8.88671875" style="4"/>
    <col min="2835" max="2835" width="7.5546875" style="4" customWidth="1"/>
    <col min="2836" max="2836" width="7.33203125" style="4" customWidth="1"/>
    <col min="2837" max="2837" width="9.6640625" style="4" customWidth="1"/>
    <col min="2838" max="2839" width="6.6640625" style="4" customWidth="1"/>
    <col min="2840" max="2849" width="6.33203125" style="4" customWidth="1"/>
    <col min="2850" max="2850" width="9.109375" style="4" customWidth="1"/>
    <col min="2851" max="2856" width="7.6640625" style="4" customWidth="1"/>
    <col min="2857" max="2857" width="1.88671875" style="4" customWidth="1"/>
    <col min="2858" max="3090" width="8.88671875" style="4"/>
    <col min="3091" max="3091" width="7.5546875" style="4" customWidth="1"/>
    <col min="3092" max="3092" width="7.33203125" style="4" customWidth="1"/>
    <col min="3093" max="3093" width="9.6640625" style="4" customWidth="1"/>
    <col min="3094" max="3095" width="6.6640625" style="4" customWidth="1"/>
    <col min="3096" max="3105" width="6.33203125" style="4" customWidth="1"/>
    <col min="3106" max="3106" width="9.109375" style="4" customWidth="1"/>
    <col min="3107" max="3112" width="7.6640625" style="4" customWidth="1"/>
    <col min="3113" max="3113" width="1.88671875" style="4" customWidth="1"/>
    <col min="3114" max="3346" width="8.88671875" style="4"/>
    <col min="3347" max="3347" width="7.5546875" style="4" customWidth="1"/>
    <col min="3348" max="3348" width="7.33203125" style="4" customWidth="1"/>
    <col min="3349" max="3349" width="9.6640625" style="4" customWidth="1"/>
    <col min="3350" max="3351" width="6.6640625" style="4" customWidth="1"/>
    <col min="3352" max="3361" width="6.33203125" style="4" customWidth="1"/>
    <col min="3362" max="3362" width="9.109375" style="4" customWidth="1"/>
    <col min="3363" max="3368" width="7.6640625" style="4" customWidth="1"/>
    <col min="3369" max="3369" width="1.88671875" style="4" customWidth="1"/>
    <col min="3370" max="3602" width="8.88671875" style="4"/>
    <col min="3603" max="3603" width="7.5546875" style="4" customWidth="1"/>
    <col min="3604" max="3604" width="7.33203125" style="4" customWidth="1"/>
    <col min="3605" max="3605" width="9.6640625" style="4" customWidth="1"/>
    <col min="3606" max="3607" width="6.6640625" style="4" customWidth="1"/>
    <col min="3608" max="3617" width="6.33203125" style="4" customWidth="1"/>
    <col min="3618" max="3618" width="9.109375" style="4" customWidth="1"/>
    <col min="3619" max="3624" width="7.6640625" style="4" customWidth="1"/>
    <col min="3625" max="3625" width="1.88671875" style="4" customWidth="1"/>
    <col min="3626" max="3858" width="8.88671875" style="4"/>
    <col min="3859" max="3859" width="7.5546875" style="4" customWidth="1"/>
    <col min="3860" max="3860" width="7.33203125" style="4" customWidth="1"/>
    <col min="3861" max="3861" width="9.6640625" style="4" customWidth="1"/>
    <col min="3862" max="3863" width="6.6640625" style="4" customWidth="1"/>
    <col min="3864" max="3873" width="6.33203125" style="4" customWidth="1"/>
    <col min="3874" max="3874" width="9.109375" style="4" customWidth="1"/>
    <col min="3875" max="3880" width="7.6640625" style="4" customWidth="1"/>
    <col min="3881" max="3881" width="1.88671875" style="4" customWidth="1"/>
    <col min="3882" max="4114" width="8.88671875" style="4"/>
    <col min="4115" max="4115" width="7.5546875" style="4" customWidth="1"/>
    <col min="4116" max="4116" width="7.33203125" style="4" customWidth="1"/>
    <col min="4117" max="4117" width="9.6640625" style="4" customWidth="1"/>
    <col min="4118" max="4119" width="6.6640625" style="4" customWidth="1"/>
    <col min="4120" max="4129" width="6.33203125" style="4" customWidth="1"/>
    <col min="4130" max="4130" width="9.109375" style="4" customWidth="1"/>
    <col min="4131" max="4136" width="7.6640625" style="4" customWidth="1"/>
    <col min="4137" max="4137" width="1.88671875" style="4" customWidth="1"/>
    <col min="4138" max="4370" width="8.88671875" style="4"/>
    <col min="4371" max="4371" width="7.5546875" style="4" customWidth="1"/>
    <col min="4372" max="4372" width="7.33203125" style="4" customWidth="1"/>
    <col min="4373" max="4373" width="9.6640625" style="4" customWidth="1"/>
    <col min="4374" max="4375" width="6.6640625" style="4" customWidth="1"/>
    <col min="4376" max="4385" width="6.33203125" style="4" customWidth="1"/>
    <col min="4386" max="4386" width="9.109375" style="4" customWidth="1"/>
    <col min="4387" max="4392" width="7.6640625" style="4" customWidth="1"/>
    <col min="4393" max="4393" width="1.88671875" style="4" customWidth="1"/>
    <col min="4394" max="4626" width="8.88671875" style="4"/>
    <col min="4627" max="4627" width="7.5546875" style="4" customWidth="1"/>
    <col min="4628" max="4628" width="7.33203125" style="4" customWidth="1"/>
    <col min="4629" max="4629" width="9.6640625" style="4" customWidth="1"/>
    <col min="4630" max="4631" width="6.6640625" style="4" customWidth="1"/>
    <col min="4632" max="4641" width="6.33203125" style="4" customWidth="1"/>
    <col min="4642" max="4642" width="9.109375" style="4" customWidth="1"/>
    <col min="4643" max="4648" width="7.6640625" style="4" customWidth="1"/>
    <col min="4649" max="4649" width="1.88671875" style="4" customWidth="1"/>
    <col min="4650" max="4882" width="8.88671875" style="4"/>
    <col min="4883" max="4883" width="7.5546875" style="4" customWidth="1"/>
    <col min="4884" max="4884" width="7.33203125" style="4" customWidth="1"/>
    <col min="4885" max="4885" width="9.6640625" style="4" customWidth="1"/>
    <col min="4886" max="4887" width="6.6640625" style="4" customWidth="1"/>
    <col min="4888" max="4897" width="6.33203125" style="4" customWidth="1"/>
    <col min="4898" max="4898" width="9.109375" style="4" customWidth="1"/>
    <col min="4899" max="4904" width="7.6640625" style="4" customWidth="1"/>
    <col min="4905" max="4905" width="1.88671875" style="4" customWidth="1"/>
    <col min="4906" max="5138" width="8.88671875" style="4"/>
    <col min="5139" max="5139" width="7.5546875" style="4" customWidth="1"/>
    <col min="5140" max="5140" width="7.33203125" style="4" customWidth="1"/>
    <col min="5141" max="5141" width="9.6640625" style="4" customWidth="1"/>
    <col min="5142" max="5143" width="6.6640625" style="4" customWidth="1"/>
    <col min="5144" max="5153" width="6.33203125" style="4" customWidth="1"/>
    <col min="5154" max="5154" width="9.109375" style="4" customWidth="1"/>
    <col min="5155" max="5160" width="7.6640625" style="4" customWidth="1"/>
    <col min="5161" max="5161" width="1.88671875" style="4" customWidth="1"/>
    <col min="5162" max="5394" width="8.88671875" style="4"/>
    <col min="5395" max="5395" width="7.5546875" style="4" customWidth="1"/>
    <col min="5396" max="5396" width="7.33203125" style="4" customWidth="1"/>
    <col min="5397" max="5397" width="9.6640625" style="4" customWidth="1"/>
    <col min="5398" max="5399" width="6.6640625" style="4" customWidth="1"/>
    <col min="5400" max="5409" width="6.33203125" style="4" customWidth="1"/>
    <col min="5410" max="5410" width="9.109375" style="4" customWidth="1"/>
    <col min="5411" max="5416" width="7.6640625" style="4" customWidth="1"/>
    <col min="5417" max="5417" width="1.88671875" style="4" customWidth="1"/>
    <col min="5418" max="5650" width="8.88671875" style="4"/>
    <col min="5651" max="5651" width="7.5546875" style="4" customWidth="1"/>
    <col min="5652" max="5652" width="7.33203125" style="4" customWidth="1"/>
    <col min="5653" max="5653" width="9.6640625" style="4" customWidth="1"/>
    <col min="5654" max="5655" width="6.6640625" style="4" customWidth="1"/>
    <col min="5656" max="5665" width="6.33203125" style="4" customWidth="1"/>
    <col min="5666" max="5666" width="9.109375" style="4" customWidth="1"/>
    <col min="5667" max="5672" width="7.6640625" style="4" customWidth="1"/>
    <col min="5673" max="5673" width="1.88671875" style="4" customWidth="1"/>
    <col min="5674" max="5906" width="8.88671875" style="4"/>
    <col min="5907" max="5907" width="7.5546875" style="4" customWidth="1"/>
    <col min="5908" max="5908" width="7.33203125" style="4" customWidth="1"/>
    <col min="5909" max="5909" width="9.6640625" style="4" customWidth="1"/>
    <col min="5910" max="5911" width="6.6640625" style="4" customWidth="1"/>
    <col min="5912" max="5921" width="6.33203125" style="4" customWidth="1"/>
    <col min="5922" max="5922" width="9.109375" style="4" customWidth="1"/>
    <col min="5923" max="5928" width="7.6640625" style="4" customWidth="1"/>
    <col min="5929" max="5929" width="1.88671875" style="4" customWidth="1"/>
    <col min="5930" max="6162" width="8.88671875" style="4"/>
    <col min="6163" max="6163" width="7.5546875" style="4" customWidth="1"/>
    <col min="6164" max="6164" width="7.33203125" style="4" customWidth="1"/>
    <col min="6165" max="6165" width="9.6640625" style="4" customWidth="1"/>
    <col min="6166" max="6167" width="6.6640625" style="4" customWidth="1"/>
    <col min="6168" max="6177" width="6.33203125" style="4" customWidth="1"/>
    <col min="6178" max="6178" width="9.109375" style="4" customWidth="1"/>
    <col min="6179" max="6184" width="7.6640625" style="4" customWidth="1"/>
    <col min="6185" max="6185" width="1.88671875" style="4" customWidth="1"/>
    <col min="6186" max="6418" width="8.88671875" style="4"/>
    <col min="6419" max="6419" width="7.5546875" style="4" customWidth="1"/>
    <col min="6420" max="6420" width="7.33203125" style="4" customWidth="1"/>
    <col min="6421" max="6421" width="9.6640625" style="4" customWidth="1"/>
    <col min="6422" max="6423" width="6.6640625" style="4" customWidth="1"/>
    <col min="6424" max="6433" width="6.33203125" style="4" customWidth="1"/>
    <col min="6434" max="6434" width="9.109375" style="4" customWidth="1"/>
    <col min="6435" max="6440" width="7.6640625" style="4" customWidth="1"/>
    <col min="6441" max="6441" width="1.88671875" style="4" customWidth="1"/>
    <col min="6442" max="6674" width="8.88671875" style="4"/>
    <col min="6675" max="6675" width="7.5546875" style="4" customWidth="1"/>
    <col min="6676" max="6676" width="7.33203125" style="4" customWidth="1"/>
    <col min="6677" max="6677" width="9.6640625" style="4" customWidth="1"/>
    <col min="6678" max="6679" width="6.6640625" style="4" customWidth="1"/>
    <col min="6680" max="6689" width="6.33203125" style="4" customWidth="1"/>
    <col min="6690" max="6690" width="9.109375" style="4" customWidth="1"/>
    <col min="6691" max="6696" width="7.6640625" style="4" customWidth="1"/>
    <col min="6697" max="6697" width="1.88671875" style="4" customWidth="1"/>
    <col min="6698" max="6930" width="8.88671875" style="4"/>
    <col min="6931" max="6931" width="7.5546875" style="4" customWidth="1"/>
    <col min="6932" max="6932" width="7.33203125" style="4" customWidth="1"/>
    <col min="6933" max="6933" width="9.6640625" style="4" customWidth="1"/>
    <col min="6934" max="6935" width="6.6640625" style="4" customWidth="1"/>
    <col min="6936" max="6945" width="6.33203125" style="4" customWidth="1"/>
    <col min="6946" max="6946" width="9.109375" style="4" customWidth="1"/>
    <col min="6947" max="6952" width="7.6640625" style="4" customWidth="1"/>
    <col min="6953" max="6953" width="1.88671875" style="4" customWidth="1"/>
    <col min="6954" max="7186" width="8.88671875" style="4"/>
    <col min="7187" max="7187" width="7.5546875" style="4" customWidth="1"/>
    <col min="7188" max="7188" width="7.33203125" style="4" customWidth="1"/>
    <col min="7189" max="7189" width="9.6640625" style="4" customWidth="1"/>
    <col min="7190" max="7191" width="6.6640625" style="4" customWidth="1"/>
    <col min="7192" max="7201" width="6.33203125" style="4" customWidth="1"/>
    <col min="7202" max="7202" width="9.109375" style="4" customWidth="1"/>
    <col min="7203" max="7208" width="7.6640625" style="4" customWidth="1"/>
    <col min="7209" max="7209" width="1.88671875" style="4" customWidth="1"/>
    <col min="7210" max="7442" width="8.88671875" style="4"/>
    <col min="7443" max="7443" width="7.5546875" style="4" customWidth="1"/>
    <col min="7444" max="7444" width="7.33203125" style="4" customWidth="1"/>
    <col min="7445" max="7445" width="9.6640625" style="4" customWidth="1"/>
    <col min="7446" max="7447" width="6.6640625" style="4" customWidth="1"/>
    <col min="7448" max="7457" width="6.33203125" style="4" customWidth="1"/>
    <col min="7458" max="7458" width="9.109375" style="4" customWidth="1"/>
    <col min="7459" max="7464" width="7.6640625" style="4" customWidth="1"/>
    <col min="7465" max="7465" width="1.88671875" style="4" customWidth="1"/>
    <col min="7466" max="7698" width="8.88671875" style="4"/>
    <col min="7699" max="7699" width="7.5546875" style="4" customWidth="1"/>
    <col min="7700" max="7700" width="7.33203125" style="4" customWidth="1"/>
    <col min="7701" max="7701" width="9.6640625" style="4" customWidth="1"/>
    <col min="7702" max="7703" width="6.6640625" style="4" customWidth="1"/>
    <col min="7704" max="7713" width="6.33203125" style="4" customWidth="1"/>
    <col min="7714" max="7714" width="9.109375" style="4" customWidth="1"/>
    <col min="7715" max="7720" width="7.6640625" style="4" customWidth="1"/>
    <col min="7721" max="7721" width="1.88671875" style="4" customWidth="1"/>
    <col min="7722" max="7954" width="8.88671875" style="4"/>
    <col min="7955" max="7955" width="7.5546875" style="4" customWidth="1"/>
    <col min="7956" max="7956" width="7.33203125" style="4" customWidth="1"/>
    <col min="7957" max="7957" width="9.6640625" style="4" customWidth="1"/>
    <col min="7958" max="7959" width="6.6640625" style="4" customWidth="1"/>
    <col min="7960" max="7969" width="6.33203125" style="4" customWidth="1"/>
    <col min="7970" max="7970" width="9.109375" style="4" customWidth="1"/>
    <col min="7971" max="7976" width="7.6640625" style="4" customWidth="1"/>
    <col min="7977" max="7977" width="1.88671875" style="4" customWidth="1"/>
    <col min="7978" max="8210" width="8.88671875" style="4"/>
    <col min="8211" max="8211" width="7.5546875" style="4" customWidth="1"/>
    <col min="8212" max="8212" width="7.33203125" style="4" customWidth="1"/>
    <col min="8213" max="8213" width="9.6640625" style="4" customWidth="1"/>
    <col min="8214" max="8215" width="6.6640625" style="4" customWidth="1"/>
    <col min="8216" max="8225" width="6.33203125" style="4" customWidth="1"/>
    <col min="8226" max="8226" width="9.109375" style="4" customWidth="1"/>
    <col min="8227" max="8232" width="7.6640625" style="4" customWidth="1"/>
    <col min="8233" max="8233" width="1.88671875" style="4" customWidth="1"/>
    <col min="8234" max="8466" width="8.88671875" style="4"/>
    <col min="8467" max="8467" width="7.5546875" style="4" customWidth="1"/>
    <col min="8468" max="8468" width="7.33203125" style="4" customWidth="1"/>
    <col min="8469" max="8469" width="9.6640625" style="4" customWidth="1"/>
    <col min="8470" max="8471" width="6.6640625" style="4" customWidth="1"/>
    <col min="8472" max="8481" width="6.33203125" style="4" customWidth="1"/>
    <col min="8482" max="8482" width="9.109375" style="4" customWidth="1"/>
    <col min="8483" max="8488" width="7.6640625" style="4" customWidth="1"/>
    <col min="8489" max="8489" width="1.88671875" style="4" customWidth="1"/>
    <col min="8490" max="8722" width="8.88671875" style="4"/>
    <col min="8723" max="8723" width="7.5546875" style="4" customWidth="1"/>
    <col min="8724" max="8724" width="7.33203125" style="4" customWidth="1"/>
    <col min="8725" max="8725" width="9.6640625" style="4" customWidth="1"/>
    <col min="8726" max="8727" width="6.6640625" style="4" customWidth="1"/>
    <col min="8728" max="8737" width="6.33203125" style="4" customWidth="1"/>
    <col min="8738" max="8738" width="9.109375" style="4" customWidth="1"/>
    <col min="8739" max="8744" width="7.6640625" style="4" customWidth="1"/>
    <col min="8745" max="8745" width="1.88671875" style="4" customWidth="1"/>
    <col min="8746" max="8978" width="8.88671875" style="4"/>
    <col min="8979" max="8979" width="7.5546875" style="4" customWidth="1"/>
    <col min="8980" max="8980" width="7.33203125" style="4" customWidth="1"/>
    <col min="8981" max="8981" width="9.6640625" style="4" customWidth="1"/>
    <col min="8982" max="8983" width="6.6640625" style="4" customWidth="1"/>
    <col min="8984" max="8993" width="6.33203125" style="4" customWidth="1"/>
    <col min="8994" max="8994" width="9.109375" style="4" customWidth="1"/>
    <col min="8995" max="9000" width="7.6640625" style="4" customWidth="1"/>
    <col min="9001" max="9001" width="1.88671875" style="4" customWidth="1"/>
    <col min="9002" max="9234" width="8.88671875" style="4"/>
    <col min="9235" max="9235" width="7.5546875" style="4" customWidth="1"/>
    <col min="9236" max="9236" width="7.33203125" style="4" customWidth="1"/>
    <col min="9237" max="9237" width="9.6640625" style="4" customWidth="1"/>
    <col min="9238" max="9239" width="6.6640625" style="4" customWidth="1"/>
    <col min="9240" max="9249" width="6.33203125" style="4" customWidth="1"/>
    <col min="9250" max="9250" width="9.109375" style="4" customWidth="1"/>
    <col min="9251" max="9256" width="7.6640625" style="4" customWidth="1"/>
    <col min="9257" max="9257" width="1.88671875" style="4" customWidth="1"/>
    <col min="9258" max="9490" width="8.88671875" style="4"/>
    <col min="9491" max="9491" width="7.5546875" style="4" customWidth="1"/>
    <col min="9492" max="9492" width="7.33203125" style="4" customWidth="1"/>
    <col min="9493" max="9493" width="9.6640625" style="4" customWidth="1"/>
    <col min="9494" max="9495" width="6.6640625" style="4" customWidth="1"/>
    <col min="9496" max="9505" width="6.33203125" style="4" customWidth="1"/>
    <col min="9506" max="9506" width="9.109375" style="4" customWidth="1"/>
    <col min="9507" max="9512" width="7.6640625" style="4" customWidth="1"/>
    <col min="9513" max="9513" width="1.88671875" style="4" customWidth="1"/>
    <col min="9514" max="9746" width="8.88671875" style="4"/>
    <col min="9747" max="9747" width="7.5546875" style="4" customWidth="1"/>
    <col min="9748" max="9748" width="7.33203125" style="4" customWidth="1"/>
    <col min="9749" max="9749" width="9.6640625" style="4" customWidth="1"/>
    <col min="9750" max="9751" width="6.6640625" style="4" customWidth="1"/>
    <col min="9752" max="9761" width="6.33203125" style="4" customWidth="1"/>
    <col min="9762" max="9762" width="9.109375" style="4" customWidth="1"/>
    <col min="9763" max="9768" width="7.6640625" style="4" customWidth="1"/>
    <col min="9769" max="9769" width="1.88671875" style="4" customWidth="1"/>
    <col min="9770" max="10002" width="8.88671875" style="4"/>
    <col min="10003" max="10003" width="7.5546875" style="4" customWidth="1"/>
    <col min="10004" max="10004" width="7.33203125" style="4" customWidth="1"/>
    <col min="10005" max="10005" width="9.6640625" style="4" customWidth="1"/>
    <col min="10006" max="10007" width="6.6640625" style="4" customWidth="1"/>
    <col min="10008" max="10017" width="6.33203125" style="4" customWidth="1"/>
    <col min="10018" max="10018" width="9.109375" style="4" customWidth="1"/>
    <col min="10019" max="10024" width="7.6640625" style="4" customWidth="1"/>
    <col min="10025" max="10025" width="1.88671875" style="4" customWidth="1"/>
    <col min="10026" max="10258" width="8.88671875" style="4"/>
    <col min="10259" max="10259" width="7.5546875" style="4" customWidth="1"/>
    <col min="10260" max="10260" width="7.33203125" style="4" customWidth="1"/>
    <col min="10261" max="10261" width="9.6640625" style="4" customWidth="1"/>
    <col min="10262" max="10263" width="6.6640625" style="4" customWidth="1"/>
    <col min="10264" max="10273" width="6.33203125" style="4" customWidth="1"/>
    <col min="10274" max="10274" width="9.109375" style="4" customWidth="1"/>
    <col min="10275" max="10280" width="7.6640625" style="4" customWidth="1"/>
    <col min="10281" max="10281" width="1.88671875" style="4" customWidth="1"/>
    <col min="10282" max="10514" width="8.88671875" style="4"/>
    <col min="10515" max="10515" width="7.5546875" style="4" customWidth="1"/>
    <col min="10516" max="10516" width="7.33203125" style="4" customWidth="1"/>
    <col min="10517" max="10517" width="9.6640625" style="4" customWidth="1"/>
    <col min="10518" max="10519" width="6.6640625" style="4" customWidth="1"/>
    <col min="10520" max="10529" width="6.33203125" style="4" customWidth="1"/>
    <col min="10530" max="10530" width="9.109375" style="4" customWidth="1"/>
    <col min="10531" max="10536" width="7.6640625" style="4" customWidth="1"/>
    <col min="10537" max="10537" width="1.88671875" style="4" customWidth="1"/>
    <col min="10538" max="10770" width="8.88671875" style="4"/>
    <col min="10771" max="10771" width="7.5546875" style="4" customWidth="1"/>
    <col min="10772" max="10772" width="7.33203125" style="4" customWidth="1"/>
    <col min="10773" max="10773" width="9.6640625" style="4" customWidth="1"/>
    <col min="10774" max="10775" width="6.6640625" style="4" customWidth="1"/>
    <col min="10776" max="10785" width="6.33203125" style="4" customWidth="1"/>
    <col min="10786" max="10786" width="9.109375" style="4" customWidth="1"/>
    <col min="10787" max="10792" width="7.6640625" style="4" customWidth="1"/>
    <col min="10793" max="10793" width="1.88671875" style="4" customWidth="1"/>
    <col min="10794" max="11026" width="8.88671875" style="4"/>
    <col min="11027" max="11027" width="7.5546875" style="4" customWidth="1"/>
    <col min="11028" max="11028" width="7.33203125" style="4" customWidth="1"/>
    <col min="11029" max="11029" width="9.6640625" style="4" customWidth="1"/>
    <col min="11030" max="11031" width="6.6640625" style="4" customWidth="1"/>
    <col min="11032" max="11041" width="6.33203125" style="4" customWidth="1"/>
    <col min="11042" max="11042" width="9.109375" style="4" customWidth="1"/>
    <col min="11043" max="11048" width="7.6640625" style="4" customWidth="1"/>
    <col min="11049" max="11049" width="1.88671875" style="4" customWidth="1"/>
    <col min="11050" max="11282" width="8.88671875" style="4"/>
    <col min="11283" max="11283" width="7.5546875" style="4" customWidth="1"/>
    <col min="11284" max="11284" width="7.33203125" style="4" customWidth="1"/>
    <col min="11285" max="11285" width="9.6640625" style="4" customWidth="1"/>
    <col min="11286" max="11287" width="6.6640625" style="4" customWidth="1"/>
    <col min="11288" max="11297" width="6.33203125" style="4" customWidth="1"/>
    <col min="11298" max="11298" width="9.109375" style="4" customWidth="1"/>
    <col min="11299" max="11304" width="7.6640625" style="4" customWidth="1"/>
    <col min="11305" max="11305" width="1.88671875" style="4" customWidth="1"/>
    <col min="11306" max="11538" width="8.88671875" style="4"/>
    <col min="11539" max="11539" width="7.5546875" style="4" customWidth="1"/>
    <col min="11540" max="11540" width="7.33203125" style="4" customWidth="1"/>
    <col min="11541" max="11541" width="9.6640625" style="4" customWidth="1"/>
    <col min="11542" max="11543" width="6.6640625" style="4" customWidth="1"/>
    <col min="11544" max="11553" width="6.33203125" style="4" customWidth="1"/>
    <col min="11554" max="11554" width="9.109375" style="4" customWidth="1"/>
    <col min="11555" max="11560" width="7.6640625" style="4" customWidth="1"/>
    <col min="11561" max="11561" width="1.88671875" style="4" customWidth="1"/>
    <col min="11562" max="11794" width="8.88671875" style="4"/>
    <col min="11795" max="11795" width="7.5546875" style="4" customWidth="1"/>
    <col min="11796" max="11796" width="7.33203125" style="4" customWidth="1"/>
    <col min="11797" max="11797" width="9.6640625" style="4" customWidth="1"/>
    <col min="11798" max="11799" width="6.6640625" style="4" customWidth="1"/>
    <col min="11800" max="11809" width="6.33203125" style="4" customWidth="1"/>
    <col min="11810" max="11810" width="9.109375" style="4" customWidth="1"/>
    <col min="11811" max="11816" width="7.6640625" style="4" customWidth="1"/>
    <col min="11817" max="11817" width="1.88671875" style="4" customWidth="1"/>
    <col min="11818" max="12050" width="8.88671875" style="4"/>
    <col min="12051" max="12051" width="7.5546875" style="4" customWidth="1"/>
    <col min="12052" max="12052" width="7.33203125" style="4" customWidth="1"/>
    <col min="12053" max="12053" width="9.6640625" style="4" customWidth="1"/>
    <col min="12054" max="12055" width="6.6640625" style="4" customWidth="1"/>
    <col min="12056" max="12065" width="6.33203125" style="4" customWidth="1"/>
    <col min="12066" max="12066" width="9.109375" style="4" customWidth="1"/>
    <col min="12067" max="12072" width="7.6640625" style="4" customWidth="1"/>
    <col min="12073" max="12073" width="1.88671875" style="4" customWidth="1"/>
    <col min="12074" max="12306" width="8.88671875" style="4"/>
    <col min="12307" max="12307" width="7.5546875" style="4" customWidth="1"/>
    <col min="12308" max="12308" width="7.33203125" style="4" customWidth="1"/>
    <col min="12309" max="12309" width="9.6640625" style="4" customWidth="1"/>
    <col min="12310" max="12311" width="6.6640625" style="4" customWidth="1"/>
    <col min="12312" max="12321" width="6.33203125" style="4" customWidth="1"/>
    <col min="12322" max="12322" width="9.109375" style="4" customWidth="1"/>
    <col min="12323" max="12328" width="7.6640625" style="4" customWidth="1"/>
    <col min="12329" max="12329" width="1.88671875" style="4" customWidth="1"/>
    <col min="12330" max="12562" width="8.88671875" style="4"/>
    <col min="12563" max="12563" width="7.5546875" style="4" customWidth="1"/>
    <col min="12564" max="12564" width="7.33203125" style="4" customWidth="1"/>
    <col min="12565" max="12565" width="9.6640625" style="4" customWidth="1"/>
    <col min="12566" max="12567" width="6.6640625" style="4" customWidth="1"/>
    <col min="12568" max="12577" width="6.33203125" style="4" customWidth="1"/>
    <col min="12578" max="12578" width="9.109375" style="4" customWidth="1"/>
    <col min="12579" max="12584" width="7.6640625" style="4" customWidth="1"/>
    <col min="12585" max="12585" width="1.88671875" style="4" customWidth="1"/>
    <col min="12586" max="12818" width="8.88671875" style="4"/>
    <col min="12819" max="12819" width="7.5546875" style="4" customWidth="1"/>
    <col min="12820" max="12820" width="7.33203125" style="4" customWidth="1"/>
    <col min="12821" max="12821" width="9.6640625" style="4" customWidth="1"/>
    <col min="12822" max="12823" width="6.6640625" style="4" customWidth="1"/>
    <col min="12824" max="12833" width="6.33203125" style="4" customWidth="1"/>
    <col min="12834" max="12834" width="9.109375" style="4" customWidth="1"/>
    <col min="12835" max="12840" width="7.6640625" style="4" customWidth="1"/>
    <col min="12841" max="12841" width="1.88671875" style="4" customWidth="1"/>
    <col min="12842" max="13074" width="8.88671875" style="4"/>
    <col min="13075" max="13075" width="7.5546875" style="4" customWidth="1"/>
    <col min="13076" max="13076" width="7.33203125" style="4" customWidth="1"/>
    <col min="13077" max="13077" width="9.6640625" style="4" customWidth="1"/>
    <col min="13078" max="13079" width="6.6640625" style="4" customWidth="1"/>
    <col min="13080" max="13089" width="6.33203125" style="4" customWidth="1"/>
    <col min="13090" max="13090" width="9.109375" style="4" customWidth="1"/>
    <col min="13091" max="13096" width="7.6640625" style="4" customWidth="1"/>
    <col min="13097" max="13097" width="1.88671875" style="4" customWidth="1"/>
    <col min="13098" max="13330" width="8.88671875" style="4"/>
    <col min="13331" max="13331" width="7.5546875" style="4" customWidth="1"/>
    <col min="13332" max="13332" width="7.33203125" style="4" customWidth="1"/>
    <col min="13333" max="13333" width="9.6640625" style="4" customWidth="1"/>
    <col min="13334" max="13335" width="6.6640625" style="4" customWidth="1"/>
    <col min="13336" max="13345" width="6.33203125" style="4" customWidth="1"/>
    <col min="13346" max="13346" width="9.109375" style="4" customWidth="1"/>
    <col min="13347" max="13352" width="7.6640625" style="4" customWidth="1"/>
    <col min="13353" max="13353" width="1.88671875" style="4" customWidth="1"/>
    <col min="13354" max="13586" width="8.88671875" style="4"/>
    <col min="13587" max="13587" width="7.5546875" style="4" customWidth="1"/>
    <col min="13588" max="13588" width="7.33203125" style="4" customWidth="1"/>
    <col min="13589" max="13589" width="9.6640625" style="4" customWidth="1"/>
    <col min="13590" max="13591" width="6.6640625" style="4" customWidth="1"/>
    <col min="13592" max="13601" width="6.33203125" style="4" customWidth="1"/>
    <col min="13602" max="13602" width="9.109375" style="4" customWidth="1"/>
    <col min="13603" max="13608" width="7.6640625" style="4" customWidth="1"/>
    <col min="13609" max="13609" width="1.88671875" style="4" customWidth="1"/>
    <col min="13610" max="13842" width="8.88671875" style="4"/>
    <col min="13843" max="13843" width="7.5546875" style="4" customWidth="1"/>
    <col min="13844" max="13844" width="7.33203125" style="4" customWidth="1"/>
    <col min="13845" max="13845" width="9.6640625" style="4" customWidth="1"/>
    <col min="13846" max="13847" width="6.6640625" style="4" customWidth="1"/>
    <col min="13848" max="13857" width="6.33203125" style="4" customWidth="1"/>
    <col min="13858" max="13858" width="9.109375" style="4" customWidth="1"/>
    <col min="13859" max="13864" width="7.6640625" style="4" customWidth="1"/>
    <col min="13865" max="13865" width="1.88671875" style="4" customWidth="1"/>
    <col min="13866" max="14098" width="8.88671875" style="4"/>
    <col min="14099" max="14099" width="7.5546875" style="4" customWidth="1"/>
    <col min="14100" max="14100" width="7.33203125" style="4" customWidth="1"/>
    <col min="14101" max="14101" width="9.6640625" style="4" customWidth="1"/>
    <col min="14102" max="14103" width="6.6640625" style="4" customWidth="1"/>
    <col min="14104" max="14113" width="6.33203125" style="4" customWidth="1"/>
    <col min="14114" max="14114" width="9.109375" style="4" customWidth="1"/>
    <col min="14115" max="14120" width="7.6640625" style="4" customWidth="1"/>
    <col min="14121" max="14121" width="1.88671875" style="4" customWidth="1"/>
    <col min="14122" max="14354" width="8.88671875" style="4"/>
    <col min="14355" max="14355" width="7.5546875" style="4" customWidth="1"/>
    <col min="14356" max="14356" width="7.33203125" style="4" customWidth="1"/>
    <col min="14357" max="14357" width="9.6640625" style="4" customWidth="1"/>
    <col min="14358" max="14359" width="6.6640625" style="4" customWidth="1"/>
    <col min="14360" max="14369" width="6.33203125" style="4" customWidth="1"/>
    <col min="14370" max="14370" width="9.109375" style="4" customWidth="1"/>
    <col min="14371" max="14376" width="7.6640625" style="4" customWidth="1"/>
    <col min="14377" max="14377" width="1.88671875" style="4" customWidth="1"/>
    <col min="14378" max="14610" width="8.88671875" style="4"/>
    <col min="14611" max="14611" width="7.5546875" style="4" customWidth="1"/>
    <col min="14612" max="14612" width="7.33203125" style="4" customWidth="1"/>
    <col min="14613" max="14613" width="9.6640625" style="4" customWidth="1"/>
    <col min="14614" max="14615" width="6.6640625" style="4" customWidth="1"/>
    <col min="14616" max="14625" width="6.33203125" style="4" customWidth="1"/>
    <col min="14626" max="14626" width="9.109375" style="4" customWidth="1"/>
    <col min="14627" max="14632" width="7.6640625" style="4" customWidth="1"/>
    <col min="14633" max="14633" width="1.88671875" style="4" customWidth="1"/>
    <col min="14634" max="14866" width="8.88671875" style="4"/>
    <col min="14867" max="14867" width="7.5546875" style="4" customWidth="1"/>
    <col min="14868" max="14868" width="7.33203125" style="4" customWidth="1"/>
    <col min="14869" max="14869" width="9.6640625" style="4" customWidth="1"/>
    <col min="14870" max="14871" width="6.6640625" style="4" customWidth="1"/>
    <col min="14872" max="14881" width="6.33203125" style="4" customWidth="1"/>
    <col min="14882" max="14882" width="9.109375" style="4" customWidth="1"/>
    <col min="14883" max="14888" width="7.6640625" style="4" customWidth="1"/>
    <col min="14889" max="14889" width="1.88671875" style="4" customWidth="1"/>
    <col min="14890" max="15122" width="8.88671875" style="4"/>
    <col min="15123" max="15123" width="7.5546875" style="4" customWidth="1"/>
    <col min="15124" max="15124" width="7.33203125" style="4" customWidth="1"/>
    <col min="15125" max="15125" width="9.6640625" style="4" customWidth="1"/>
    <col min="15126" max="15127" width="6.6640625" style="4" customWidth="1"/>
    <col min="15128" max="15137" width="6.33203125" style="4" customWidth="1"/>
    <col min="15138" max="15138" width="9.109375" style="4" customWidth="1"/>
    <col min="15139" max="15144" width="7.6640625" style="4" customWidth="1"/>
    <col min="15145" max="15145" width="1.88671875" style="4" customWidth="1"/>
    <col min="15146" max="15378" width="8.88671875" style="4"/>
    <col min="15379" max="15379" width="7.5546875" style="4" customWidth="1"/>
    <col min="15380" max="15380" width="7.33203125" style="4" customWidth="1"/>
    <col min="15381" max="15381" width="9.6640625" style="4" customWidth="1"/>
    <col min="15382" max="15383" width="6.6640625" style="4" customWidth="1"/>
    <col min="15384" max="15393" width="6.33203125" style="4" customWidth="1"/>
    <col min="15394" max="15394" width="9.109375" style="4" customWidth="1"/>
    <col min="15395" max="15400" width="7.6640625" style="4" customWidth="1"/>
    <col min="15401" max="15401" width="1.88671875" style="4" customWidth="1"/>
    <col min="15402" max="15634" width="8.88671875" style="4"/>
    <col min="15635" max="15635" width="7.5546875" style="4" customWidth="1"/>
    <col min="15636" max="15636" width="7.33203125" style="4" customWidth="1"/>
    <col min="15637" max="15637" width="9.6640625" style="4" customWidth="1"/>
    <col min="15638" max="15639" width="6.6640625" style="4" customWidth="1"/>
    <col min="15640" max="15649" width="6.33203125" style="4" customWidth="1"/>
    <col min="15650" max="15650" width="9.109375" style="4" customWidth="1"/>
    <col min="15651" max="15656" width="7.6640625" style="4" customWidth="1"/>
    <col min="15657" max="15657" width="1.88671875" style="4" customWidth="1"/>
    <col min="15658" max="15890" width="8.88671875" style="4"/>
    <col min="15891" max="15891" width="7.5546875" style="4" customWidth="1"/>
    <col min="15892" max="15892" width="7.33203125" style="4" customWidth="1"/>
    <col min="15893" max="15893" width="9.6640625" style="4" customWidth="1"/>
    <col min="15894" max="15895" width="6.6640625" style="4" customWidth="1"/>
    <col min="15896" max="15905" width="6.33203125" style="4" customWidth="1"/>
    <col min="15906" max="15906" width="9.109375" style="4" customWidth="1"/>
    <col min="15907" max="15912" width="7.6640625" style="4" customWidth="1"/>
    <col min="15913" max="15913" width="1.88671875" style="4" customWidth="1"/>
    <col min="15914" max="16146" width="8.88671875" style="4"/>
    <col min="16147" max="16147" width="7.5546875" style="4" customWidth="1"/>
    <col min="16148" max="16148" width="7.33203125" style="4" customWidth="1"/>
    <col min="16149" max="16149" width="9.6640625" style="4" customWidth="1"/>
    <col min="16150" max="16151" width="6.6640625" style="4" customWidth="1"/>
    <col min="16152" max="16161" width="6.33203125" style="4" customWidth="1"/>
    <col min="16162" max="16162" width="9.109375" style="4" customWidth="1"/>
    <col min="16163" max="16168" width="7.6640625" style="4" customWidth="1"/>
    <col min="16169" max="16169" width="1.88671875" style="4" customWidth="1"/>
    <col min="16170" max="16384" width="8.88671875" style="4"/>
  </cols>
  <sheetData>
    <row r="1" spans="2:41" ht="8.25" customHeight="1"/>
    <row r="2" spans="2:41" ht="15" customHeight="1">
      <c r="C2" s="5" t="s">
        <v>0</v>
      </c>
    </row>
    <row r="3" spans="2:41" ht="15" customHeight="1">
      <c r="C3" s="5" t="s">
        <v>1</v>
      </c>
    </row>
    <row r="4" spans="2:41" ht="9" customHeight="1"/>
    <row r="5" spans="2:41" ht="6" customHeight="1"/>
    <row r="6" spans="2:41" ht="16.95" customHeight="1">
      <c r="B6" s="332" t="s">
        <v>158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8"/>
    </row>
    <row r="7" spans="2:41" ht="6.75" customHeight="1" thickBot="1"/>
    <row r="8" spans="2:41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3"/>
    </row>
    <row r="9" spans="2:41" s="14" customFormat="1" ht="15" customHeight="1">
      <c r="B9" s="15" t="s">
        <v>3</v>
      </c>
      <c r="C9" s="16"/>
      <c r="D9" s="17"/>
      <c r="E9" s="17" t="s">
        <v>4</v>
      </c>
      <c r="F9" s="219" t="str">
        <f>'Link List'!D3</f>
        <v>044</v>
      </c>
      <c r="G9" s="17"/>
      <c r="H9" s="20"/>
      <c r="I9" s="21"/>
      <c r="J9" s="19"/>
      <c r="K9" s="20"/>
      <c r="L9" s="21"/>
      <c r="M9" s="19"/>
      <c r="N9" s="20"/>
      <c r="O9" s="21"/>
      <c r="P9" s="19"/>
      <c r="Q9" s="20"/>
      <c r="R9" s="21"/>
      <c r="S9" s="19"/>
      <c r="T9" s="20"/>
      <c r="U9" s="21"/>
      <c r="V9" s="19"/>
      <c r="W9" s="20"/>
      <c r="X9" s="21"/>
      <c r="Y9" s="19"/>
      <c r="Z9" s="19"/>
      <c r="AA9" s="20"/>
      <c r="AB9" s="21"/>
      <c r="AC9" s="19"/>
      <c r="AD9" s="19"/>
      <c r="AE9" s="20"/>
      <c r="AF9" s="21"/>
      <c r="AG9" s="19"/>
      <c r="AH9" s="20"/>
      <c r="AI9" s="21"/>
      <c r="AJ9" s="19"/>
      <c r="AK9" s="20"/>
      <c r="AL9" s="21"/>
      <c r="AM9" s="19"/>
      <c r="AN9" s="22"/>
    </row>
    <row r="10" spans="2:41" s="14" customFormat="1" ht="6.9" customHeight="1" thickBot="1">
      <c r="B10" s="15"/>
      <c r="C10" s="16"/>
      <c r="D10" s="17"/>
      <c r="E10" s="17"/>
      <c r="F10" s="219"/>
      <c r="G10" s="17"/>
      <c r="H10" s="25"/>
      <c r="I10" s="25"/>
      <c r="J10" s="24"/>
      <c r="K10" s="25"/>
      <c r="L10" s="25"/>
      <c r="M10" s="24"/>
      <c r="N10" s="25"/>
      <c r="O10" s="25"/>
      <c r="P10" s="24"/>
      <c r="Q10" s="25"/>
      <c r="R10" s="25"/>
      <c r="S10" s="24"/>
      <c r="T10" s="25"/>
      <c r="U10" s="25"/>
      <c r="V10" s="24"/>
      <c r="W10" s="25"/>
      <c r="X10" s="25"/>
      <c r="Y10" s="24"/>
      <c r="Z10" s="24"/>
      <c r="AA10" s="25"/>
      <c r="AB10" s="25"/>
      <c r="AC10" s="24"/>
      <c r="AD10" s="24"/>
      <c r="AE10" s="25"/>
      <c r="AF10" s="25"/>
      <c r="AG10" s="24"/>
      <c r="AH10" s="25"/>
      <c r="AI10" s="25"/>
      <c r="AJ10" s="24"/>
      <c r="AK10" s="25"/>
      <c r="AL10" s="25"/>
      <c r="AM10" s="24"/>
      <c r="AN10" s="26"/>
    </row>
    <row r="11" spans="2:41" s="14" customFormat="1" ht="6.9" customHeight="1">
      <c r="B11" s="9"/>
      <c r="C11" s="10"/>
      <c r="D11" s="11"/>
      <c r="E11" s="11"/>
      <c r="F11" s="220"/>
      <c r="G11" s="11"/>
      <c r="H11" s="12"/>
      <c r="I11" s="12"/>
      <c r="J11" s="28"/>
      <c r="K11" s="12"/>
      <c r="L11" s="12"/>
      <c r="M11" s="28"/>
      <c r="N11" s="12"/>
      <c r="O11" s="12"/>
      <c r="P11" s="28"/>
      <c r="Q11" s="12"/>
      <c r="R11" s="12"/>
      <c r="S11" s="28"/>
      <c r="T11" s="12"/>
      <c r="U11" s="12"/>
      <c r="V11" s="28"/>
      <c r="W11" s="12"/>
      <c r="X11" s="12"/>
      <c r="Y11" s="28"/>
      <c r="Z11" s="28"/>
      <c r="AA11" s="12"/>
      <c r="AB11" s="12"/>
      <c r="AC11" s="28"/>
      <c r="AD11" s="28"/>
      <c r="AE11" s="12"/>
      <c r="AF11" s="12"/>
      <c r="AG11" s="28"/>
      <c r="AH11" s="12"/>
      <c r="AI11" s="12"/>
      <c r="AJ11" s="28"/>
      <c r="AK11" s="12"/>
      <c r="AL11" s="12"/>
      <c r="AM11" s="28"/>
      <c r="AN11" s="13"/>
    </row>
    <row r="12" spans="2:41" s="14" customFormat="1" ht="15" customHeight="1">
      <c r="B12" s="15" t="s">
        <v>5</v>
      </c>
      <c r="C12" s="16"/>
      <c r="D12" s="17"/>
      <c r="E12" s="17" t="s">
        <v>4</v>
      </c>
      <c r="F12" s="219" t="str">
        <f>'Link List'!F3</f>
        <v>SP TELUK KILUAN - SP. UMBAR</v>
      </c>
      <c r="G12" s="17"/>
      <c r="H12" s="30"/>
      <c r="I12" s="21"/>
      <c r="J12" s="29"/>
      <c r="K12" s="30"/>
      <c r="L12" s="21"/>
      <c r="M12" s="29"/>
      <c r="N12" s="30"/>
      <c r="O12" s="21"/>
      <c r="P12" s="29"/>
      <c r="Q12" s="30"/>
      <c r="R12" s="21"/>
      <c r="S12" s="29"/>
      <c r="T12" s="30"/>
      <c r="U12" s="21"/>
      <c r="V12" s="29"/>
      <c r="W12" s="30"/>
      <c r="X12" s="21"/>
      <c r="Y12" s="29"/>
      <c r="Z12" s="29"/>
      <c r="AA12" s="30"/>
      <c r="AB12" s="21"/>
      <c r="AC12" s="29"/>
      <c r="AD12" s="29"/>
      <c r="AE12" s="30"/>
      <c r="AF12" s="21"/>
      <c r="AG12" s="29"/>
      <c r="AH12" s="30"/>
      <c r="AI12" s="21"/>
      <c r="AJ12" s="29"/>
      <c r="AK12" s="30"/>
      <c r="AL12" s="21"/>
      <c r="AM12" s="29"/>
      <c r="AN12" s="22"/>
    </row>
    <row r="13" spans="2:41" s="14" customFormat="1" ht="6.9" customHeight="1" thickBot="1">
      <c r="B13" s="15"/>
      <c r="C13" s="16"/>
      <c r="D13" s="31"/>
      <c r="E13" s="31"/>
      <c r="F13" s="221"/>
      <c r="G13" s="31"/>
      <c r="H13" s="25"/>
      <c r="I13" s="25"/>
      <c r="J13" s="24"/>
      <c r="K13" s="25"/>
      <c r="L13" s="25"/>
      <c r="M13" s="24"/>
      <c r="N13" s="25"/>
      <c r="O13" s="25"/>
      <c r="P13" s="24"/>
      <c r="Q13" s="25"/>
      <c r="R13" s="25"/>
      <c r="S13" s="24"/>
      <c r="T13" s="25"/>
      <c r="U13" s="25"/>
      <c r="V13" s="24"/>
      <c r="W13" s="25"/>
      <c r="X13" s="25"/>
      <c r="Y13" s="24"/>
      <c r="Z13" s="24"/>
      <c r="AA13" s="25"/>
      <c r="AB13" s="25"/>
      <c r="AC13" s="24"/>
      <c r="AD13" s="24"/>
      <c r="AE13" s="25"/>
      <c r="AF13" s="25"/>
      <c r="AG13" s="24"/>
      <c r="AH13" s="25"/>
      <c r="AI13" s="25"/>
      <c r="AJ13" s="24"/>
      <c r="AK13" s="25"/>
      <c r="AL13" s="25"/>
      <c r="AM13" s="24"/>
      <c r="AN13" s="26"/>
    </row>
    <row r="14" spans="2:41" s="14" customFormat="1" ht="6.9" customHeight="1">
      <c r="B14" s="9"/>
      <c r="C14" s="10"/>
      <c r="D14" s="11"/>
      <c r="E14" s="11"/>
      <c r="F14" s="220"/>
      <c r="G14" s="11"/>
      <c r="H14" s="12"/>
      <c r="I14" s="12"/>
      <c r="J14" s="28"/>
      <c r="K14" s="12"/>
      <c r="L14" s="12"/>
      <c r="M14" s="28"/>
      <c r="N14" s="12"/>
      <c r="O14" s="12"/>
      <c r="P14" s="28"/>
      <c r="Q14" s="12"/>
      <c r="R14" s="12"/>
      <c r="S14" s="28"/>
      <c r="T14" s="12"/>
      <c r="U14" s="12"/>
      <c r="V14" s="28"/>
      <c r="W14" s="12"/>
      <c r="X14" s="12"/>
      <c r="Y14" s="28"/>
      <c r="Z14" s="28"/>
      <c r="AA14" s="12"/>
      <c r="AB14" s="12"/>
      <c r="AC14" s="28"/>
      <c r="AD14" s="28"/>
      <c r="AE14" s="12"/>
      <c r="AF14" s="12"/>
      <c r="AG14" s="28"/>
      <c r="AH14" s="12"/>
      <c r="AI14" s="12"/>
      <c r="AJ14" s="28"/>
      <c r="AK14" s="12"/>
      <c r="AL14" s="12"/>
      <c r="AM14" s="28"/>
      <c r="AN14" s="13"/>
    </row>
    <row r="15" spans="2:41" s="14" customFormat="1" ht="15" customHeight="1">
      <c r="B15" s="15" t="s">
        <v>157</v>
      </c>
      <c r="C15" s="16"/>
      <c r="D15" s="17"/>
      <c r="E15" s="17" t="s">
        <v>4</v>
      </c>
      <c r="F15" s="219">
        <f>'Link List'!I3</f>
        <v>25.157</v>
      </c>
      <c r="G15" s="17"/>
      <c r="H15" s="30"/>
      <c r="I15" s="21"/>
      <c r="J15" s="92"/>
      <c r="K15" s="30"/>
      <c r="L15" s="21"/>
      <c r="M15" s="92"/>
      <c r="N15" s="30"/>
      <c r="O15" s="21"/>
      <c r="P15" s="92"/>
      <c r="Q15" s="30"/>
      <c r="R15" s="21"/>
      <c r="S15" s="92"/>
      <c r="T15" s="30"/>
      <c r="U15" s="21"/>
      <c r="V15" s="92"/>
      <c r="W15" s="30"/>
      <c r="X15" s="21"/>
      <c r="Y15" s="92"/>
      <c r="Z15" s="92"/>
      <c r="AA15" s="30"/>
      <c r="AB15" s="21"/>
      <c r="AC15" s="92"/>
      <c r="AD15" s="92"/>
      <c r="AE15" s="30"/>
      <c r="AF15" s="21"/>
      <c r="AG15" s="92"/>
      <c r="AH15" s="30"/>
      <c r="AI15" s="21"/>
      <c r="AJ15" s="92"/>
      <c r="AK15" s="30"/>
      <c r="AL15" s="21"/>
      <c r="AM15" s="92"/>
      <c r="AN15" s="22"/>
    </row>
    <row r="16" spans="2:41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6"/>
    </row>
    <row r="17" spans="2:40" s="34" customFormat="1" ht="9.9" customHeight="1" thickBot="1">
      <c r="C17" s="35"/>
      <c r="D17" s="35"/>
      <c r="E17" s="35"/>
      <c r="F17" s="35"/>
      <c r="G17" s="35"/>
    </row>
    <row r="18" spans="2:40" s="34" customFormat="1" ht="25.2" customHeight="1" thickBot="1">
      <c r="B18" s="95"/>
      <c r="C18" s="333" t="s">
        <v>7</v>
      </c>
      <c r="D18" s="333"/>
      <c r="E18" s="334"/>
      <c r="F18" s="335" t="s">
        <v>170</v>
      </c>
      <c r="G18" s="337" t="s">
        <v>173</v>
      </c>
      <c r="H18" s="339" t="s">
        <v>198</v>
      </c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40"/>
      <c r="AN18" s="327" t="s">
        <v>11</v>
      </c>
    </row>
    <row r="19" spans="2:40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36"/>
      <c r="G19" s="338"/>
      <c r="H19" s="107" t="s">
        <v>15</v>
      </c>
      <c r="I19" s="108" t="s">
        <v>16</v>
      </c>
      <c r="J19" s="109" t="s">
        <v>174</v>
      </c>
      <c r="K19" s="107" t="s">
        <v>15</v>
      </c>
      <c r="L19" s="108" t="s">
        <v>16</v>
      </c>
      <c r="M19" s="109" t="s">
        <v>175</v>
      </c>
      <c r="N19" s="107" t="s">
        <v>15</v>
      </c>
      <c r="O19" s="108" t="s">
        <v>16</v>
      </c>
      <c r="P19" s="110" t="s">
        <v>176</v>
      </c>
      <c r="Q19" s="107" t="s">
        <v>15</v>
      </c>
      <c r="R19" s="108" t="s">
        <v>16</v>
      </c>
      <c r="S19" s="109" t="s">
        <v>177</v>
      </c>
      <c r="T19" s="107" t="s">
        <v>15</v>
      </c>
      <c r="U19" s="108" t="s">
        <v>16</v>
      </c>
      <c r="V19" s="109" t="s">
        <v>178</v>
      </c>
      <c r="W19" s="107" t="s">
        <v>15</v>
      </c>
      <c r="X19" s="108" t="s">
        <v>16</v>
      </c>
      <c r="Y19" s="108" t="s">
        <v>179</v>
      </c>
      <c r="Z19" s="109" t="s">
        <v>180</v>
      </c>
      <c r="AA19" s="107" t="s">
        <v>15</v>
      </c>
      <c r="AB19" s="108" t="s">
        <v>16</v>
      </c>
      <c r="AC19" s="108" t="s">
        <v>189</v>
      </c>
      <c r="AD19" s="109" t="s">
        <v>193</v>
      </c>
      <c r="AE19" s="107" t="s">
        <v>15</v>
      </c>
      <c r="AF19" s="108" t="s">
        <v>16</v>
      </c>
      <c r="AG19" s="109" t="s">
        <v>190</v>
      </c>
      <c r="AH19" s="107" t="s">
        <v>15</v>
      </c>
      <c r="AI19" s="108" t="s">
        <v>16</v>
      </c>
      <c r="AJ19" s="109" t="s">
        <v>191</v>
      </c>
      <c r="AK19" s="107" t="s">
        <v>15</v>
      </c>
      <c r="AL19" s="108" t="s">
        <v>16</v>
      </c>
      <c r="AM19" s="109" t="s">
        <v>192</v>
      </c>
      <c r="AN19" s="328"/>
    </row>
    <row r="20" spans="2:40" s="103" customFormat="1" ht="12" customHeight="1">
      <c r="B20" s="329">
        <v>1</v>
      </c>
      <c r="C20" s="330"/>
      <c r="D20" s="330"/>
      <c r="E20" s="330"/>
      <c r="F20" s="330"/>
      <c r="G20" s="331"/>
      <c r="H20" s="329">
        <v>2</v>
      </c>
      <c r="I20" s="330"/>
      <c r="J20" s="331"/>
      <c r="K20" s="329">
        <v>3</v>
      </c>
      <c r="L20" s="330"/>
      <c r="M20" s="331"/>
      <c r="N20" s="329">
        <v>4</v>
      </c>
      <c r="O20" s="330"/>
      <c r="P20" s="331"/>
      <c r="Q20" s="329">
        <v>5</v>
      </c>
      <c r="R20" s="330"/>
      <c r="S20" s="331"/>
      <c r="T20" s="329"/>
      <c r="U20" s="330"/>
      <c r="V20" s="331"/>
      <c r="W20" s="329">
        <v>7</v>
      </c>
      <c r="X20" s="330"/>
      <c r="Y20" s="330"/>
      <c r="Z20" s="331"/>
      <c r="AA20" s="329">
        <v>8</v>
      </c>
      <c r="AB20" s="330"/>
      <c r="AC20" s="330"/>
      <c r="AD20" s="331"/>
      <c r="AE20" s="329">
        <v>9</v>
      </c>
      <c r="AF20" s="330"/>
      <c r="AG20" s="331"/>
      <c r="AH20" s="329">
        <v>10</v>
      </c>
      <c r="AI20" s="330"/>
      <c r="AJ20" s="331"/>
      <c r="AK20" s="329">
        <v>11</v>
      </c>
      <c r="AL20" s="330"/>
      <c r="AM20" s="331"/>
      <c r="AN20" s="104">
        <v>12</v>
      </c>
    </row>
    <row r="21" spans="2:40" s="35" customFormat="1" ht="17.100000000000001" customHeight="1">
      <c r="B21" s="105"/>
      <c r="C21" s="54">
        <f>'1. Rekap Back Up Aspal'!C21</f>
        <v>21780</v>
      </c>
      <c r="D21" s="96">
        <f>'1. Rekap Back Up Aspal'!D21</f>
        <v>21800</v>
      </c>
      <c r="E21" s="111">
        <f>'1. Rekap Back Up Aspal'!E21</f>
        <v>4.5</v>
      </c>
      <c r="F21" s="112">
        <f>(100/((D21-C21)*E21))*((J28*0.5)+(M28*0.5)+(P28*4)+(S28*4)+(V28*1)+(Y28*2)+(AC28*1.5)+(AG28*1)+(AJ28*1)+(AM28*1))</f>
        <v>22.222222222222221</v>
      </c>
      <c r="G21" s="113" t="str">
        <f>IF(F21&lt;=25,"B",IF(F21&lt;=75,"S",IF(F21&lt;=100,"RR","RB")))</f>
        <v>B</v>
      </c>
      <c r="H21" s="100">
        <v>0</v>
      </c>
      <c r="I21" s="98">
        <v>0</v>
      </c>
      <c r="J21" s="101">
        <f t="shared" ref="J21:J27" si="0">H21*I21</f>
        <v>0</v>
      </c>
      <c r="K21" s="100">
        <v>0</v>
      </c>
      <c r="L21" s="98">
        <v>0</v>
      </c>
      <c r="M21" s="101">
        <f t="shared" ref="M21:M27" si="1">K21*L21</f>
        <v>0</v>
      </c>
      <c r="N21" s="100">
        <v>0</v>
      </c>
      <c r="O21" s="98">
        <v>0</v>
      </c>
      <c r="P21" s="101">
        <f t="shared" ref="P21:P27" si="2">N21*O21</f>
        <v>0</v>
      </c>
      <c r="Q21" s="100">
        <v>0</v>
      </c>
      <c r="R21" s="98">
        <v>0</v>
      </c>
      <c r="S21" s="101">
        <f t="shared" ref="S21:S25" si="3">Q21*R21</f>
        <v>0</v>
      </c>
      <c r="T21" s="100">
        <v>0</v>
      </c>
      <c r="U21" s="98">
        <v>0</v>
      </c>
      <c r="V21" s="101">
        <f>T21*U21</f>
        <v>0</v>
      </c>
      <c r="W21" s="100">
        <v>5</v>
      </c>
      <c r="X21" s="98">
        <v>2</v>
      </c>
      <c r="Y21" s="99">
        <f t="shared" ref="Y21:Y27" si="4">W21*X21</f>
        <v>10</v>
      </c>
      <c r="Z21" s="101">
        <v>3</v>
      </c>
      <c r="AA21" s="100">
        <v>0</v>
      </c>
      <c r="AB21" s="98">
        <v>0</v>
      </c>
      <c r="AC21" s="99">
        <f t="shared" ref="AC21:AC27" si="5">AA21*AB21</f>
        <v>0</v>
      </c>
      <c r="AD21" s="101">
        <v>1</v>
      </c>
      <c r="AE21" s="100">
        <v>0</v>
      </c>
      <c r="AF21" s="98">
        <v>0</v>
      </c>
      <c r="AG21" s="101">
        <f t="shared" ref="AG21:AG27" si="6">AE21*AF21</f>
        <v>0</v>
      </c>
      <c r="AH21" s="100">
        <v>0</v>
      </c>
      <c r="AI21" s="98">
        <v>0</v>
      </c>
      <c r="AJ21" s="101">
        <f t="shared" ref="AJ21:AJ27" si="7">AH21*AI21</f>
        <v>0</v>
      </c>
      <c r="AK21" s="100">
        <v>0</v>
      </c>
      <c r="AL21" s="98">
        <v>0</v>
      </c>
      <c r="AM21" s="101">
        <f t="shared" ref="AM21:AM27" si="8">AK21*AL21</f>
        <v>0</v>
      </c>
      <c r="AN21" s="106"/>
    </row>
    <row r="22" spans="2:40" s="35" customFormat="1" ht="17.100000000000001" customHeight="1">
      <c r="B22" s="105"/>
      <c r="C22" s="54"/>
      <c r="D22" s="96"/>
      <c r="E22" s="111"/>
      <c r="F22" s="112"/>
      <c r="G22" s="113"/>
      <c r="H22" s="100">
        <v>0</v>
      </c>
      <c r="I22" s="98">
        <v>0</v>
      </c>
      <c r="J22" s="101">
        <f t="shared" si="0"/>
        <v>0</v>
      </c>
      <c r="K22" s="100">
        <v>0</v>
      </c>
      <c r="L22" s="98">
        <v>0</v>
      </c>
      <c r="M22" s="101">
        <f t="shared" si="1"/>
        <v>0</v>
      </c>
      <c r="N22" s="100">
        <v>0</v>
      </c>
      <c r="O22" s="98">
        <v>0</v>
      </c>
      <c r="P22" s="101">
        <f t="shared" si="2"/>
        <v>0</v>
      </c>
      <c r="Q22" s="100">
        <v>0</v>
      </c>
      <c r="R22" s="98">
        <v>0</v>
      </c>
      <c r="S22" s="101">
        <f t="shared" si="3"/>
        <v>0</v>
      </c>
      <c r="T22" s="100">
        <v>0</v>
      </c>
      <c r="U22" s="98">
        <v>0</v>
      </c>
      <c r="V22" s="101">
        <f t="shared" ref="V22:V25" si="9">T22*U22</f>
        <v>0</v>
      </c>
      <c r="W22" s="100">
        <v>0</v>
      </c>
      <c r="X22" s="98">
        <v>0</v>
      </c>
      <c r="Y22" s="99">
        <f t="shared" si="4"/>
        <v>0</v>
      </c>
      <c r="Z22" s="101">
        <v>3</v>
      </c>
      <c r="AA22" s="100">
        <v>0</v>
      </c>
      <c r="AB22" s="98">
        <v>0</v>
      </c>
      <c r="AC22" s="99">
        <f t="shared" si="5"/>
        <v>0</v>
      </c>
      <c r="AD22" s="101">
        <v>1</v>
      </c>
      <c r="AE22" s="100">
        <v>0</v>
      </c>
      <c r="AF22" s="98">
        <v>0</v>
      </c>
      <c r="AG22" s="101">
        <f t="shared" si="6"/>
        <v>0</v>
      </c>
      <c r="AH22" s="100">
        <v>0</v>
      </c>
      <c r="AI22" s="98">
        <v>0</v>
      </c>
      <c r="AJ22" s="101">
        <f t="shared" si="7"/>
        <v>0</v>
      </c>
      <c r="AK22" s="100">
        <v>0</v>
      </c>
      <c r="AL22" s="98">
        <v>0</v>
      </c>
      <c r="AM22" s="101">
        <f t="shared" si="8"/>
        <v>0</v>
      </c>
      <c r="AN22" s="106"/>
    </row>
    <row r="23" spans="2:40" s="35" customFormat="1" ht="17.100000000000001" customHeight="1">
      <c r="B23" s="105"/>
      <c r="C23" s="54"/>
      <c r="D23" s="96"/>
      <c r="E23" s="111"/>
      <c r="F23" s="112"/>
      <c r="G23" s="113"/>
      <c r="H23" s="100">
        <v>0</v>
      </c>
      <c r="I23" s="98">
        <v>0</v>
      </c>
      <c r="J23" s="101">
        <f t="shared" si="0"/>
        <v>0</v>
      </c>
      <c r="K23" s="100">
        <v>0</v>
      </c>
      <c r="L23" s="98">
        <v>0</v>
      </c>
      <c r="M23" s="101">
        <f t="shared" si="1"/>
        <v>0</v>
      </c>
      <c r="N23" s="100">
        <v>0</v>
      </c>
      <c r="O23" s="98">
        <v>0</v>
      </c>
      <c r="P23" s="101">
        <f t="shared" si="2"/>
        <v>0</v>
      </c>
      <c r="Q23" s="100">
        <v>0</v>
      </c>
      <c r="R23" s="98">
        <v>0</v>
      </c>
      <c r="S23" s="101">
        <f t="shared" si="3"/>
        <v>0</v>
      </c>
      <c r="T23" s="100">
        <v>0</v>
      </c>
      <c r="U23" s="98">
        <v>0</v>
      </c>
      <c r="V23" s="101">
        <f t="shared" si="9"/>
        <v>0</v>
      </c>
      <c r="W23" s="100">
        <v>0</v>
      </c>
      <c r="X23" s="98">
        <v>0</v>
      </c>
      <c r="Y23" s="99">
        <f t="shared" si="4"/>
        <v>0</v>
      </c>
      <c r="Z23" s="101">
        <v>1</v>
      </c>
      <c r="AA23" s="100">
        <v>0</v>
      </c>
      <c r="AB23" s="98">
        <v>0</v>
      </c>
      <c r="AC23" s="99">
        <f t="shared" si="5"/>
        <v>0</v>
      </c>
      <c r="AD23" s="101">
        <v>1</v>
      </c>
      <c r="AE23" s="100">
        <v>0</v>
      </c>
      <c r="AF23" s="98">
        <v>0</v>
      </c>
      <c r="AG23" s="101">
        <f t="shared" si="6"/>
        <v>0</v>
      </c>
      <c r="AH23" s="100">
        <v>0</v>
      </c>
      <c r="AI23" s="98">
        <v>0</v>
      </c>
      <c r="AJ23" s="101">
        <f t="shared" si="7"/>
        <v>0</v>
      </c>
      <c r="AK23" s="100">
        <v>0</v>
      </c>
      <c r="AL23" s="98">
        <v>0</v>
      </c>
      <c r="AM23" s="101">
        <f t="shared" si="8"/>
        <v>0</v>
      </c>
      <c r="AN23" s="106"/>
    </row>
    <row r="24" spans="2:40" s="35" customFormat="1" ht="17.100000000000001" customHeight="1">
      <c r="B24" s="105"/>
      <c r="C24" s="54"/>
      <c r="D24" s="96"/>
      <c r="E24" s="111"/>
      <c r="F24" s="112"/>
      <c r="G24" s="113"/>
      <c r="H24" s="100">
        <v>0</v>
      </c>
      <c r="I24" s="98">
        <v>0</v>
      </c>
      <c r="J24" s="101">
        <f t="shared" si="0"/>
        <v>0</v>
      </c>
      <c r="K24" s="100">
        <v>0</v>
      </c>
      <c r="L24" s="98">
        <v>0</v>
      </c>
      <c r="M24" s="101">
        <f t="shared" si="1"/>
        <v>0</v>
      </c>
      <c r="N24" s="100">
        <v>0</v>
      </c>
      <c r="O24" s="98">
        <v>0</v>
      </c>
      <c r="P24" s="101">
        <f t="shared" si="2"/>
        <v>0</v>
      </c>
      <c r="Q24" s="100">
        <v>0</v>
      </c>
      <c r="R24" s="98">
        <v>0</v>
      </c>
      <c r="S24" s="101">
        <f t="shared" si="3"/>
        <v>0</v>
      </c>
      <c r="T24" s="100">
        <v>0</v>
      </c>
      <c r="U24" s="98">
        <v>0</v>
      </c>
      <c r="V24" s="101">
        <f t="shared" si="9"/>
        <v>0</v>
      </c>
      <c r="W24" s="100">
        <v>0</v>
      </c>
      <c r="X24" s="98">
        <v>0</v>
      </c>
      <c r="Y24" s="99">
        <f t="shared" si="4"/>
        <v>0</v>
      </c>
      <c r="Z24" s="101">
        <v>1</v>
      </c>
      <c r="AA24" s="100">
        <v>0</v>
      </c>
      <c r="AB24" s="98">
        <v>0</v>
      </c>
      <c r="AC24" s="99">
        <f t="shared" si="5"/>
        <v>0</v>
      </c>
      <c r="AD24" s="101">
        <v>1</v>
      </c>
      <c r="AE24" s="100">
        <v>0</v>
      </c>
      <c r="AF24" s="98">
        <v>0</v>
      </c>
      <c r="AG24" s="101">
        <f t="shared" si="6"/>
        <v>0</v>
      </c>
      <c r="AH24" s="100">
        <v>0</v>
      </c>
      <c r="AI24" s="98">
        <v>0</v>
      </c>
      <c r="AJ24" s="101">
        <f t="shared" si="7"/>
        <v>0</v>
      </c>
      <c r="AK24" s="100">
        <v>0</v>
      </c>
      <c r="AL24" s="98">
        <v>0</v>
      </c>
      <c r="AM24" s="101">
        <f t="shared" si="8"/>
        <v>0</v>
      </c>
      <c r="AN24" s="106"/>
    </row>
    <row r="25" spans="2:40" s="35" customFormat="1" ht="17.100000000000001" customHeight="1">
      <c r="B25" s="105"/>
      <c r="C25" s="54"/>
      <c r="D25" s="96"/>
      <c r="E25" s="111"/>
      <c r="F25" s="112"/>
      <c r="G25" s="113"/>
      <c r="H25" s="100">
        <v>0</v>
      </c>
      <c r="I25" s="98">
        <v>0</v>
      </c>
      <c r="J25" s="101">
        <f t="shared" si="0"/>
        <v>0</v>
      </c>
      <c r="K25" s="100">
        <v>0</v>
      </c>
      <c r="L25" s="98">
        <v>0</v>
      </c>
      <c r="M25" s="101">
        <f t="shared" si="1"/>
        <v>0</v>
      </c>
      <c r="N25" s="100">
        <v>0</v>
      </c>
      <c r="O25" s="98">
        <v>0</v>
      </c>
      <c r="P25" s="101">
        <f t="shared" si="2"/>
        <v>0</v>
      </c>
      <c r="Q25" s="100">
        <v>0</v>
      </c>
      <c r="R25" s="98">
        <v>0</v>
      </c>
      <c r="S25" s="101">
        <f t="shared" si="3"/>
        <v>0</v>
      </c>
      <c r="T25" s="100">
        <v>0</v>
      </c>
      <c r="U25" s="98">
        <v>0</v>
      </c>
      <c r="V25" s="101">
        <f t="shared" si="9"/>
        <v>0</v>
      </c>
      <c r="W25" s="100">
        <v>0</v>
      </c>
      <c r="X25" s="98">
        <v>0</v>
      </c>
      <c r="Y25" s="99">
        <f t="shared" si="4"/>
        <v>0</v>
      </c>
      <c r="Z25" s="101">
        <v>1</v>
      </c>
      <c r="AA25" s="100">
        <v>0</v>
      </c>
      <c r="AB25" s="98">
        <v>0</v>
      </c>
      <c r="AC25" s="99">
        <f t="shared" si="5"/>
        <v>0</v>
      </c>
      <c r="AD25" s="101">
        <v>1</v>
      </c>
      <c r="AE25" s="100">
        <v>0</v>
      </c>
      <c r="AF25" s="98">
        <v>0</v>
      </c>
      <c r="AG25" s="101">
        <f t="shared" si="6"/>
        <v>0</v>
      </c>
      <c r="AH25" s="100">
        <v>0</v>
      </c>
      <c r="AI25" s="98">
        <v>0</v>
      </c>
      <c r="AJ25" s="101">
        <f t="shared" si="7"/>
        <v>0</v>
      </c>
      <c r="AK25" s="100">
        <v>0</v>
      </c>
      <c r="AL25" s="98">
        <v>0</v>
      </c>
      <c r="AM25" s="101">
        <f t="shared" si="8"/>
        <v>0</v>
      </c>
      <c r="AN25" s="106"/>
    </row>
    <row r="26" spans="2:40" s="35" customFormat="1" ht="17.100000000000001" customHeight="1">
      <c r="B26" s="105"/>
      <c r="C26" s="54"/>
      <c r="D26" s="96"/>
      <c r="E26" s="111"/>
      <c r="F26" s="112"/>
      <c r="G26" s="113"/>
      <c r="H26" s="100">
        <v>0</v>
      </c>
      <c r="I26" s="98">
        <v>0</v>
      </c>
      <c r="J26" s="101">
        <f t="shared" si="0"/>
        <v>0</v>
      </c>
      <c r="K26" s="100">
        <v>0</v>
      </c>
      <c r="L26" s="98">
        <v>0</v>
      </c>
      <c r="M26" s="101">
        <f t="shared" si="1"/>
        <v>0</v>
      </c>
      <c r="N26" s="100">
        <v>0</v>
      </c>
      <c r="O26" s="98">
        <v>0</v>
      </c>
      <c r="P26" s="101">
        <f t="shared" si="2"/>
        <v>0</v>
      </c>
      <c r="Q26" s="100">
        <v>0</v>
      </c>
      <c r="R26" s="98">
        <v>0</v>
      </c>
      <c r="S26" s="101">
        <f t="shared" ref="S26:S27" si="10">Q26*R26</f>
        <v>0</v>
      </c>
      <c r="T26" s="100">
        <v>0</v>
      </c>
      <c r="U26" s="98">
        <v>0</v>
      </c>
      <c r="V26" s="101">
        <f t="shared" ref="V26:V27" si="11">T26*U26</f>
        <v>0</v>
      </c>
      <c r="W26" s="100">
        <v>0</v>
      </c>
      <c r="X26" s="98">
        <v>0</v>
      </c>
      <c r="Y26" s="99">
        <f t="shared" si="4"/>
        <v>0</v>
      </c>
      <c r="Z26" s="101">
        <v>1</v>
      </c>
      <c r="AA26" s="100">
        <v>0</v>
      </c>
      <c r="AB26" s="98">
        <v>0</v>
      </c>
      <c r="AC26" s="99">
        <f t="shared" si="5"/>
        <v>0</v>
      </c>
      <c r="AD26" s="101">
        <v>1</v>
      </c>
      <c r="AE26" s="100">
        <v>0</v>
      </c>
      <c r="AF26" s="98">
        <v>0</v>
      </c>
      <c r="AG26" s="101">
        <f t="shared" si="6"/>
        <v>0</v>
      </c>
      <c r="AH26" s="100">
        <v>0</v>
      </c>
      <c r="AI26" s="98">
        <v>0</v>
      </c>
      <c r="AJ26" s="101">
        <f t="shared" si="7"/>
        <v>0</v>
      </c>
      <c r="AK26" s="100">
        <v>0</v>
      </c>
      <c r="AL26" s="98">
        <v>0</v>
      </c>
      <c r="AM26" s="101">
        <f t="shared" si="8"/>
        <v>0</v>
      </c>
      <c r="AN26" s="106"/>
    </row>
    <row r="27" spans="2:40" s="35" customFormat="1" ht="17.100000000000001" customHeight="1">
      <c r="B27" s="105"/>
      <c r="C27" s="54"/>
      <c r="D27" s="96"/>
      <c r="E27" s="111"/>
      <c r="F27" s="112"/>
      <c r="G27" s="113"/>
      <c r="H27" s="100">
        <v>0</v>
      </c>
      <c r="I27" s="98">
        <v>0</v>
      </c>
      <c r="J27" s="101">
        <f t="shared" si="0"/>
        <v>0</v>
      </c>
      <c r="K27" s="100">
        <v>0</v>
      </c>
      <c r="L27" s="98">
        <v>0</v>
      </c>
      <c r="M27" s="101">
        <f t="shared" si="1"/>
        <v>0</v>
      </c>
      <c r="N27" s="100">
        <v>0</v>
      </c>
      <c r="O27" s="98">
        <v>0</v>
      </c>
      <c r="P27" s="101">
        <f t="shared" si="2"/>
        <v>0</v>
      </c>
      <c r="Q27" s="100">
        <v>0</v>
      </c>
      <c r="R27" s="98">
        <v>0</v>
      </c>
      <c r="S27" s="101">
        <f t="shared" si="10"/>
        <v>0</v>
      </c>
      <c r="T27" s="100">
        <v>0</v>
      </c>
      <c r="U27" s="98">
        <v>0</v>
      </c>
      <c r="V27" s="101">
        <f t="shared" si="11"/>
        <v>0</v>
      </c>
      <c r="W27" s="100">
        <v>0</v>
      </c>
      <c r="X27" s="98">
        <v>0</v>
      </c>
      <c r="Y27" s="99">
        <f t="shared" si="4"/>
        <v>0</v>
      </c>
      <c r="Z27" s="101">
        <v>1</v>
      </c>
      <c r="AA27" s="100">
        <v>0</v>
      </c>
      <c r="AB27" s="98">
        <v>0</v>
      </c>
      <c r="AC27" s="99">
        <f t="shared" si="5"/>
        <v>0</v>
      </c>
      <c r="AD27" s="101">
        <v>1</v>
      </c>
      <c r="AE27" s="100">
        <v>0</v>
      </c>
      <c r="AF27" s="98">
        <v>0</v>
      </c>
      <c r="AG27" s="101">
        <f t="shared" si="6"/>
        <v>0</v>
      </c>
      <c r="AH27" s="100">
        <v>0</v>
      </c>
      <c r="AI27" s="98">
        <v>0</v>
      </c>
      <c r="AJ27" s="101">
        <f t="shared" si="7"/>
        <v>0</v>
      </c>
      <c r="AK27" s="100">
        <v>0</v>
      </c>
      <c r="AL27" s="98">
        <v>0</v>
      </c>
      <c r="AM27" s="101">
        <f t="shared" si="8"/>
        <v>0</v>
      </c>
      <c r="AN27" s="106"/>
    </row>
    <row r="28" spans="2:40" s="126" customFormat="1" ht="17.100000000000001" customHeight="1">
      <c r="B28" s="118"/>
      <c r="C28" s="119"/>
      <c r="D28" s="120"/>
      <c r="E28" s="121"/>
      <c r="F28" s="122"/>
      <c r="G28" s="123"/>
      <c r="H28" s="341" t="s">
        <v>201</v>
      </c>
      <c r="I28" s="342"/>
      <c r="J28" s="124">
        <f>SUM(J21:J27)</f>
        <v>0</v>
      </c>
      <c r="K28" s="341" t="s">
        <v>201</v>
      </c>
      <c r="L28" s="342"/>
      <c r="M28" s="124">
        <f>SUM(M21:M27)</f>
        <v>0</v>
      </c>
      <c r="N28" s="341" t="s">
        <v>201</v>
      </c>
      <c r="O28" s="342"/>
      <c r="P28" s="124">
        <f>SUM(P21:P27)</f>
        <v>0</v>
      </c>
      <c r="Q28" s="341" t="s">
        <v>201</v>
      </c>
      <c r="R28" s="342"/>
      <c r="S28" s="124">
        <f>SUM(S21:S27)</f>
        <v>0</v>
      </c>
      <c r="T28" s="341" t="s">
        <v>201</v>
      </c>
      <c r="U28" s="342"/>
      <c r="V28" s="124">
        <f>SUM(V21:V27)</f>
        <v>0</v>
      </c>
      <c r="W28" s="341" t="s">
        <v>201</v>
      </c>
      <c r="X28" s="342"/>
      <c r="Y28" s="127">
        <f>SUM(Y21:Y27)</f>
        <v>10</v>
      </c>
      <c r="Z28" s="101">
        <v>2</v>
      </c>
      <c r="AA28" s="341" t="s">
        <v>201</v>
      </c>
      <c r="AB28" s="342"/>
      <c r="AC28" s="127">
        <f>SUM(AC21:AC27)</f>
        <v>0</v>
      </c>
      <c r="AD28" s="101">
        <v>2</v>
      </c>
      <c r="AE28" s="341" t="s">
        <v>201</v>
      </c>
      <c r="AF28" s="342"/>
      <c r="AG28" s="124">
        <f>SUM(AG21:AG27)</f>
        <v>0</v>
      </c>
      <c r="AH28" s="341" t="s">
        <v>201</v>
      </c>
      <c r="AI28" s="342"/>
      <c r="AJ28" s="124">
        <f>SUM(AJ21:AJ27)</f>
        <v>0</v>
      </c>
      <c r="AK28" s="341" t="s">
        <v>201</v>
      </c>
      <c r="AL28" s="342"/>
      <c r="AM28" s="124">
        <f>SUM(AM21:AM27)</f>
        <v>0</v>
      </c>
      <c r="AN28" s="125"/>
    </row>
    <row r="29" spans="2:40" s="35" customFormat="1" ht="17.100000000000001" customHeight="1">
      <c r="B29" s="105"/>
      <c r="C29" s="54">
        <f>'1. Rekap Back Up Aspal'!C22</f>
        <v>21800</v>
      </c>
      <c r="D29" s="96">
        <f>'1. Rekap Back Up Aspal'!D22</f>
        <v>21900</v>
      </c>
      <c r="E29" s="111">
        <f>'1. Rekap Back Up Aspal'!E22</f>
        <v>4.5</v>
      </c>
      <c r="F29" s="112">
        <f>(100/((D29-C29)*E29))*((J36*0.5)+(M36*0.5)+(P36*4)+(S36*4)+(V36*1)+(Y36*2)+(AC36*1.5)+(AG36*1)+(AJ36*1)+(AM36*1))</f>
        <v>0</v>
      </c>
      <c r="G29" s="113" t="str">
        <f>IF(F29&lt;=25,"B",IF(F29&lt;=75,"S",IF(F29&lt;=100,"RR","RB")))</f>
        <v>B</v>
      </c>
      <c r="H29" s="100">
        <v>0</v>
      </c>
      <c r="I29" s="98">
        <v>0</v>
      </c>
      <c r="J29" s="101">
        <f t="shared" ref="J29:J35" si="12">H29*I29</f>
        <v>0</v>
      </c>
      <c r="K29" s="100">
        <v>0</v>
      </c>
      <c r="L29" s="98">
        <v>0</v>
      </c>
      <c r="M29" s="101">
        <f t="shared" ref="M29:M35" si="13">K29*L29</f>
        <v>0</v>
      </c>
      <c r="N29" s="100">
        <v>0</v>
      </c>
      <c r="O29" s="98">
        <v>4</v>
      </c>
      <c r="P29" s="101">
        <f t="shared" ref="P29:P35" si="14">N29*O29</f>
        <v>0</v>
      </c>
      <c r="Q29" s="100">
        <v>0</v>
      </c>
      <c r="R29" s="98">
        <v>0</v>
      </c>
      <c r="S29" s="101">
        <f t="shared" ref="S29:S35" si="15">Q29*R29</f>
        <v>0</v>
      </c>
      <c r="T29" s="100">
        <v>0</v>
      </c>
      <c r="U29" s="98">
        <v>0</v>
      </c>
      <c r="V29" s="101">
        <f>T29*U29</f>
        <v>0</v>
      </c>
      <c r="W29" s="100">
        <v>0</v>
      </c>
      <c r="X29" s="98">
        <v>0</v>
      </c>
      <c r="Y29" s="99">
        <f t="shared" ref="Y29:Y35" si="16">W29*X29</f>
        <v>0</v>
      </c>
      <c r="Z29" s="101">
        <v>2</v>
      </c>
      <c r="AA29" s="100">
        <v>0</v>
      </c>
      <c r="AB29" s="98">
        <v>0</v>
      </c>
      <c r="AC29" s="99">
        <f t="shared" ref="AC29:AC35" si="17">AA29*AB29</f>
        <v>0</v>
      </c>
      <c r="AD29" s="101">
        <v>1</v>
      </c>
      <c r="AE29" s="100">
        <v>0</v>
      </c>
      <c r="AF29" s="98">
        <v>0</v>
      </c>
      <c r="AG29" s="101">
        <f t="shared" ref="AG29:AG35" si="18">AE29*AF29</f>
        <v>0</v>
      </c>
      <c r="AH29" s="100">
        <v>0</v>
      </c>
      <c r="AI29" s="98">
        <v>0</v>
      </c>
      <c r="AJ29" s="101">
        <f t="shared" ref="AJ29:AJ35" si="19">AH29*AI29</f>
        <v>0</v>
      </c>
      <c r="AK29" s="100">
        <v>0</v>
      </c>
      <c r="AL29" s="98">
        <v>0</v>
      </c>
      <c r="AM29" s="101">
        <f t="shared" ref="AM29:AM35" si="20">AK29*AL29</f>
        <v>0</v>
      </c>
      <c r="AN29" s="106"/>
    </row>
    <row r="30" spans="2:40" s="35" customFormat="1" ht="17.100000000000001" customHeight="1">
      <c r="B30" s="105"/>
      <c r="C30" s="54"/>
      <c r="D30" s="96"/>
      <c r="E30" s="111"/>
      <c r="F30" s="112"/>
      <c r="G30" s="113"/>
      <c r="H30" s="100">
        <v>0</v>
      </c>
      <c r="I30" s="98">
        <v>0</v>
      </c>
      <c r="J30" s="101">
        <f t="shared" si="12"/>
        <v>0</v>
      </c>
      <c r="K30" s="100">
        <v>0</v>
      </c>
      <c r="L30" s="98">
        <v>0</v>
      </c>
      <c r="M30" s="101">
        <f t="shared" si="13"/>
        <v>0</v>
      </c>
      <c r="N30" s="100">
        <v>0</v>
      </c>
      <c r="O30" s="98">
        <v>0</v>
      </c>
      <c r="P30" s="101">
        <f t="shared" si="14"/>
        <v>0</v>
      </c>
      <c r="Q30" s="100">
        <v>0</v>
      </c>
      <c r="R30" s="98">
        <v>0</v>
      </c>
      <c r="S30" s="101">
        <f t="shared" si="15"/>
        <v>0</v>
      </c>
      <c r="T30" s="100">
        <v>0</v>
      </c>
      <c r="U30" s="98">
        <v>0</v>
      </c>
      <c r="V30" s="101">
        <f t="shared" ref="V30:V35" si="21">T30*U30</f>
        <v>0</v>
      </c>
      <c r="W30" s="100">
        <v>0</v>
      </c>
      <c r="X30" s="98">
        <v>0</v>
      </c>
      <c r="Y30" s="99">
        <f t="shared" si="16"/>
        <v>0</v>
      </c>
      <c r="Z30" s="101">
        <v>3</v>
      </c>
      <c r="AA30" s="100">
        <v>0</v>
      </c>
      <c r="AB30" s="98">
        <v>0</v>
      </c>
      <c r="AC30" s="99">
        <f t="shared" si="17"/>
        <v>0</v>
      </c>
      <c r="AD30" s="101">
        <v>1</v>
      </c>
      <c r="AE30" s="100">
        <v>0</v>
      </c>
      <c r="AF30" s="98">
        <v>0</v>
      </c>
      <c r="AG30" s="101">
        <f t="shared" si="18"/>
        <v>0</v>
      </c>
      <c r="AH30" s="100">
        <v>0</v>
      </c>
      <c r="AI30" s="98">
        <v>0</v>
      </c>
      <c r="AJ30" s="101">
        <f t="shared" si="19"/>
        <v>0</v>
      </c>
      <c r="AK30" s="100">
        <v>0</v>
      </c>
      <c r="AL30" s="98">
        <v>0</v>
      </c>
      <c r="AM30" s="101">
        <f t="shared" si="20"/>
        <v>0</v>
      </c>
      <c r="AN30" s="106"/>
    </row>
    <row r="31" spans="2:40" s="35" customFormat="1" ht="17.100000000000001" customHeight="1">
      <c r="B31" s="105"/>
      <c r="C31" s="54"/>
      <c r="D31" s="96"/>
      <c r="E31" s="111"/>
      <c r="F31" s="112"/>
      <c r="G31" s="113"/>
      <c r="H31" s="100">
        <v>0</v>
      </c>
      <c r="I31" s="98">
        <v>0</v>
      </c>
      <c r="J31" s="101">
        <f t="shared" si="12"/>
        <v>0</v>
      </c>
      <c r="K31" s="100">
        <v>0</v>
      </c>
      <c r="L31" s="98">
        <v>0</v>
      </c>
      <c r="M31" s="101">
        <f t="shared" si="13"/>
        <v>0</v>
      </c>
      <c r="N31" s="100">
        <v>0</v>
      </c>
      <c r="O31" s="98">
        <v>0</v>
      </c>
      <c r="P31" s="101">
        <f t="shared" si="14"/>
        <v>0</v>
      </c>
      <c r="Q31" s="100">
        <v>0</v>
      </c>
      <c r="R31" s="98">
        <v>0</v>
      </c>
      <c r="S31" s="101">
        <f t="shared" si="15"/>
        <v>0</v>
      </c>
      <c r="T31" s="100">
        <v>0</v>
      </c>
      <c r="U31" s="98">
        <v>0</v>
      </c>
      <c r="V31" s="101">
        <f t="shared" si="21"/>
        <v>0</v>
      </c>
      <c r="W31" s="100">
        <v>0</v>
      </c>
      <c r="X31" s="98">
        <v>0</v>
      </c>
      <c r="Y31" s="99">
        <f t="shared" si="16"/>
        <v>0</v>
      </c>
      <c r="Z31" s="101">
        <v>1</v>
      </c>
      <c r="AA31" s="100">
        <v>0</v>
      </c>
      <c r="AB31" s="98">
        <v>0</v>
      </c>
      <c r="AC31" s="99">
        <f t="shared" si="17"/>
        <v>0</v>
      </c>
      <c r="AD31" s="101">
        <v>1</v>
      </c>
      <c r="AE31" s="100">
        <v>0</v>
      </c>
      <c r="AF31" s="98">
        <v>0</v>
      </c>
      <c r="AG31" s="101">
        <f t="shared" si="18"/>
        <v>0</v>
      </c>
      <c r="AH31" s="100">
        <v>0</v>
      </c>
      <c r="AI31" s="98">
        <v>0</v>
      </c>
      <c r="AJ31" s="101">
        <f t="shared" si="19"/>
        <v>0</v>
      </c>
      <c r="AK31" s="100">
        <v>0</v>
      </c>
      <c r="AL31" s="98">
        <v>0</v>
      </c>
      <c r="AM31" s="101">
        <f t="shared" si="20"/>
        <v>0</v>
      </c>
      <c r="AN31" s="106"/>
    </row>
    <row r="32" spans="2:40" s="35" customFormat="1" ht="17.100000000000001" customHeight="1">
      <c r="B32" s="105"/>
      <c r="C32" s="54"/>
      <c r="D32" s="96"/>
      <c r="E32" s="111"/>
      <c r="F32" s="112"/>
      <c r="G32" s="113"/>
      <c r="H32" s="100">
        <v>0</v>
      </c>
      <c r="I32" s="98">
        <v>0</v>
      </c>
      <c r="J32" s="101">
        <f t="shared" si="12"/>
        <v>0</v>
      </c>
      <c r="K32" s="100">
        <v>0</v>
      </c>
      <c r="L32" s="98">
        <v>0</v>
      </c>
      <c r="M32" s="101">
        <f t="shared" si="13"/>
        <v>0</v>
      </c>
      <c r="N32" s="100">
        <v>0</v>
      </c>
      <c r="O32" s="98">
        <v>0</v>
      </c>
      <c r="P32" s="101">
        <f t="shared" si="14"/>
        <v>0</v>
      </c>
      <c r="Q32" s="100">
        <v>0</v>
      </c>
      <c r="R32" s="98">
        <v>0</v>
      </c>
      <c r="S32" s="101">
        <f t="shared" si="15"/>
        <v>0</v>
      </c>
      <c r="T32" s="100">
        <v>0</v>
      </c>
      <c r="U32" s="98">
        <v>0</v>
      </c>
      <c r="V32" s="101">
        <f t="shared" si="21"/>
        <v>0</v>
      </c>
      <c r="W32" s="100">
        <v>0</v>
      </c>
      <c r="X32" s="98">
        <v>0</v>
      </c>
      <c r="Y32" s="99">
        <f t="shared" si="16"/>
        <v>0</v>
      </c>
      <c r="Z32" s="101">
        <v>1</v>
      </c>
      <c r="AA32" s="100">
        <v>0</v>
      </c>
      <c r="AB32" s="98">
        <v>0</v>
      </c>
      <c r="AC32" s="99">
        <f t="shared" si="17"/>
        <v>0</v>
      </c>
      <c r="AD32" s="101">
        <v>1</v>
      </c>
      <c r="AE32" s="100">
        <v>0</v>
      </c>
      <c r="AF32" s="98">
        <v>0</v>
      </c>
      <c r="AG32" s="101">
        <f t="shared" si="18"/>
        <v>0</v>
      </c>
      <c r="AH32" s="100">
        <v>0</v>
      </c>
      <c r="AI32" s="98">
        <v>0</v>
      </c>
      <c r="AJ32" s="101">
        <f t="shared" si="19"/>
        <v>0</v>
      </c>
      <c r="AK32" s="100">
        <v>0</v>
      </c>
      <c r="AL32" s="98">
        <v>0</v>
      </c>
      <c r="AM32" s="101">
        <f t="shared" si="20"/>
        <v>0</v>
      </c>
      <c r="AN32" s="106"/>
    </row>
    <row r="33" spans="2:40" s="35" customFormat="1" ht="17.100000000000001" customHeight="1">
      <c r="B33" s="105"/>
      <c r="C33" s="54"/>
      <c r="D33" s="96"/>
      <c r="E33" s="111"/>
      <c r="F33" s="112"/>
      <c r="G33" s="113"/>
      <c r="H33" s="100">
        <v>0</v>
      </c>
      <c r="I33" s="98">
        <v>0</v>
      </c>
      <c r="J33" s="101">
        <f t="shared" si="12"/>
        <v>0</v>
      </c>
      <c r="K33" s="100">
        <v>0</v>
      </c>
      <c r="L33" s="98">
        <v>0</v>
      </c>
      <c r="M33" s="101">
        <f t="shared" si="13"/>
        <v>0</v>
      </c>
      <c r="N33" s="100">
        <v>0</v>
      </c>
      <c r="O33" s="98">
        <v>0</v>
      </c>
      <c r="P33" s="101">
        <f t="shared" si="14"/>
        <v>0</v>
      </c>
      <c r="Q33" s="100">
        <v>0</v>
      </c>
      <c r="R33" s="98">
        <v>0</v>
      </c>
      <c r="S33" s="101">
        <f t="shared" si="15"/>
        <v>0</v>
      </c>
      <c r="T33" s="100">
        <v>0</v>
      </c>
      <c r="U33" s="98">
        <v>0</v>
      </c>
      <c r="V33" s="101">
        <f t="shared" si="21"/>
        <v>0</v>
      </c>
      <c r="W33" s="100">
        <v>0</v>
      </c>
      <c r="X33" s="98">
        <v>0</v>
      </c>
      <c r="Y33" s="99">
        <f t="shared" si="16"/>
        <v>0</v>
      </c>
      <c r="Z33" s="101">
        <v>1</v>
      </c>
      <c r="AA33" s="100">
        <v>0</v>
      </c>
      <c r="AB33" s="98">
        <v>0</v>
      </c>
      <c r="AC33" s="99">
        <f t="shared" si="17"/>
        <v>0</v>
      </c>
      <c r="AD33" s="101">
        <v>1</v>
      </c>
      <c r="AE33" s="100">
        <v>0</v>
      </c>
      <c r="AF33" s="98">
        <v>0</v>
      </c>
      <c r="AG33" s="101">
        <f t="shared" si="18"/>
        <v>0</v>
      </c>
      <c r="AH33" s="100">
        <v>0</v>
      </c>
      <c r="AI33" s="98">
        <v>0</v>
      </c>
      <c r="AJ33" s="101">
        <f t="shared" si="19"/>
        <v>0</v>
      </c>
      <c r="AK33" s="100">
        <v>0</v>
      </c>
      <c r="AL33" s="98">
        <v>0</v>
      </c>
      <c r="AM33" s="101">
        <f t="shared" si="20"/>
        <v>0</v>
      </c>
      <c r="AN33" s="106"/>
    </row>
    <row r="34" spans="2:40" s="35" customFormat="1" ht="17.100000000000001" customHeight="1">
      <c r="B34" s="105"/>
      <c r="C34" s="54"/>
      <c r="D34" s="96"/>
      <c r="E34" s="111"/>
      <c r="F34" s="112"/>
      <c r="G34" s="113"/>
      <c r="H34" s="100">
        <v>0</v>
      </c>
      <c r="I34" s="98">
        <v>0</v>
      </c>
      <c r="J34" s="101">
        <f t="shared" si="12"/>
        <v>0</v>
      </c>
      <c r="K34" s="100">
        <v>0</v>
      </c>
      <c r="L34" s="98">
        <v>0</v>
      </c>
      <c r="M34" s="101">
        <f t="shared" si="13"/>
        <v>0</v>
      </c>
      <c r="N34" s="100">
        <v>0</v>
      </c>
      <c r="O34" s="98">
        <v>0</v>
      </c>
      <c r="P34" s="101">
        <f t="shared" si="14"/>
        <v>0</v>
      </c>
      <c r="Q34" s="100">
        <v>0</v>
      </c>
      <c r="R34" s="98">
        <v>0</v>
      </c>
      <c r="S34" s="101">
        <f t="shared" si="15"/>
        <v>0</v>
      </c>
      <c r="T34" s="100">
        <v>0</v>
      </c>
      <c r="U34" s="98">
        <v>0</v>
      </c>
      <c r="V34" s="101">
        <f t="shared" si="21"/>
        <v>0</v>
      </c>
      <c r="W34" s="100">
        <v>0</v>
      </c>
      <c r="X34" s="98">
        <v>0</v>
      </c>
      <c r="Y34" s="99">
        <f t="shared" si="16"/>
        <v>0</v>
      </c>
      <c r="Z34" s="101">
        <v>1</v>
      </c>
      <c r="AA34" s="100">
        <v>0</v>
      </c>
      <c r="AB34" s="98">
        <v>0</v>
      </c>
      <c r="AC34" s="99">
        <f t="shared" si="17"/>
        <v>0</v>
      </c>
      <c r="AD34" s="101">
        <v>1</v>
      </c>
      <c r="AE34" s="100">
        <v>0</v>
      </c>
      <c r="AF34" s="98">
        <v>0</v>
      </c>
      <c r="AG34" s="101">
        <f t="shared" si="18"/>
        <v>0</v>
      </c>
      <c r="AH34" s="100">
        <v>0</v>
      </c>
      <c r="AI34" s="98">
        <v>0</v>
      </c>
      <c r="AJ34" s="101">
        <f t="shared" si="19"/>
        <v>0</v>
      </c>
      <c r="AK34" s="100">
        <v>0</v>
      </c>
      <c r="AL34" s="98">
        <v>0</v>
      </c>
      <c r="AM34" s="101">
        <f t="shared" si="20"/>
        <v>0</v>
      </c>
      <c r="AN34" s="106"/>
    </row>
    <row r="35" spans="2:40" s="35" customFormat="1" ht="17.100000000000001" customHeight="1">
      <c r="B35" s="105"/>
      <c r="C35" s="54"/>
      <c r="D35" s="96"/>
      <c r="E35" s="111"/>
      <c r="F35" s="112"/>
      <c r="G35" s="113"/>
      <c r="H35" s="100">
        <v>0</v>
      </c>
      <c r="I35" s="98">
        <v>0</v>
      </c>
      <c r="J35" s="101">
        <f t="shared" si="12"/>
        <v>0</v>
      </c>
      <c r="K35" s="100">
        <v>0</v>
      </c>
      <c r="L35" s="98">
        <v>0</v>
      </c>
      <c r="M35" s="101">
        <f t="shared" si="13"/>
        <v>0</v>
      </c>
      <c r="N35" s="100">
        <v>0</v>
      </c>
      <c r="O35" s="98">
        <v>0</v>
      </c>
      <c r="P35" s="101">
        <f t="shared" si="14"/>
        <v>0</v>
      </c>
      <c r="Q35" s="100">
        <v>0</v>
      </c>
      <c r="R35" s="98">
        <v>0</v>
      </c>
      <c r="S35" s="101">
        <f t="shared" si="15"/>
        <v>0</v>
      </c>
      <c r="T35" s="100">
        <v>0</v>
      </c>
      <c r="U35" s="98">
        <v>0</v>
      </c>
      <c r="V35" s="101">
        <f t="shared" si="21"/>
        <v>0</v>
      </c>
      <c r="W35" s="100">
        <v>0</v>
      </c>
      <c r="X35" s="98">
        <v>0</v>
      </c>
      <c r="Y35" s="99">
        <f t="shared" si="16"/>
        <v>0</v>
      </c>
      <c r="Z35" s="101">
        <v>1</v>
      </c>
      <c r="AA35" s="100">
        <v>0</v>
      </c>
      <c r="AB35" s="98">
        <v>0</v>
      </c>
      <c r="AC35" s="99">
        <f t="shared" si="17"/>
        <v>0</v>
      </c>
      <c r="AD35" s="101">
        <v>1</v>
      </c>
      <c r="AE35" s="100">
        <v>0</v>
      </c>
      <c r="AF35" s="98">
        <v>0</v>
      </c>
      <c r="AG35" s="101">
        <f t="shared" si="18"/>
        <v>0</v>
      </c>
      <c r="AH35" s="100">
        <v>0</v>
      </c>
      <c r="AI35" s="98">
        <v>0</v>
      </c>
      <c r="AJ35" s="101">
        <f t="shared" si="19"/>
        <v>0</v>
      </c>
      <c r="AK35" s="100">
        <v>0</v>
      </c>
      <c r="AL35" s="98">
        <v>0</v>
      </c>
      <c r="AM35" s="101">
        <f t="shared" si="20"/>
        <v>0</v>
      </c>
      <c r="AN35" s="106"/>
    </row>
    <row r="36" spans="2:40" s="126" customFormat="1" ht="17.100000000000001" customHeight="1">
      <c r="B36" s="118"/>
      <c r="C36" s="119"/>
      <c r="D36" s="120"/>
      <c r="E36" s="121"/>
      <c r="F36" s="122"/>
      <c r="G36" s="123"/>
      <c r="H36" s="341" t="s">
        <v>201</v>
      </c>
      <c r="I36" s="342"/>
      <c r="J36" s="124">
        <f>SUM(J29:J35)</f>
        <v>0</v>
      </c>
      <c r="K36" s="341" t="s">
        <v>201</v>
      </c>
      <c r="L36" s="342"/>
      <c r="M36" s="124">
        <f>SUM(M29:M35)</f>
        <v>0</v>
      </c>
      <c r="N36" s="341" t="s">
        <v>201</v>
      </c>
      <c r="O36" s="342"/>
      <c r="P36" s="124">
        <f>SUM(P29:P35)</f>
        <v>0</v>
      </c>
      <c r="Q36" s="341" t="s">
        <v>201</v>
      </c>
      <c r="R36" s="342"/>
      <c r="S36" s="124">
        <f>SUM(S29:S35)</f>
        <v>0</v>
      </c>
      <c r="T36" s="341" t="s">
        <v>201</v>
      </c>
      <c r="U36" s="342"/>
      <c r="V36" s="124">
        <f>SUM(V29:V35)</f>
        <v>0</v>
      </c>
      <c r="W36" s="341" t="s">
        <v>201</v>
      </c>
      <c r="X36" s="342"/>
      <c r="Y36" s="127">
        <f>SUM(Y29:Y35)</f>
        <v>0</v>
      </c>
      <c r="Z36" s="101">
        <v>2</v>
      </c>
      <c r="AA36" s="341" t="s">
        <v>201</v>
      </c>
      <c r="AB36" s="342"/>
      <c r="AC36" s="127">
        <f>SUM(AC29:AC35)</f>
        <v>0</v>
      </c>
      <c r="AD36" s="101">
        <v>2</v>
      </c>
      <c r="AE36" s="341" t="s">
        <v>201</v>
      </c>
      <c r="AF36" s="342"/>
      <c r="AG36" s="124">
        <f>SUM(AG29:AG35)</f>
        <v>0</v>
      </c>
      <c r="AH36" s="341" t="s">
        <v>201</v>
      </c>
      <c r="AI36" s="342"/>
      <c r="AJ36" s="124">
        <f>SUM(AJ29:AJ35)</f>
        <v>0</v>
      </c>
      <c r="AK36" s="341" t="s">
        <v>201</v>
      </c>
      <c r="AL36" s="342"/>
      <c r="AM36" s="124">
        <f>SUM(AM29:AM35)</f>
        <v>0</v>
      </c>
      <c r="AN36" s="125"/>
    </row>
    <row r="37" spans="2:40" s="35" customFormat="1" ht="17.100000000000001" customHeight="1">
      <c r="B37" s="105"/>
      <c r="C37" s="54">
        <f>'1. Rekap Back Up Aspal'!C23</f>
        <v>21900</v>
      </c>
      <c r="D37" s="96">
        <f>'1. Rekap Back Up Aspal'!D23</f>
        <v>22000</v>
      </c>
      <c r="E37" s="111">
        <f>'1. Rekap Back Up Aspal'!E23</f>
        <v>4.5</v>
      </c>
      <c r="F37" s="112">
        <f>(100/((D37-C37)*E37))*((J44*0.5)+(M44*0.5)+(P44*4)+(S44*4)+(V44*1)+(Y44*2)+(AC44*1.5)+(AG44*1)+(AJ44*1)+(AM44*1))</f>
        <v>0</v>
      </c>
      <c r="G37" s="113" t="str">
        <f>IF(F37&lt;=25,"B",IF(F37&lt;=75,"S",IF(F37&lt;=100,"RR","RB")))</f>
        <v>B</v>
      </c>
      <c r="H37" s="100">
        <v>0</v>
      </c>
      <c r="I37" s="98">
        <v>0</v>
      </c>
      <c r="J37" s="101">
        <f t="shared" ref="J37:J43" si="22">H37*I37</f>
        <v>0</v>
      </c>
      <c r="K37" s="100">
        <v>0</v>
      </c>
      <c r="L37" s="98">
        <v>0</v>
      </c>
      <c r="M37" s="101">
        <f t="shared" ref="M37:M43" si="23">K37*L37</f>
        <v>0</v>
      </c>
      <c r="N37" s="100">
        <v>0</v>
      </c>
      <c r="O37" s="98">
        <v>4</v>
      </c>
      <c r="P37" s="101">
        <f t="shared" ref="P37:P43" si="24">N37*O37</f>
        <v>0</v>
      </c>
      <c r="Q37" s="100">
        <v>0</v>
      </c>
      <c r="R37" s="98">
        <v>0</v>
      </c>
      <c r="S37" s="101">
        <f t="shared" ref="S37:S43" si="25">Q37*R37</f>
        <v>0</v>
      </c>
      <c r="T37" s="100">
        <v>0</v>
      </c>
      <c r="U37" s="98">
        <v>0</v>
      </c>
      <c r="V37" s="101">
        <f>T37*U37</f>
        <v>0</v>
      </c>
      <c r="W37" s="100">
        <v>0</v>
      </c>
      <c r="X37" s="98">
        <v>0</v>
      </c>
      <c r="Y37" s="99">
        <f t="shared" ref="Y37:Y43" si="26">W37*X37</f>
        <v>0</v>
      </c>
      <c r="Z37" s="101">
        <v>2</v>
      </c>
      <c r="AA37" s="100">
        <v>0</v>
      </c>
      <c r="AB37" s="98">
        <v>0</v>
      </c>
      <c r="AC37" s="99">
        <f t="shared" ref="AC37:AC43" si="27">AA37*AB37</f>
        <v>0</v>
      </c>
      <c r="AD37" s="101">
        <v>1</v>
      </c>
      <c r="AE37" s="100">
        <v>0</v>
      </c>
      <c r="AF37" s="98">
        <v>0</v>
      </c>
      <c r="AG37" s="101">
        <f t="shared" ref="AG37:AG43" si="28">AE37*AF37</f>
        <v>0</v>
      </c>
      <c r="AH37" s="100">
        <v>0</v>
      </c>
      <c r="AI37" s="98">
        <v>0</v>
      </c>
      <c r="AJ37" s="101">
        <f t="shared" ref="AJ37:AJ43" si="29">AH37*AI37</f>
        <v>0</v>
      </c>
      <c r="AK37" s="100">
        <v>0</v>
      </c>
      <c r="AL37" s="98">
        <v>0</v>
      </c>
      <c r="AM37" s="101">
        <f t="shared" ref="AM37:AM43" si="30">AK37*AL37</f>
        <v>0</v>
      </c>
      <c r="AN37" s="106"/>
    </row>
    <row r="38" spans="2:40" s="35" customFormat="1" ht="17.100000000000001" customHeight="1">
      <c r="B38" s="105"/>
      <c r="C38" s="54"/>
      <c r="D38" s="96"/>
      <c r="E38" s="111"/>
      <c r="F38" s="112"/>
      <c r="G38" s="113"/>
      <c r="H38" s="100">
        <v>0</v>
      </c>
      <c r="I38" s="98">
        <v>0</v>
      </c>
      <c r="J38" s="101">
        <f t="shared" si="22"/>
        <v>0</v>
      </c>
      <c r="K38" s="100">
        <v>0</v>
      </c>
      <c r="L38" s="98">
        <v>0</v>
      </c>
      <c r="M38" s="101">
        <f t="shared" si="23"/>
        <v>0</v>
      </c>
      <c r="N38" s="100">
        <v>0</v>
      </c>
      <c r="O38" s="98">
        <v>0</v>
      </c>
      <c r="P38" s="101">
        <f t="shared" si="24"/>
        <v>0</v>
      </c>
      <c r="Q38" s="100">
        <v>0</v>
      </c>
      <c r="R38" s="98">
        <v>0</v>
      </c>
      <c r="S38" s="101">
        <f t="shared" si="25"/>
        <v>0</v>
      </c>
      <c r="T38" s="100">
        <v>0</v>
      </c>
      <c r="U38" s="98">
        <v>0</v>
      </c>
      <c r="V38" s="101">
        <f t="shared" ref="V38:V43" si="31">T38*U38</f>
        <v>0</v>
      </c>
      <c r="W38" s="100">
        <v>0</v>
      </c>
      <c r="X38" s="98">
        <v>0</v>
      </c>
      <c r="Y38" s="99">
        <f t="shared" si="26"/>
        <v>0</v>
      </c>
      <c r="Z38" s="101">
        <v>3</v>
      </c>
      <c r="AA38" s="100">
        <v>0</v>
      </c>
      <c r="AB38" s="98">
        <v>0</v>
      </c>
      <c r="AC38" s="99">
        <f t="shared" si="27"/>
        <v>0</v>
      </c>
      <c r="AD38" s="101">
        <v>1</v>
      </c>
      <c r="AE38" s="100">
        <v>0</v>
      </c>
      <c r="AF38" s="98">
        <v>0</v>
      </c>
      <c r="AG38" s="101">
        <f t="shared" si="28"/>
        <v>0</v>
      </c>
      <c r="AH38" s="100">
        <v>0</v>
      </c>
      <c r="AI38" s="98">
        <v>0</v>
      </c>
      <c r="AJ38" s="101">
        <f t="shared" si="29"/>
        <v>0</v>
      </c>
      <c r="AK38" s="100">
        <v>0</v>
      </c>
      <c r="AL38" s="98">
        <v>0</v>
      </c>
      <c r="AM38" s="101">
        <f t="shared" si="30"/>
        <v>0</v>
      </c>
      <c r="AN38" s="106"/>
    </row>
    <row r="39" spans="2:40" s="35" customFormat="1" ht="17.100000000000001" customHeight="1">
      <c r="B39" s="105"/>
      <c r="C39" s="54"/>
      <c r="D39" s="96"/>
      <c r="E39" s="111"/>
      <c r="F39" s="112"/>
      <c r="G39" s="113"/>
      <c r="H39" s="100">
        <v>0</v>
      </c>
      <c r="I39" s="98">
        <v>0</v>
      </c>
      <c r="J39" s="101">
        <f t="shared" si="22"/>
        <v>0</v>
      </c>
      <c r="K39" s="100">
        <v>0</v>
      </c>
      <c r="L39" s="98">
        <v>0</v>
      </c>
      <c r="M39" s="101">
        <f t="shared" si="23"/>
        <v>0</v>
      </c>
      <c r="N39" s="100">
        <v>0</v>
      </c>
      <c r="O39" s="98">
        <v>0</v>
      </c>
      <c r="P39" s="101">
        <f t="shared" si="24"/>
        <v>0</v>
      </c>
      <c r="Q39" s="100">
        <v>0</v>
      </c>
      <c r="R39" s="98">
        <v>0</v>
      </c>
      <c r="S39" s="101">
        <f t="shared" si="25"/>
        <v>0</v>
      </c>
      <c r="T39" s="100">
        <v>0</v>
      </c>
      <c r="U39" s="98">
        <v>0</v>
      </c>
      <c r="V39" s="101">
        <f t="shared" si="31"/>
        <v>0</v>
      </c>
      <c r="W39" s="100">
        <v>0</v>
      </c>
      <c r="X39" s="98">
        <v>0</v>
      </c>
      <c r="Y39" s="99">
        <f t="shared" si="26"/>
        <v>0</v>
      </c>
      <c r="Z39" s="101">
        <v>1</v>
      </c>
      <c r="AA39" s="100">
        <v>0</v>
      </c>
      <c r="AB39" s="98">
        <v>0</v>
      </c>
      <c r="AC39" s="99">
        <f t="shared" si="27"/>
        <v>0</v>
      </c>
      <c r="AD39" s="101">
        <v>1</v>
      </c>
      <c r="AE39" s="100">
        <v>0</v>
      </c>
      <c r="AF39" s="98">
        <v>0</v>
      </c>
      <c r="AG39" s="101">
        <f t="shared" si="28"/>
        <v>0</v>
      </c>
      <c r="AH39" s="100">
        <v>0</v>
      </c>
      <c r="AI39" s="98">
        <v>0</v>
      </c>
      <c r="AJ39" s="101">
        <f t="shared" si="29"/>
        <v>0</v>
      </c>
      <c r="AK39" s="100">
        <v>0</v>
      </c>
      <c r="AL39" s="98">
        <v>0</v>
      </c>
      <c r="AM39" s="101">
        <f t="shared" si="30"/>
        <v>0</v>
      </c>
      <c r="AN39" s="106"/>
    </row>
    <row r="40" spans="2:40" s="35" customFormat="1" ht="17.100000000000001" customHeight="1">
      <c r="B40" s="105"/>
      <c r="C40" s="54"/>
      <c r="D40" s="96"/>
      <c r="E40" s="111"/>
      <c r="F40" s="112"/>
      <c r="G40" s="113"/>
      <c r="H40" s="100">
        <v>0</v>
      </c>
      <c r="I40" s="98">
        <v>0</v>
      </c>
      <c r="J40" s="101">
        <f t="shared" si="22"/>
        <v>0</v>
      </c>
      <c r="K40" s="100">
        <v>0</v>
      </c>
      <c r="L40" s="98">
        <v>0</v>
      </c>
      <c r="M40" s="101">
        <f t="shared" si="23"/>
        <v>0</v>
      </c>
      <c r="N40" s="100">
        <v>0</v>
      </c>
      <c r="O40" s="98">
        <v>0</v>
      </c>
      <c r="P40" s="101">
        <f t="shared" si="24"/>
        <v>0</v>
      </c>
      <c r="Q40" s="100">
        <v>0</v>
      </c>
      <c r="R40" s="98">
        <v>0</v>
      </c>
      <c r="S40" s="101">
        <f t="shared" si="25"/>
        <v>0</v>
      </c>
      <c r="T40" s="100">
        <v>0</v>
      </c>
      <c r="U40" s="98">
        <v>0</v>
      </c>
      <c r="V40" s="101">
        <f t="shared" si="31"/>
        <v>0</v>
      </c>
      <c r="W40" s="100">
        <v>0</v>
      </c>
      <c r="X40" s="98">
        <v>0</v>
      </c>
      <c r="Y40" s="99">
        <f t="shared" si="26"/>
        <v>0</v>
      </c>
      <c r="Z40" s="101">
        <v>1</v>
      </c>
      <c r="AA40" s="100">
        <v>0</v>
      </c>
      <c r="AB40" s="98">
        <v>0</v>
      </c>
      <c r="AC40" s="99">
        <f t="shared" si="27"/>
        <v>0</v>
      </c>
      <c r="AD40" s="101">
        <v>1</v>
      </c>
      <c r="AE40" s="100">
        <v>0</v>
      </c>
      <c r="AF40" s="98">
        <v>0</v>
      </c>
      <c r="AG40" s="101">
        <f t="shared" si="28"/>
        <v>0</v>
      </c>
      <c r="AH40" s="100">
        <v>0</v>
      </c>
      <c r="AI40" s="98">
        <v>0</v>
      </c>
      <c r="AJ40" s="101">
        <f t="shared" si="29"/>
        <v>0</v>
      </c>
      <c r="AK40" s="100">
        <v>0</v>
      </c>
      <c r="AL40" s="98">
        <v>0</v>
      </c>
      <c r="AM40" s="101">
        <f t="shared" si="30"/>
        <v>0</v>
      </c>
      <c r="AN40" s="106"/>
    </row>
    <row r="41" spans="2:40" s="35" customFormat="1" ht="17.100000000000001" customHeight="1">
      <c r="B41" s="105"/>
      <c r="C41" s="54"/>
      <c r="D41" s="96"/>
      <c r="E41" s="111"/>
      <c r="F41" s="112"/>
      <c r="G41" s="113"/>
      <c r="H41" s="100">
        <v>0</v>
      </c>
      <c r="I41" s="98">
        <v>0</v>
      </c>
      <c r="J41" s="101">
        <f t="shared" si="22"/>
        <v>0</v>
      </c>
      <c r="K41" s="100">
        <v>0</v>
      </c>
      <c r="L41" s="98">
        <v>0</v>
      </c>
      <c r="M41" s="101">
        <f t="shared" si="23"/>
        <v>0</v>
      </c>
      <c r="N41" s="100">
        <v>0</v>
      </c>
      <c r="O41" s="98">
        <v>0</v>
      </c>
      <c r="P41" s="101">
        <f t="shared" si="24"/>
        <v>0</v>
      </c>
      <c r="Q41" s="100">
        <v>0</v>
      </c>
      <c r="R41" s="98">
        <v>0</v>
      </c>
      <c r="S41" s="101">
        <f t="shared" si="25"/>
        <v>0</v>
      </c>
      <c r="T41" s="100">
        <v>0</v>
      </c>
      <c r="U41" s="98">
        <v>0</v>
      </c>
      <c r="V41" s="101">
        <f t="shared" si="31"/>
        <v>0</v>
      </c>
      <c r="W41" s="100">
        <v>0</v>
      </c>
      <c r="X41" s="98">
        <v>0</v>
      </c>
      <c r="Y41" s="99">
        <f t="shared" si="26"/>
        <v>0</v>
      </c>
      <c r="Z41" s="101">
        <v>1</v>
      </c>
      <c r="AA41" s="100">
        <v>0</v>
      </c>
      <c r="AB41" s="98">
        <v>0</v>
      </c>
      <c r="AC41" s="99">
        <f t="shared" si="27"/>
        <v>0</v>
      </c>
      <c r="AD41" s="101">
        <v>1</v>
      </c>
      <c r="AE41" s="100">
        <v>0</v>
      </c>
      <c r="AF41" s="98">
        <v>0</v>
      </c>
      <c r="AG41" s="101">
        <f t="shared" si="28"/>
        <v>0</v>
      </c>
      <c r="AH41" s="100">
        <v>0</v>
      </c>
      <c r="AI41" s="98">
        <v>0</v>
      </c>
      <c r="AJ41" s="101">
        <f t="shared" si="29"/>
        <v>0</v>
      </c>
      <c r="AK41" s="100">
        <v>0</v>
      </c>
      <c r="AL41" s="98">
        <v>0</v>
      </c>
      <c r="AM41" s="101">
        <f t="shared" si="30"/>
        <v>0</v>
      </c>
      <c r="AN41" s="106"/>
    </row>
    <row r="42" spans="2:40" s="35" customFormat="1" ht="17.100000000000001" customHeight="1">
      <c r="B42" s="105"/>
      <c r="C42" s="54"/>
      <c r="D42" s="96"/>
      <c r="E42" s="111"/>
      <c r="F42" s="112"/>
      <c r="G42" s="113"/>
      <c r="H42" s="100">
        <v>0</v>
      </c>
      <c r="I42" s="98">
        <v>0</v>
      </c>
      <c r="J42" s="101">
        <f t="shared" si="22"/>
        <v>0</v>
      </c>
      <c r="K42" s="100">
        <v>0</v>
      </c>
      <c r="L42" s="98">
        <v>0</v>
      </c>
      <c r="M42" s="101">
        <f t="shared" si="23"/>
        <v>0</v>
      </c>
      <c r="N42" s="100">
        <v>0</v>
      </c>
      <c r="O42" s="98">
        <v>0</v>
      </c>
      <c r="P42" s="101">
        <f t="shared" si="24"/>
        <v>0</v>
      </c>
      <c r="Q42" s="100">
        <v>0</v>
      </c>
      <c r="R42" s="98">
        <v>0</v>
      </c>
      <c r="S42" s="101">
        <f t="shared" si="25"/>
        <v>0</v>
      </c>
      <c r="T42" s="100">
        <v>0</v>
      </c>
      <c r="U42" s="98">
        <v>0</v>
      </c>
      <c r="V42" s="101">
        <f t="shared" si="31"/>
        <v>0</v>
      </c>
      <c r="W42" s="100">
        <v>0</v>
      </c>
      <c r="X42" s="98">
        <v>0</v>
      </c>
      <c r="Y42" s="99">
        <f t="shared" si="26"/>
        <v>0</v>
      </c>
      <c r="Z42" s="101">
        <v>1</v>
      </c>
      <c r="AA42" s="100">
        <v>0</v>
      </c>
      <c r="AB42" s="98">
        <v>0</v>
      </c>
      <c r="AC42" s="99">
        <f t="shared" si="27"/>
        <v>0</v>
      </c>
      <c r="AD42" s="101">
        <v>1</v>
      </c>
      <c r="AE42" s="100">
        <v>0</v>
      </c>
      <c r="AF42" s="98">
        <v>0</v>
      </c>
      <c r="AG42" s="101">
        <f t="shared" si="28"/>
        <v>0</v>
      </c>
      <c r="AH42" s="100">
        <v>0</v>
      </c>
      <c r="AI42" s="98">
        <v>0</v>
      </c>
      <c r="AJ42" s="101">
        <f t="shared" si="29"/>
        <v>0</v>
      </c>
      <c r="AK42" s="100">
        <v>0</v>
      </c>
      <c r="AL42" s="98">
        <v>0</v>
      </c>
      <c r="AM42" s="101">
        <f t="shared" si="30"/>
        <v>0</v>
      </c>
      <c r="AN42" s="106"/>
    </row>
    <row r="43" spans="2:40" s="35" customFormat="1" ht="17.100000000000001" customHeight="1">
      <c r="B43" s="105"/>
      <c r="C43" s="54"/>
      <c r="D43" s="96"/>
      <c r="E43" s="111"/>
      <c r="F43" s="112"/>
      <c r="G43" s="113"/>
      <c r="H43" s="100">
        <v>0</v>
      </c>
      <c r="I43" s="98">
        <v>0</v>
      </c>
      <c r="J43" s="101">
        <f t="shared" si="22"/>
        <v>0</v>
      </c>
      <c r="K43" s="100">
        <v>0</v>
      </c>
      <c r="L43" s="98">
        <v>0</v>
      </c>
      <c r="M43" s="101">
        <f t="shared" si="23"/>
        <v>0</v>
      </c>
      <c r="N43" s="100">
        <v>0</v>
      </c>
      <c r="O43" s="98">
        <v>0</v>
      </c>
      <c r="P43" s="101">
        <f t="shared" si="24"/>
        <v>0</v>
      </c>
      <c r="Q43" s="100">
        <v>0</v>
      </c>
      <c r="R43" s="98">
        <v>0</v>
      </c>
      <c r="S43" s="101">
        <f t="shared" si="25"/>
        <v>0</v>
      </c>
      <c r="T43" s="100">
        <v>0</v>
      </c>
      <c r="U43" s="98">
        <v>0</v>
      </c>
      <c r="V43" s="101">
        <f t="shared" si="31"/>
        <v>0</v>
      </c>
      <c r="W43" s="100">
        <v>0</v>
      </c>
      <c r="X43" s="98">
        <v>0</v>
      </c>
      <c r="Y43" s="99">
        <f t="shared" si="26"/>
        <v>0</v>
      </c>
      <c r="Z43" s="101">
        <v>1</v>
      </c>
      <c r="AA43" s="100">
        <v>0</v>
      </c>
      <c r="AB43" s="98">
        <v>0</v>
      </c>
      <c r="AC43" s="99">
        <f t="shared" si="27"/>
        <v>0</v>
      </c>
      <c r="AD43" s="101">
        <v>1</v>
      </c>
      <c r="AE43" s="100">
        <v>0</v>
      </c>
      <c r="AF43" s="98">
        <v>0</v>
      </c>
      <c r="AG43" s="101">
        <f t="shared" si="28"/>
        <v>0</v>
      </c>
      <c r="AH43" s="100">
        <v>0</v>
      </c>
      <c r="AI43" s="98">
        <v>0</v>
      </c>
      <c r="AJ43" s="101">
        <f t="shared" si="29"/>
        <v>0</v>
      </c>
      <c r="AK43" s="100">
        <v>0</v>
      </c>
      <c r="AL43" s="98">
        <v>0</v>
      </c>
      <c r="AM43" s="101">
        <f t="shared" si="30"/>
        <v>0</v>
      </c>
      <c r="AN43" s="106"/>
    </row>
    <row r="44" spans="2:40" s="126" customFormat="1" ht="17.100000000000001" customHeight="1">
      <c r="B44" s="118"/>
      <c r="C44" s="119"/>
      <c r="D44" s="120"/>
      <c r="E44" s="121"/>
      <c r="F44" s="122"/>
      <c r="G44" s="123"/>
      <c r="H44" s="341" t="s">
        <v>201</v>
      </c>
      <c r="I44" s="342"/>
      <c r="J44" s="124">
        <f>SUM(J37:J43)</f>
        <v>0</v>
      </c>
      <c r="K44" s="341" t="s">
        <v>201</v>
      </c>
      <c r="L44" s="342"/>
      <c r="M44" s="124">
        <f>SUM(M37:M43)</f>
        <v>0</v>
      </c>
      <c r="N44" s="341" t="s">
        <v>201</v>
      </c>
      <c r="O44" s="342"/>
      <c r="P44" s="124">
        <f>SUM(P37:P43)</f>
        <v>0</v>
      </c>
      <c r="Q44" s="341" t="s">
        <v>201</v>
      </c>
      <c r="R44" s="342"/>
      <c r="S44" s="124">
        <f>SUM(S37:S43)</f>
        <v>0</v>
      </c>
      <c r="T44" s="341" t="s">
        <v>201</v>
      </c>
      <c r="U44" s="342"/>
      <c r="V44" s="124">
        <f>SUM(V37:V43)</f>
        <v>0</v>
      </c>
      <c r="W44" s="341" t="s">
        <v>201</v>
      </c>
      <c r="X44" s="342"/>
      <c r="Y44" s="127">
        <f>SUM(Y37:Y43)</f>
        <v>0</v>
      </c>
      <c r="Z44" s="101">
        <v>2</v>
      </c>
      <c r="AA44" s="341" t="s">
        <v>201</v>
      </c>
      <c r="AB44" s="342"/>
      <c r="AC44" s="127">
        <f>SUM(AC37:AC43)</f>
        <v>0</v>
      </c>
      <c r="AD44" s="101">
        <v>2</v>
      </c>
      <c r="AE44" s="341" t="s">
        <v>201</v>
      </c>
      <c r="AF44" s="342"/>
      <c r="AG44" s="124">
        <f>SUM(AG37:AG43)</f>
        <v>0</v>
      </c>
      <c r="AH44" s="341" t="s">
        <v>201</v>
      </c>
      <c r="AI44" s="342"/>
      <c r="AJ44" s="124">
        <f>SUM(AJ37:AJ43)</f>
        <v>0</v>
      </c>
      <c r="AK44" s="341" t="s">
        <v>201</v>
      </c>
      <c r="AL44" s="342"/>
      <c r="AM44" s="124">
        <f>SUM(AM37:AM43)</f>
        <v>0</v>
      </c>
      <c r="AN44" s="125"/>
    </row>
    <row r="45" spans="2:40" s="35" customFormat="1" ht="17.100000000000001" customHeight="1">
      <c r="B45" s="105"/>
      <c r="C45" s="54">
        <f>'1. Rekap Back Up Aspal'!C24</f>
        <v>22000</v>
      </c>
      <c r="D45" s="96">
        <f>'1. Rekap Back Up Aspal'!D24</f>
        <v>22100</v>
      </c>
      <c r="E45" s="111">
        <f>'1. Rekap Back Up Aspal'!E24</f>
        <v>4.5</v>
      </c>
      <c r="F45" s="112">
        <f>(100/((D45-C45)*E45))*((J52*0.5)+(M52*0.5)+(P52*4)+(S52*4)+(V52*1)+(Y52*2)+(AC52*1.5)+(AG52*1)+(AJ52*1)+(AM52*1))</f>
        <v>0</v>
      </c>
      <c r="G45" s="113" t="str">
        <f>IF(F45&lt;=25,"B",IF(F45&lt;=75,"S",IF(F45&lt;=100,"RR","RB")))</f>
        <v>B</v>
      </c>
      <c r="H45" s="100">
        <v>0</v>
      </c>
      <c r="I45" s="98">
        <v>0</v>
      </c>
      <c r="J45" s="101">
        <f t="shared" ref="J45:J51" si="32">H45*I45</f>
        <v>0</v>
      </c>
      <c r="K45" s="100">
        <v>0</v>
      </c>
      <c r="L45" s="98">
        <v>0</v>
      </c>
      <c r="M45" s="101">
        <f t="shared" ref="M45:M51" si="33">K45*L45</f>
        <v>0</v>
      </c>
      <c r="N45" s="100">
        <v>0</v>
      </c>
      <c r="O45" s="98">
        <v>4</v>
      </c>
      <c r="P45" s="101">
        <f t="shared" ref="P45:P51" si="34">N45*O45</f>
        <v>0</v>
      </c>
      <c r="Q45" s="100">
        <v>0</v>
      </c>
      <c r="R45" s="98">
        <v>0</v>
      </c>
      <c r="S45" s="101">
        <f t="shared" ref="S45:S51" si="35">Q45*R45</f>
        <v>0</v>
      </c>
      <c r="T45" s="100">
        <v>0</v>
      </c>
      <c r="U45" s="98">
        <v>0</v>
      </c>
      <c r="V45" s="101">
        <f>T45*U45</f>
        <v>0</v>
      </c>
      <c r="W45" s="100">
        <v>0</v>
      </c>
      <c r="X45" s="98">
        <v>0</v>
      </c>
      <c r="Y45" s="99">
        <f t="shared" ref="Y45:Y51" si="36">W45*X45</f>
        <v>0</v>
      </c>
      <c r="Z45" s="101">
        <v>2</v>
      </c>
      <c r="AA45" s="100">
        <v>0</v>
      </c>
      <c r="AB45" s="98">
        <v>0</v>
      </c>
      <c r="AC45" s="99">
        <f t="shared" ref="AC45:AC51" si="37">AA45*AB45</f>
        <v>0</v>
      </c>
      <c r="AD45" s="101">
        <v>1</v>
      </c>
      <c r="AE45" s="100">
        <v>0</v>
      </c>
      <c r="AF45" s="98">
        <v>0</v>
      </c>
      <c r="AG45" s="101">
        <f t="shared" ref="AG45:AG51" si="38">AE45*AF45</f>
        <v>0</v>
      </c>
      <c r="AH45" s="100">
        <v>0</v>
      </c>
      <c r="AI45" s="98">
        <v>0</v>
      </c>
      <c r="AJ45" s="101">
        <f t="shared" ref="AJ45:AJ51" si="39">AH45*AI45</f>
        <v>0</v>
      </c>
      <c r="AK45" s="100">
        <v>0</v>
      </c>
      <c r="AL45" s="98">
        <v>0</v>
      </c>
      <c r="AM45" s="101">
        <f t="shared" ref="AM45:AM51" si="40">AK45*AL45</f>
        <v>0</v>
      </c>
      <c r="AN45" s="106"/>
    </row>
    <row r="46" spans="2:40" s="35" customFormat="1" ht="17.100000000000001" customHeight="1">
      <c r="B46" s="105"/>
      <c r="C46" s="54"/>
      <c r="D46" s="96"/>
      <c r="E46" s="111"/>
      <c r="F46" s="112"/>
      <c r="G46" s="113"/>
      <c r="H46" s="100">
        <v>0</v>
      </c>
      <c r="I46" s="98">
        <v>0</v>
      </c>
      <c r="J46" s="101">
        <f t="shared" si="32"/>
        <v>0</v>
      </c>
      <c r="K46" s="100">
        <v>0</v>
      </c>
      <c r="L46" s="98">
        <v>0</v>
      </c>
      <c r="M46" s="101">
        <f t="shared" si="33"/>
        <v>0</v>
      </c>
      <c r="N46" s="100">
        <v>0</v>
      </c>
      <c r="O46" s="98">
        <v>0</v>
      </c>
      <c r="P46" s="101">
        <f t="shared" si="34"/>
        <v>0</v>
      </c>
      <c r="Q46" s="100">
        <v>0</v>
      </c>
      <c r="R46" s="98">
        <v>0</v>
      </c>
      <c r="S46" s="101">
        <f t="shared" si="35"/>
        <v>0</v>
      </c>
      <c r="T46" s="100">
        <v>0</v>
      </c>
      <c r="U46" s="98">
        <v>0</v>
      </c>
      <c r="V46" s="101">
        <f t="shared" ref="V46:V51" si="41">T46*U46</f>
        <v>0</v>
      </c>
      <c r="W46" s="100">
        <v>0</v>
      </c>
      <c r="X46" s="98">
        <v>0</v>
      </c>
      <c r="Y46" s="99">
        <f t="shared" si="36"/>
        <v>0</v>
      </c>
      <c r="Z46" s="101">
        <v>3</v>
      </c>
      <c r="AA46" s="100">
        <v>0</v>
      </c>
      <c r="AB46" s="98">
        <v>0</v>
      </c>
      <c r="AC46" s="99">
        <f t="shared" si="37"/>
        <v>0</v>
      </c>
      <c r="AD46" s="101">
        <v>1</v>
      </c>
      <c r="AE46" s="100">
        <v>0</v>
      </c>
      <c r="AF46" s="98">
        <v>0</v>
      </c>
      <c r="AG46" s="101">
        <f t="shared" si="38"/>
        <v>0</v>
      </c>
      <c r="AH46" s="100">
        <v>0</v>
      </c>
      <c r="AI46" s="98">
        <v>0</v>
      </c>
      <c r="AJ46" s="101">
        <f t="shared" si="39"/>
        <v>0</v>
      </c>
      <c r="AK46" s="100">
        <v>0</v>
      </c>
      <c r="AL46" s="98">
        <v>0</v>
      </c>
      <c r="AM46" s="101">
        <f t="shared" si="40"/>
        <v>0</v>
      </c>
      <c r="AN46" s="106"/>
    </row>
    <row r="47" spans="2:40" s="35" customFormat="1" ht="17.100000000000001" customHeight="1">
      <c r="B47" s="105"/>
      <c r="C47" s="54"/>
      <c r="D47" s="96"/>
      <c r="E47" s="111"/>
      <c r="F47" s="112"/>
      <c r="G47" s="113"/>
      <c r="H47" s="100">
        <v>0</v>
      </c>
      <c r="I47" s="98">
        <v>0</v>
      </c>
      <c r="J47" s="101">
        <f t="shared" si="32"/>
        <v>0</v>
      </c>
      <c r="K47" s="100">
        <v>0</v>
      </c>
      <c r="L47" s="98">
        <v>0</v>
      </c>
      <c r="M47" s="101">
        <f t="shared" si="33"/>
        <v>0</v>
      </c>
      <c r="N47" s="100">
        <v>0</v>
      </c>
      <c r="O47" s="98">
        <v>0</v>
      </c>
      <c r="P47" s="101">
        <f t="shared" si="34"/>
        <v>0</v>
      </c>
      <c r="Q47" s="100">
        <v>0</v>
      </c>
      <c r="R47" s="98">
        <v>0</v>
      </c>
      <c r="S47" s="101">
        <f t="shared" si="35"/>
        <v>0</v>
      </c>
      <c r="T47" s="100">
        <v>0</v>
      </c>
      <c r="U47" s="98">
        <v>0</v>
      </c>
      <c r="V47" s="101">
        <f t="shared" si="41"/>
        <v>0</v>
      </c>
      <c r="W47" s="100">
        <v>0</v>
      </c>
      <c r="X47" s="98">
        <v>0</v>
      </c>
      <c r="Y47" s="99">
        <f t="shared" si="36"/>
        <v>0</v>
      </c>
      <c r="Z47" s="101">
        <v>1</v>
      </c>
      <c r="AA47" s="100">
        <v>0</v>
      </c>
      <c r="AB47" s="98">
        <v>0</v>
      </c>
      <c r="AC47" s="99">
        <f t="shared" si="37"/>
        <v>0</v>
      </c>
      <c r="AD47" s="101">
        <v>1</v>
      </c>
      <c r="AE47" s="100">
        <v>0</v>
      </c>
      <c r="AF47" s="98">
        <v>0</v>
      </c>
      <c r="AG47" s="101">
        <f t="shared" si="38"/>
        <v>0</v>
      </c>
      <c r="AH47" s="100">
        <v>0</v>
      </c>
      <c r="AI47" s="98">
        <v>0</v>
      </c>
      <c r="AJ47" s="101">
        <f t="shared" si="39"/>
        <v>0</v>
      </c>
      <c r="AK47" s="100">
        <v>0</v>
      </c>
      <c r="AL47" s="98">
        <v>0</v>
      </c>
      <c r="AM47" s="101">
        <f t="shared" si="40"/>
        <v>0</v>
      </c>
      <c r="AN47" s="106"/>
    </row>
    <row r="48" spans="2:40" s="35" customFormat="1" ht="17.100000000000001" customHeight="1">
      <c r="B48" s="105"/>
      <c r="C48" s="54"/>
      <c r="D48" s="96"/>
      <c r="E48" s="111"/>
      <c r="F48" s="112"/>
      <c r="G48" s="113"/>
      <c r="H48" s="100">
        <v>0</v>
      </c>
      <c r="I48" s="98">
        <v>0</v>
      </c>
      <c r="J48" s="101">
        <f t="shared" si="32"/>
        <v>0</v>
      </c>
      <c r="K48" s="100">
        <v>0</v>
      </c>
      <c r="L48" s="98">
        <v>0</v>
      </c>
      <c r="M48" s="101">
        <f t="shared" si="33"/>
        <v>0</v>
      </c>
      <c r="N48" s="100">
        <v>0</v>
      </c>
      <c r="O48" s="98">
        <v>0</v>
      </c>
      <c r="P48" s="101">
        <f t="shared" si="34"/>
        <v>0</v>
      </c>
      <c r="Q48" s="100">
        <v>0</v>
      </c>
      <c r="R48" s="98">
        <v>0</v>
      </c>
      <c r="S48" s="101">
        <f t="shared" si="35"/>
        <v>0</v>
      </c>
      <c r="T48" s="100">
        <v>0</v>
      </c>
      <c r="U48" s="98">
        <v>0</v>
      </c>
      <c r="V48" s="101">
        <f t="shared" si="41"/>
        <v>0</v>
      </c>
      <c r="W48" s="100">
        <v>0</v>
      </c>
      <c r="X48" s="98">
        <v>0</v>
      </c>
      <c r="Y48" s="99">
        <f t="shared" si="36"/>
        <v>0</v>
      </c>
      <c r="Z48" s="101">
        <v>1</v>
      </c>
      <c r="AA48" s="100">
        <v>0</v>
      </c>
      <c r="AB48" s="98">
        <v>0</v>
      </c>
      <c r="AC48" s="99">
        <f t="shared" si="37"/>
        <v>0</v>
      </c>
      <c r="AD48" s="101">
        <v>1</v>
      </c>
      <c r="AE48" s="100">
        <v>0</v>
      </c>
      <c r="AF48" s="98">
        <v>0</v>
      </c>
      <c r="AG48" s="101">
        <f t="shared" si="38"/>
        <v>0</v>
      </c>
      <c r="AH48" s="100">
        <v>0</v>
      </c>
      <c r="AI48" s="98">
        <v>0</v>
      </c>
      <c r="AJ48" s="101">
        <f t="shared" si="39"/>
        <v>0</v>
      </c>
      <c r="AK48" s="100">
        <v>0</v>
      </c>
      <c r="AL48" s="98">
        <v>0</v>
      </c>
      <c r="AM48" s="101">
        <f t="shared" si="40"/>
        <v>0</v>
      </c>
      <c r="AN48" s="106"/>
    </row>
    <row r="49" spans="2:40" s="35" customFormat="1" ht="17.100000000000001" customHeight="1">
      <c r="B49" s="105"/>
      <c r="C49" s="54"/>
      <c r="D49" s="96"/>
      <c r="E49" s="111"/>
      <c r="F49" s="112"/>
      <c r="G49" s="113"/>
      <c r="H49" s="100">
        <v>0</v>
      </c>
      <c r="I49" s="98">
        <v>0</v>
      </c>
      <c r="J49" s="101">
        <f t="shared" si="32"/>
        <v>0</v>
      </c>
      <c r="K49" s="100">
        <v>0</v>
      </c>
      <c r="L49" s="98">
        <v>0</v>
      </c>
      <c r="M49" s="101">
        <f t="shared" si="33"/>
        <v>0</v>
      </c>
      <c r="N49" s="100">
        <v>0</v>
      </c>
      <c r="O49" s="98">
        <v>0</v>
      </c>
      <c r="P49" s="101">
        <f t="shared" si="34"/>
        <v>0</v>
      </c>
      <c r="Q49" s="100">
        <v>0</v>
      </c>
      <c r="R49" s="98">
        <v>0</v>
      </c>
      <c r="S49" s="101">
        <f t="shared" si="35"/>
        <v>0</v>
      </c>
      <c r="T49" s="100">
        <v>0</v>
      </c>
      <c r="U49" s="98">
        <v>0</v>
      </c>
      <c r="V49" s="101">
        <f t="shared" si="41"/>
        <v>0</v>
      </c>
      <c r="W49" s="100">
        <v>0</v>
      </c>
      <c r="X49" s="98">
        <v>0</v>
      </c>
      <c r="Y49" s="99">
        <f t="shared" si="36"/>
        <v>0</v>
      </c>
      <c r="Z49" s="101">
        <v>1</v>
      </c>
      <c r="AA49" s="100">
        <v>0</v>
      </c>
      <c r="AB49" s="98">
        <v>0</v>
      </c>
      <c r="AC49" s="99">
        <f t="shared" si="37"/>
        <v>0</v>
      </c>
      <c r="AD49" s="101">
        <v>1</v>
      </c>
      <c r="AE49" s="100">
        <v>0</v>
      </c>
      <c r="AF49" s="98">
        <v>0</v>
      </c>
      <c r="AG49" s="101">
        <f t="shared" si="38"/>
        <v>0</v>
      </c>
      <c r="AH49" s="100">
        <v>0</v>
      </c>
      <c r="AI49" s="98">
        <v>0</v>
      </c>
      <c r="AJ49" s="101">
        <f t="shared" si="39"/>
        <v>0</v>
      </c>
      <c r="AK49" s="100">
        <v>0</v>
      </c>
      <c r="AL49" s="98">
        <v>0</v>
      </c>
      <c r="AM49" s="101">
        <f t="shared" si="40"/>
        <v>0</v>
      </c>
      <c r="AN49" s="106"/>
    </row>
    <row r="50" spans="2:40" s="35" customFormat="1" ht="17.100000000000001" customHeight="1">
      <c r="B50" s="105"/>
      <c r="C50" s="54"/>
      <c r="D50" s="96"/>
      <c r="E50" s="111"/>
      <c r="F50" s="112"/>
      <c r="G50" s="113"/>
      <c r="H50" s="100">
        <v>0</v>
      </c>
      <c r="I50" s="98">
        <v>0</v>
      </c>
      <c r="J50" s="101">
        <f t="shared" si="32"/>
        <v>0</v>
      </c>
      <c r="K50" s="100">
        <v>0</v>
      </c>
      <c r="L50" s="98">
        <v>0</v>
      </c>
      <c r="M50" s="101">
        <f t="shared" si="33"/>
        <v>0</v>
      </c>
      <c r="N50" s="100">
        <v>0</v>
      </c>
      <c r="O50" s="98">
        <v>0</v>
      </c>
      <c r="P50" s="101">
        <f t="shared" si="34"/>
        <v>0</v>
      </c>
      <c r="Q50" s="100">
        <v>0</v>
      </c>
      <c r="R50" s="98">
        <v>0</v>
      </c>
      <c r="S50" s="101">
        <f t="shared" si="35"/>
        <v>0</v>
      </c>
      <c r="T50" s="100">
        <v>0</v>
      </c>
      <c r="U50" s="98">
        <v>0</v>
      </c>
      <c r="V50" s="101">
        <f t="shared" si="41"/>
        <v>0</v>
      </c>
      <c r="W50" s="100">
        <v>0</v>
      </c>
      <c r="X50" s="98">
        <v>0</v>
      </c>
      <c r="Y50" s="99">
        <f t="shared" si="36"/>
        <v>0</v>
      </c>
      <c r="Z50" s="101">
        <v>1</v>
      </c>
      <c r="AA50" s="100">
        <v>0</v>
      </c>
      <c r="AB50" s="98">
        <v>0</v>
      </c>
      <c r="AC50" s="99">
        <f t="shared" si="37"/>
        <v>0</v>
      </c>
      <c r="AD50" s="101">
        <v>1</v>
      </c>
      <c r="AE50" s="100">
        <v>0</v>
      </c>
      <c r="AF50" s="98">
        <v>0</v>
      </c>
      <c r="AG50" s="101">
        <f t="shared" si="38"/>
        <v>0</v>
      </c>
      <c r="AH50" s="100">
        <v>0</v>
      </c>
      <c r="AI50" s="98">
        <v>0</v>
      </c>
      <c r="AJ50" s="101">
        <f t="shared" si="39"/>
        <v>0</v>
      </c>
      <c r="AK50" s="100">
        <v>0</v>
      </c>
      <c r="AL50" s="98">
        <v>0</v>
      </c>
      <c r="AM50" s="101">
        <f t="shared" si="40"/>
        <v>0</v>
      </c>
      <c r="AN50" s="106"/>
    </row>
    <row r="51" spans="2:40" s="35" customFormat="1" ht="17.100000000000001" customHeight="1">
      <c r="B51" s="105"/>
      <c r="C51" s="54"/>
      <c r="D51" s="96"/>
      <c r="E51" s="111"/>
      <c r="F51" s="112"/>
      <c r="G51" s="113"/>
      <c r="H51" s="100">
        <v>0</v>
      </c>
      <c r="I51" s="98">
        <v>0</v>
      </c>
      <c r="J51" s="101">
        <f t="shared" si="32"/>
        <v>0</v>
      </c>
      <c r="K51" s="100">
        <v>0</v>
      </c>
      <c r="L51" s="98">
        <v>0</v>
      </c>
      <c r="M51" s="101">
        <f t="shared" si="33"/>
        <v>0</v>
      </c>
      <c r="N51" s="100">
        <v>0</v>
      </c>
      <c r="O51" s="98">
        <v>0</v>
      </c>
      <c r="P51" s="101">
        <f t="shared" si="34"/>
        <v>0</v>
      </c>
      <c r="Q51" s="100">
        <v>0</v>
      </c>
      <c r="R51" s="98">
        <v>0</v>
      </c>
      <c r="S51" s="101">
        <f t="shared" si="35"/>
        <v>0</v>
      </c>
      <c r="T51" s="100">
        <v>0</v>
      </c>
      <c r="U51" s="98">
        <v>0</v>
      </c>
      <c r="V51" s="101">
        <f t="shared" si="41"/>
        <v>0</v>
      </c>
      <c r="W51" s="100">
        <v>0</v>
      </c>
      <c r="X51" s="98">
        <v>0</v>
      </c>
      <c r="Y51" s="99">
        <f t="shared" si="36"/>
        <v>0</v>
      </c>
      <c r="Z51" s="101">
        <v>1</v>
      </c>
      <c r="AA51" s="100">
        <v>0</v>
      </c>
      <c r="AB51" s="98">
        <v>0</v>
      </c>
      <c r="AC51" s="99">
        <f t="shared" si="37"/>
        <v>0</v>
      </c>
      <c r="AD51" s="101">
        <v>1</v>
      </c>
      <c r="AE51" s="100">
        <v>0</v>
      </c>
      <c r="AF51" s="98">
        <v>0</v>
      </c>
      <c r="AG51" s="101">
        <f t="shared" si="38"/>
        <v>0</v>
      </c>
      <c r="AH51" s="100">
        <v>0</v>
      </c>
      <c r="AI51" s="98">
        <v>0</v>
      </c>
      <c r="AJ51" s="101">
        <f t="shared" si="39"/>
        <v>0</v>
      </c>
      <c r="AK51" s="100">
        <v>0</v>
      </c>
      <c r="AL51" s="98">
        <v>0</v>
      </c>
      <c r="AM51" s="101">
        <f t="shared" si="40"/>
        <v>0</v>
      </c>
      <c r="AN51" s="106"/>
    </row>
    <row r="52" spans="2:40" s="126" customFormat="1" ht="17.100000000000001" customHeight="1">
      <c r="B52" s="118"/>
      <c r="C52" s="119"/>
      <c r="D52" s="120"/>
      <c r="E52" s="121"/>
      <c r="F52" s="122"/>
      <c r="G52" s="123"/>
      <c r="H52" s="341" t="s">
        <v>201</v>
      </c>
      <c r="I52" s="342"/>
      <c r="J52" s="124">
        <f>SUM(J45:J51)</f>
        <v>0</v>
      </c>
      <c r="K52" s="341" t="s">
        <v>201</v>
      </c>
      <c r="L52" s="342"/>
      <c r="M52" s="124">
        <f>SUM(M45:M51)</f>
        <v>0</v>
      </c>
      <c r="N52" s="341" t="s">
        <v>201</v>
      </c>
      <c r="O52" s="342"/>
      <c r="P52" s="124">
        <f>SUM(P45:P51)</f>
        <v>0</v>
      </c>
      <c r="Q52" s="341" t="s">
        <v>201</v>
      </c>
      <c r="R52" s="342"/>
      <c r="S52" s="124">
        <f>SUM(S45:S51)</f>
        <v>0</v>
      </c>
      <c r="T52" s="341" t="s">
        <v>201</v>
      </c>
      <c r="U52" s="342"/>
      <c r="V52" s="124">
        <f>SUM(V45:V51)</f>
        <v>0</v>
      </c>
      <c r="W52" s="341" t="s">
        <v>201</v>
      </c>
      <c r="X52" s="342"/>
      <c r="Y52" s="127">
        <f>SUM(Y45:Y51)</f>
        <v>0</v>
      </c>
      <c r="Z52" s="101">
        <v>2</v>
      </c>
      <c r="AA52" s="341" t="s">
        <v>201</v>
      </c>
      <c r="AB52" s="342"/>
      <c r="AC52" s="127">
        <f>SUM(AC45:AC51)</f>
        <v>0</v>
      </c>
      <c r="AD52" s="101">
        <v>2</v>
      </c>
      <c r="AE52" s="341" t="s">
        <v>201</v>
      </c>
      <c r="AF52" s="342"/>
      <c r="AG52" s="124">
        <f>SUM(AG45:AG51)</f>
        <v>0</v>
      </c>
      <c r="AH52" s="341" t="s">
        <v>201</v>
      </c>
      <c r="AI52" s="342"/>
      <c r="AJ52" s="124">
        <f>SUM(AJ45:AJ51)</f>
        <v>0</v>
      </c>
      <c r="AK52" s="341" t="s">
        <v>201</v>
      </c>
      <c r="AL52" s="342"/>
      <c r="AM52" s="124">
        <f>SUM(AM45:AM51)</f>
        <v>0</v>
      </c>
      <c r="AN52" s="125"/>
    </row>
    <row r="53" spans="2:40" s="35" customFormat="1" ht="17.100000000000001" customHeight="1">
      <c r="B53" s="248"/>
      <c r="C53" s="249">
        <f>'1. Rekap Back Up Aspal'!C25</f>
        <v>22100</v>
      </c>
      <c r="D53" s="250">
        <f>'1. Rekap Back Up Aspal'!D25</f>
        <v>22150</v>
      </c>
      <c r="E53" s="251">
        <f>'1. Rekap Back Up Aspal'!E25</f>
        <v>4.5</v>
      </c>
      <c r="F53" s="112">
        <f>(100/((D53-C53)*E53))*((J60*0.5)+(M60*0.5)+(P60*4)+(S60*4)+(V60*1)+(Y60*2)+(AC60*1.5)+(AG60*1)+(AJ60*1)+(AM60*1))</f>
        <v>0</v>
      </c>
      <c r="G53" s="113" t="str">
        <f>IF(F53&lt;=25,"B",IF(F53&lt;=75,"S",IF(F53&lt;=100,"RR","RB")))</f>
        <v>B</v>
      </c>
      <c r="H53" s="100">
        <v>0</v>
      </c>
      <c r="I53" s="98">
        <v>0</v>
      </c>
      <c r="J53" s="101">
        <f t="shared" ref="J53:J59" si="42">H53*I53</f>
        <v>0</v>
      </c>
      <c r="K53" s="100">
        <v>0</v>
      </c>
      <c r="L53" s="98">
        <v>0</v>
      </c>
      <c r="M53" s="101">
        <f t="shared" ref="M53:M59" si="43">K53*L53</f>
        <v>0</v>
      </c>
      <c r="N53" s="100">
        <v>0</v>
      </c>
      <c r="O53" s="98">
        <v>4</v>
      </c>
      <c r="P53" s="101">
        <f t="shared" ref="P53:P59" si="44">N53*O53</f>
        <v>0</v>
      </c>
      <c r="Q53" s="100">
        <v>0</v>
      </c>
      <c r="R53" s="98">
        <v>0</v>
      </c>
      <c r="S53" s="101">
        <f t="shared" ref="S53:S59" si="45">Q53*R53</f>
        <v>0</v>
      </c>
      <c r="T53" s="100">
        <v>0</v>
      </c>
      <c r="U53" s="98">
        <v>0</v>
      </c>
      <c r="V53" s="101">
        <f>T53*U53</f>
        <v>0</v>
      </c>
      <c r="W53" s="100">
        <v>0</v>
      </c>
      <c r="X53" s="98">
        <v>0</v>
      </c>
      <c r="Y53" s="99">
        <f t="shared" ref="Y53:Y59" si="46">W53*X53</f>
        <v>0</v>
      </c>
      <c r="Z53" s="101">
        <v>2</v>
      </c>
      <c r="AA53" s="100">
        <v>0</v>
      </c>
      <c r="AB53" s="98">
        <v>0</v>
      </c>
      <c r="AC53" s="99">
        <f t="shared" ref="AC53:AC59" si="47">AA53*AB53</f>
        <v>0</v>
      </c>
      <c r="AD53" s="101">
        <v>1</v>
      </c>
      <c r="AE53" s="100">
        <v>0</v>
      </c>
      <c r="AF53" s="98">
        <v>0</v>
      </c>
      <c r="AG53" s="101">
        <f t="shared" ref="AG53:AG59" si="48">AE53*AF53</f>
        <v>0</v>
      </c>
      <c r="AH53" s="100">
        <v>0</v>
      </c>
      <c r="AI53" s="98">
        <v>0</v>
      </c>
      <c r="AJ53" s="101">
        <f t="shared" ref="AJ53:AJ59" si="49">AH53*AI53</f>
        <v>0</v>
      </c>
      <c r="AK53" s="100">
        <v>0</v>
      </c>
      <c r="AL53" s="98">
        <v>0</v>
      </c>
      <c r="AM53" s="101">
        <f t="shared" ref="AM53:AM59" si="50">AK53*AL53</f>
        <v>0</v>
      </c>
      <c r="AN53" s="106"/>
    </row>
    <row r="54" spans="2:40" s="35" customFormat="1" ht="17.100000000000001" customHeight="1">
      <c r="B54" s="105"/>
      <c r="C54" s="54"/>
      <c r="D54" s="96"/>
      <c r="E54" s="111"/>
      <c r="F54" s="112"/>
      <c r="G54" s="113"/>
      <c r="H54" s="100">
        <v>0</v>
      </c>
      <c r="I54" s="98">
        <v>0</v>
      </c>
      <c r="J54" s="101">
        <f t="shared" si="42"/>
        <v>0</v>
      </c>
      <c r="K54" s="100">
        <v>0</v>
      </c>
      <c r="L54" s="98">
        <v>0</v>
      </c>
      <c r="M54" s="101">
        <f t="shared" si="43"/>
        <v>0</v>
      </c>
      <c r="N54" s="100">
        <v>0</v>
      </c>
      <c r="O54" s="98">
        <v>0</v>
      </c>
      <c r="P54" s="101">
        <f t="shared" si="44"/>
        <v>0</v>
      </c>
      <c r="Q54" s="100">
        <v>0</v>
      </c>
      <c r="R54" s="98">
        <v>0</v>
      </c>
      <c r="S54" s="101">
        <f t="shared" si="45"/>
        <v>0</v>
      </c>
      <c r="T54" s="100">
        <v>0</v>
      </c>
      <c r="U54" s="98">
        <v>0</v>
      </c>
      <c r="V54" s="101">
        <f t="shared" ref="V54:V59" si="51">T54*U54</f>
        <v>0</v>
      </c>
      <c r="W54" s="100">
        <v>0</v>
      </c>
      <c r="X54" s="98">
        <v>0</v>
      </c>
      <c r="Y54" s="99">
        <f t="shared" si="46"/>
        <v>0</v>
      </c>
      <c r="Z54" s="101">
        <v>3</v>
      </c>
      <c r="AA54" s="100">
        <v>0</v>
      </c>
      <c r="AB54" s="98">
        <v>0</v>
      </c>
      <c r="AC54" s="99">
        <f t="shared" si="47"/>
        <v>0</v>
      </c>
      <c r="AD54" s="101">
        <v>1</v>
      </c>
      <c r="AE54" s="100">
        <v>0</v>
      </c>
      <c r="AF54" s="98">
        <v>0</v>
      </c>
      <c r="AG54" s="101">
        <f t="shared" si="48"/>
        <v>0</v>
      </c>
      <c r="AH54" s="100">
        <v>0</v>
      </c>
      <c r="AI54" s="98">
        <v>0</v>
      </c>
      <c r="AJ54" s="101">
        <f t="shared" si="49"/>
        <v>0</v>
      </c>
      <c r="AK54" s="100">
        <v>0</v>
      </c>
      <c r="AL54" s="98">
        <v>0</v>
      </c>
      <c r="AM54" s="101">
        <f t="shared" si="50"/>
        <v>0</v>
      </c>
      <c r="AN54" s="106"/>
    </row>
    <row r="55" spans="2:40" s="35" customFormat="1" ht="17.100000000000001" customHeight="1">
      <c r="B55" s="105"/>
      <c r="C55" s="54"/>
      <c r="D55" s="96"/>
      <c r="E55" s="111"/>
      <c r="F55" s="112"/>
      <c r="G55" s="113"/>
      <c r="H55" s="100">
        <v>0</v>
      </c>
      <c r="I55" s="98">
        <v>0</v>
      </c>
      <c r="J55" s="101">
        <f t="shared" si="42"/>
        <v>0</v>
      </c>
      <c r="K55" s="100">
        <v>0</v>
      </c>
      <c r="L55" s="98">
        <v>0</v>
      </c>
      <c r="M55" s="101">
        <f t="shared" si="43"/>
        <v>0</v>
      </c>
      <c r="N55" s="100">
        <v>0</v>
      </c>
      <c r="O55" s="98">
        <v>0</v>
      </c>
      <c r="P55" s="101">
        <f t="shared" si="44"/>
        <v>0</v>
      </c>
      <c r="Q55" s="100">
        <v>0</v>
      </c>
      <c r="R55" s="98">
        <v>0</v>
      </c>
      <c r="S55" s="101">
        <f t="shared" si="45"/>
        <v>0</v>
      </c>
      <c r="T55" s="100">
        <v>0</v>
      </c>
      <c r="U55" s="98">
        <v>0</v>
      </c>
      <c r="V55" s="101">
        <f t="shared" si="51"/>
        <v>0</v>
      </c>
      <c r="W55" s="100">
        <v>0</v>
      </c>
      <c r="X55" s="98">
        <v>0</v>
      </c>
      <c r="Y55" s="99">
        <f t="shared" si="46"/>
        <v>0</v>
      </c>
      <c r="Z55" s="101">
        <v>1</v>
      </c>
      <c r="AA55" s="100">
        <v>0</v>
      </c>
      <c r="AB55" s="98">
        <v>0</v>
      </c>
      <c r="AC55" s="99">
        <f t="shared" si="47"/>
        <v>0</v>
      </c>
      <c r="AD55" s="101">
        <v>1</v>
      </c>
      <c r="AE55" s="100">
        <v>0</v>
      </c>
      <c r="AF55" s="98">
        <v>0</v>
      </c>
      <c r="AG55" s="101">
        <f t="shared" si="48"/>
        <v>0</v>
      </c>
      <c r="AH55" s="100">
        <v>0</v>
      </c>
      <c r="AI55" s="98">
        <v>0</v>
      </c>
      <c r="AJ55" s="101">
        <f t="shared" si="49"/>
        <v>0</v>
      </c>
      <c r="AK55" s="100">
        <v>0</v>
      </c>
      <c r="AL55" s="98">
        <v>0</v>
      </c>
      <c r="AM55" s="101">
        <f t="shared" si="50"/>
        <v>0</v>
      </c>
      <c r="AN55" s="106"/>
    </row>
    <row r="56" spans="2:40" s="35" customFormat="1" ht="17.100000000000001" customHeight="1">
      <c r="B56" s="105"/>
      <c r="C56" s="54"/>
      <c r="D56" s="96"/>
      <c r="E56" s="111"/>
      <c r="F56" s="112"/>
      <c r="G56" s="113"/>
      <c r="H56" s="100">
        <v>0</v>
      </c>
      <c r="I56" s="98">
        <v>0</v>
      </c>
      <c r="J56" s="101">
        <f t="shared" si="42"/>
        <v>0</v>
      </c>
      <c r="K56" s="100">
        <v>0</v>
      </c>
      <c r="L56" s="98">
        <v>0</v>
      </c>
      <c r="M56" s="101">
        <f t="shared" si="43"/>
        <v>0</v>
      </c>
      <c r="N56" s="100">
        <v>0</v>
      </c>
      <c r="O56" s="98">
        <v>0</v>
      </c>
      <c r="P56" s="101">
        <f t="shared" si="44"/>
        <v>0</v>
      </c>
      <c r="Q56" s="100">
        <v>0</v>
      </c>
      <c r="R56" s="98">
        <v>0</v>
      </c>
      <c r="S56" s="101">
        <f t="shared" si="45"/>
        <v>0</v>
      </c>
      <c r="T56" s="100">
        <v>0</v>
      </c>
      <c r="U56" s="98">
        <v>0</v>
      </c>
      <c r="V56" s="101">
        <f t="shared" si="51"/>
        <v>0</v>
      </c>
      <c r="W56" s="100">
        <v>0</v>
      </c>
      <c r="X56" s="98">
        <v>0</v>
      </c>
      <c r="Y56" s="99">
        <f t="shared" si="46"/>
        <v>0</v>
      </c>
      <c r="Z56" s="101">
        <v>1</v>
      </c>
      <c r="AA56" s="100">
        <v>0</v>
      </c>
      <c r="AB56" s="98">
        <v>0</v>
      </c>
      <c r="AC56" s="99">
        <f t="shared" si="47"/>
        <v>0</v>
      </c>
      <c r="AD56" s="101">
        <v>1</v>
      </c>
      <c r="AE56" s="100">
        <v>0</v>
      </c>
      <c r="AF56" s="98">
        <v>0</v>
      </c>
      <c r="AG56" s="101">
        <f t="shared" si="48"/>
        <v>0</v>
      </c>
      <c r="AH56" s="100">
        <v>0</v>
      </c>
      <c r="AI56" s="98">
        <v>0</v>
      </c>
      <c r="AJ56" s="101">
        <f t="shared" si="49"/>
        <v>0</v>
      </c>
      <c r="AK56" s="100">
        <v>0</v>
      </c>
      <c r="AL56" s="98">
        <v>0</v>
      </c>
      <c r="AM56" s="101">
        <f t="shared" si="50"/>
        <v>0</v>
      </c>
      <c r="AN56" s="106"/>
    </row>
    <row r="57" spans="2:40" s="35" customFormat="1" ht="17.100000000000001" customHeight="1">
      <c r="B57" s="105"/>
      <c r="C57" s="54"/>
      <c r="D57" s="96"/>
      <c r="E57" s="111"/>
      <c r="F57" s="112"/>
      <c r="G57" s="113"/>
      <c r="H57" s="100">
        <v>0</v>
      </c>
      <c r="I57" s="98">
        <v>0</v>
      </c>
      <c r="J57" s="101">
        <f t="shared" si="42"/>
        <v>0</v>
      </c>
      <c r="K57" s="100">
        <v>0</v>
      </c>
      <c r="L57" s="98">
        <v>0</v>
      </c>
      <c r="M57" s="101">
        <f t="shared" si="43"/>
        <v>0</v>
      </c>
      <c r="N57" s="100">
        <v>0</v>
      </c>
      <c r="O57" s="98">
        <v>0</v>
      </c>
      <c r="P57" s="101">
        <f t="shared" si="44"/>
        <v>0</v>
      </c>
      <c r="Q57" s="100">
        <v>0</v>
      </c>
      <c r="R57" s="98">
        <v>0</v>
      </c>
      <c r="S57" s="101">
        <f t="shared" si="45"/>
        <v>0</v>
      </c>
      <c r="T57" s="100">
        <v>0</v>
      </c>
      <c r="U57" s="98">
        <v>0</v>
      </c>
      <c r="V57" s="101">
        <f t="shared" si="51"/>
        <v>0</v>
      </c>
      <c r="W57" s="100">
        <v>0</v>
      </c>
      <c r="X57" s="98">
        <v>0</v>
      </c>
      <c r="Y57" s="99">
        <f t="shared" si="46"/>
        <v>0</v>
      </c>
      <c r="Z57" s="101">
        <v>1</v>
      </c>
      <c r="AA57" s="100">
        <v>0</v>
      </c>
      <c r="AB57" s="98">
        <v>0</v>
      </c>
      <c r="AC57" s="99">
        <f t="shared" si="47"/>
        <v>0</v>
      </c>
      <c r="AD57" s="101">
        <v>1</v>
      </c>
      <c r="AE57" s="100">
        <v>0</v>
      </c>
      <c r="AF57" s="98">
        <v>0</v>
      </c>
      <c r="AG57" s="101">
        <f t="shared" si="48"/>
        <v>0</v>
      </c>
      <c r="AH57" s="100">
        <v>0</v>
      </c>
      <c r="AI57" s="98">
        <v>0</v>
      </c>
      <c r="AJ57" s="101">
        <f t="shared" si="49"/>
        <v>0</v>
      </c>
      <c r="AK57" s="100">
        <v>0</v>
      </c>
      <c r="AL57" s="98">
        <v>0</v>
      </c>
      <c r="AM57" s="101">
        <f t="shared" si="50"/>
        <v>0</v>
      </c>
      <c r="AN57" s="106"/>
    </row>
    <row r="58" spans="2:40" s="35" customFormat="1" ht="17.100000000000001" customHeight="1">
      <c r="B58" s="105"/>
      <c r="C58" s="54"/>
      <c r="D58" s="96"/>
      <c r="E58" s="111"/>
      <c r="F58" s="112"/>
      <c r="G58" s="113"/>
      <c r="H58" s="100">
        <v>0</v>
      </c>
      <c r="I58" s="98">
        <v>0</v>
      </c>
      <c r="J58" s="101">
        <f t="shared" si="42"/>
        <v>0</v>
      </c>
      <c r="K58" s="100">
        <v>0</v>
      </c>
      <c r="L58" s="98">
        <v>0</v>
      </c>
      <c r="M58" s="101">
        <f t="shared" si="43"/>
        <v>0</v>
      </c>
      <c r="N58" s="100">
        <v>0</v>
      </c>
      <c r="O58" s="98">
        <v>0</v>
      </c>
      <c r="P58" s="101">
        <f t="shared" si="44"/>
        <v>0</v>
      </c>
      <c r="Q58" s="100">
        <v>0</v>
      </c>
      <c r="R58" s="98">
        <v>0</v>
      </c>
      <c r="S58" s="101">
        <f t="shared" si="45"/>
        <v>0</v>
      </c>
      <c r="T58" s="100">
        <v>0</v>
      </c>
      <c r="U58" s="98">
        <v>0</v>
      </c>
      <c r="V58" s="101">
        <f t="shared" si="51"/>
        <v>0</v>
      </c>
      <c r="W58" s="100">
        <v>0</v>
      </c>
      <c r="X58" s="98">
        <v>0</v>
      </c>
      <c r="Y58" s="99">
        <f t="shared" si="46"/>
        <v>0</v>
      </c>
      <c r="Z58" s="101">
        <v>1</v>
      </c>
      <c r="AA58" s="100">
        <v>0</v>
      </c>
      <c r="AB58" s="98">
        <v>0</v>
      </c>
      <c r="AC58" s="99">
        <f t="shared" si="47"/>
        <v>0</v>
      </c>
      <c r="AD58" s="101">
        <v>1</v>
      </c>
      <c r="AE58" s="100">
        <v>0</v>
      </c>
      <c r="AF58" s="98">
        <v>0</v>
      </c>
      <c r="AG58" s="101">
        <f t="shared" si="48"/>
        <v>0</v>
      </c>
      <c r="AH58" s="100">
        <v>0</v>
      </c>
      <c r="AI58" s="98">
        <v>0</v>
      </c>
      <c r="AJ58" s="101">
        <f t="shared" si="49"/>
        <v>0</v>
      </c>
      <c r="AK58" s="100">
        <v>0</v>
      </c>
      <c r="AL58" s="98">
        <v>0</v>
      </c>
      <c r="AM58" s="101">
        <f t="shared" si="50"/>
        <v>0</v>
      </c>
      <c r="AN58" s="106"/>
    </row>
    <row r="59" spans="2:40" s="35" customFormat="1" ht="17.100000000000001" customHeight="1">
      <c r="B59" s="105"/>
      <c r="C59" s="54"/>
      <c r="D59" s="96"/>
      <c r="E59" s="111"/>
      <c r="F59" s="112"/>
      <c r="G59" s="113"/>
      <c r="H59" s="100">
        <v>0</v>
      </c>
      <c r="I59" s="98">
        <v>0</v>
      </c>
      <c r="J59" s="101">
        <f t="shared" si="42"/>
        <v>0</v>
      </c>
      <c r="K59" s="100">
        <v>0</v>
      </c>
      <c r="L59" s="98">
        <v>0</v>
      </c>
      <c r="M59" s="101">
        <f t="shared" si="43"/>
        <v>0</v>
      </c>
      <c r="N59" s="100">
        <v>0</v>
      </c>
      <c r="O59" s="98">
        <v>0</v>
      </c>
      <c r="P59" s="101">
        <f t="shared" si="44"/>
        <v>0</v>
      </c>
      <c r="Q59" s="100">
        <v>0</v>
      </c>
      <c r="R59" s="98">
        <v>0</v>
      </c>
      <c r="S59" s="101">
        <f t="shared" si="45"/>
        <v>0</v>
      </c>
      <c r="T59" s="100">
        <v>0</v>
      </c>
      <c r="U59" s="98">
        <v>0</v>
      </c>
      <c r="V59" s="101">
        <f t="shared" si="51"/>
        <v>0</v>
      </c>
      <c r="W59" s="100">
        <v>0</v>
      </c>
      <c r="X59" s="98">
        <v>0</v>
      </c>
      <c r="Y59" s="99">
        <f t="shared" si="46"/>
        <v>0</v>
      </c>
      <c r="Z59" s="101">
        <v>1</v>
      </c>
      <c r="AA59" s="100">
        <v>0</v>
      </c>
      <c r="AB59" s="98">
        <v>0</v>
      </c>
      <c r="AC59" s="99">
        <f t="shared" si="47"/>
        <v>0</v>
      </c>
      <c r="AD59" s="101">
        <v>1</v>
      </c>
      <c r="AE59" s="100">
        <v>0</v>
      </c>
      <c r="AF59" s="98">
        <v>0</v>
      </c>
      <c r="AG59" s="101">
        <f t="shared" si="48"/>
        <v>0</v>
      </c>
      <c r="AH59" s="100">
        <v>0</v>
      </c>
      <c r="AI59" s="98">
        <v>0</v>
      </c>
      <c r="AJ59" s="101">
        <f t="shared" si="49"/>
        <v>0</v>
      </c>
      <c r="AK59" s="100">
        <v>0</v>
      </c>
      <c r="AL59" s="98">
        <v>0</v>
      </c>
      <c r="AM59" s="101">
        <f t="shared" si="50"/>
        <v>0</v>
      </c>
      <c r="AN59" s="106"/>
    </row>
    <row r="60" spans="2:40" s="126" customFormat="1" ht="17.100000000000001" customHeight="1">
      <c r="B60" s="118"/>
      <c r="C60" s="119"/>
      <c r="D60" s="120"/>
      <c r="E60" s="121"/>
      <c r="F60" s="122"/>
      <c r="G60" s="123"/>
      <c r="H60" s="341" t="s">
        <v>201</v>
      </c>
      <c r="I60" s="342"/>
      <c r="J60" s="124">
        <f>SUM(J53:J59)</f>
        <v>0</v>
      </c>
      <c r="K60" s="341" t="s">
        <v>201</v>
      </c>
      <c r="L60" s="342"/>
      <c r="M60" s="124">
        <f>SUM(M53:M59)</f>
        <v>0</v>
      </c>
      <c r="N60" s="341" t="s">
        <v>201</v>
      </c>
      <c r="O60" s="342"/>
      <c r="P60" s="124">
        <f>SUM(P53:P59)</f>
        <v>0</v>
      </c>
      <c r="Q60" s="341" t="s">
        <v>201</v>
      </c>
      <c r="R60" s="342"/>
      <c r="S60" s="124">
        <f>SUM(S53:S59)</f>
        <v>0</v>
      </c>
      <c r="T60" s="341" t="s">
        <v>201</v>
      </c>
      <c r="U60" s="342"/>
      <c r="V60" s="124">
        <f>SUM(V53:V59)</f>
        <v>0</v>
      </c>
      <c r="W60" s="341" t="s">
        <v>201</v>
      </c>
      <c r="X60" s="342"/>
      <c r="Y60" s="127">
        <f>SUM(Y53:Y59)</f>
        <v>0</v>
      </c>
      <c r="Z60" s="101">
        <v>2</v>
      </c>
      <c r="AA60" s="341" t="s">
        <v>201</v>
      </c>
      <c r="AB60" s="342"/>
      <c r="AC60" s="127">
        <f>SUM(AC53:AC59)</f>
        <v>0</v>
      </c>
      <c r="AD60" s="101">
        <v>2</v>
      </c>
      <c r="AE60" s="341" t="s">
        <v>201</v>
      </c>
      <c r="AF60" s="342"/>
      <c r="AG60" s="124">
        <f>SUM(AG53:AG59)</f>
        <v>0</v>
      </c>
      <c r="AH60" s="341" t="s">
        <v>201</v>
      </c>
      <c r="AI60" s="342"/>
      <c r="AJ60" s="124">
        <f>SUM(AJ53:AJ59)</f>
        <v>0</v>
      </c>
      <c r="AK60" s="341" t="s">
        <v>201</v>
      </c>
      <c r="AL60" s="342"/>
      <c r="AM60" s="124">
        <f>SUM(AM53:AM59)</f>
        <v>0</v>
      </c>
      <c r="AN60" s="125"/>
    </row>
    <row r="61" spans="2:40" s="35" customFormat="1" ht="17.100000000000001" customHeight="1">
      <c r="B61" s="105"/>
      <c r="C61" s="54">
        <f>'1. Rekap Back Up Aspal'!C26</f>
        <v>22350</v>
      </c>
      <c r="D61" s="96">
        <f>'1. Rekap Back Up Aspal'!D26</f>
        <v>22400</v>
      </c>
      <c r="E61" s="111">
        <f>'1. Rekap Back Up Aspal'!E26</f>
        <v>4.5</v>
      </c>
      <c r="F61" s="112">
        <f>(100/((D61-C61)*E61))*((J68*0.5)+(M68*0.5)+(P68*4)+(S68*4)+(V68*1)+(Y68*2)+(AC68*1.5)+(AG68*1)+(AJ68*1)+(AM68*1))</f>
        <v>0</v>
      </c>
      <c r="G61" s="113" t="str">
        <f>IF(F61&lt;=25,"B",IF(F61&lt;=75,"S",IF(F61&lt;=100,"RR","RB")))</f>
        <v>B</v>
      </c>
      <c r="H61" s="100">
        <v>0</v>
      </c>
      <c r="I61" s="98">
        <v>0</v>
      </c>
      <c r="J61" s="101">
        <f t="shared" ref="J61:J67" si="52">H61*I61</f>
        <v>0</v>
      </c>
      <c r="K61" s="100">
        <v>0</v>
      </c>
      <c r="L61" s="98">
        <v>0</v>
      </c>
      <c r="M61" s="101">
        <f t="shared" ref="M61:M67" si="53">K61*L61</f>
        <v>0</v>
      </c>
      <c r="N61" s="100">
        <v>0</v>
      </c>
      <c r="O61" s="98">
        <v>4</v>
      </c>
      <c r="P61" s="101">
        <f t="shared" ref="P61:P67" si="54">N61*O61</f>
        <v>0</v>
      </c>
      <c r="Q61" s="100">
        <v>0</v>
      </c>
      <c r="R61" s="98">
        <v>0</v>
      </c>
      <c r="S61" s="101">
        <f t="shared" ref="S61:S67" si="55">Q61*R61</f>
        <v>0</v>
      </c>
      <c r="T61" s="100">
        <v>0</v>
      </c>
      <c r="U61" s="98">
        <v>0</v>
      </c>
      <c r="V61" s="101">
        <f>T61*U61</f>
        <v>0</v>
      </c>
      <c r="W61" s="100">
        <v>0</v>
      </c>
      <c r="X61" s="98">
        <v>0</v>
      </c>
      <c r="Y61" s="99">
        <f t="shared" ref="Y61:Y67" si="56">W61*X61</f>
        <v>0</v>
      </c>
      <c r="Z61" s="101">
        <v>2</v>
      </c>
      <c r="AA61" s="100">
        <v>0</v>
      </c>
      <c r="AB61" s="98">
        <v>0</v>
      </c>
      <c r="AC61" s="99">
        <f t="shared" ref="AC61:AC67" si="57">AA61*AB61</f>
        <v>0</v>
      </c>
      <c r="AD61" s="101">
        <v>1</v>
      </c>
      <c r="AE61" s="100">
        <v>0</v>
      </c>
      <c r="AF61" s="98">
        <v>0</v>
      </c>
      <c r="AG61" s="101">
        <f t="shared" ref="AG61:AG67" si="58">AE61*AF61</f>
        <v>0</v>
      </c>
      <c r="AH61" s="100">
        <v>0</v>
      </c>
      <c r="AI61" s="98">
        <v>0</v>
      </c>
      <c r="AJ61" s="101">
        <f t="shared" ref="AJ61:AJ67" si="59">AH61*AI61</f>
        <v>0</v>
      </c>
      <c r="AK61" s="100">
        <v>0</v>
      </c>
      <c r="AL61" s="98">
        <v>0</v>
      </c>
      <c r="AM61" s="101">
        <f t="shared" ref="AM61:AM67" si="60">AK61*AL61</f>
        <v>0</v>
      </c>
      <c r="AN61" s="106"/>
    </row>
    <row r="62" spans="2:40" s="35" customFormat="1" ht="17.100000000000001" customHeight="1">
      <c r="B62" s="105"/>
      <c r="C62" s="54"/>
      <c r="D62" s="96"/>
      <c r="E62" s="111"/>
      <c r="F62" s="112"/>
      <c r="G62" s="113"/>
      <c r="H62" s="100">
        <v>0</v>
      </c>
      <c r="I62" s="98">
        <v>0</v>
      </c>
      <c r="J62" s="101">
        <f t="shared" si="52"/>
        <v>0</v>
      </c>
      <c r="K62" s="100">
        <v>0</v>
      </c>
      <c r="L62" s="98">
        <v>0</v>
      </c>
      <c r="M62" s="101">
        <f t="shared" si="53"/>
        <v>0</v>
      </c>
      <c r="N62" s="100">
        <v>0</v>
      </c>
      <c r="O62" s="98">
        <v>0</v>
      </c>
      <c r="P62" s="101">
        <f t="shared" si="54"/>
        <v>0</v>
      </c>
      <c r="Q62" s="100">
        <v>0</v>
      </c>
      <c r="R62" s="98">
        <v>0</v>
      </c>
      <c r="S62" s="101">
        <f t="shared" si="55"/>
        <v>0</v>
      </c>
      <c r="T62" s="100">
        <v>0</v>
      </c>
      <c r="U62" s="98">
        <v>0</v>
      </c>
      <c r="V62" s="101">
        <f t="shared" ref="V62:V67" si="61">T62*U62</f>
        <v>0</v>
      </c>
      <c r="W62" s="100">
        <v>0</v>
      </c>
      <c r="X62" s="98">
        <v>0</v>
      </c>
      <c r="Y62" s="99">
        <f t="shared" si="56"/>
        <v>0</v>
      </c>
      <c r="Z62" s="101">
        <v>3</v>
      </c>
      <c r="AA62" s="100">
        <v>0</v>
      </c>
      <c r="AB62" s="98">
        <v>0</v>
      </c>
      <c r="AC62" s="99">
        <f t="shared" si="57"/>
        <v>0</v>
      </c>
      <c r="AD62" s="101">
        <v>1</v>
      </c>
      <c r="AE62" s="100">
        <v>0</v>
      </c>
      <c r="AF62" s="98">
        <v>0</v>
      </c>
      <c r="AG62" s="101">
        <f t="shared" si="58"/>
        <v>0</v>
      </c>
      <c r="AH62" s="100">
        <v>0</v>
      </c>
      <c r="AI62" s="98">
        <v>0</v>
      </c>
      <c r="AJ62" s="101">
        <f t="shared" si="59"/>
        <v>0</v>
      </c>
      <c r="AK62" s="100">
        <v>0</v>
      </c>
      <c r="AL62" s="98">
        <v>0</v>
      </c>
      <c r="AM62" s="101">
        <f t="shared" si="60"/>
        <v>0</v>
      </c>
      <c r="AN62" s="106"/>
    </row>
    <row r="63" spans="2:40" s="35" customFormat="1" ht="17.100000000000001" customHeight="1">
      <c r="B63" s="105"/>
      <c r="C63" s="54"/>
      <c r="D63" s="96"/>
      <c r="E63" s="111"/>
      <c r="F63" s="112"/>
      <c r="G63" s="113"/>
      <c r="H63" s="100">
        <v>0</v>
      </c>
      <c r="I63" s="98">
        <v>0</v>
      </c>
      <c r="J63" s="101">
        <f t="shared" si="52"/>
        <v>0</v>
      </c>
      <c r="K63" s="100">
        <v>0</v>
      </c>
      <c r="L63" s="98">
        <v>0</v>
      </c>
      <c r="M63" s="101">
        <f t="shared" si="53"/>
        <v>0</v>
      </c>
      <c r="N63" s="100">
        <v>0</v>
      </c>
      <c r="O63" s="98">
        <v>0</v>
      </c>
      <c r="P63" s="101">
        <f t="shared" si="54"/>
        <v>0</v>
      </c>
      <c r="Q63" s="100">
        <v>0</v>
      </c>
      <c r="R63" s="98">
        <v>0</v>
      </c>
      <c r="S63" s="101">
        <f t="shared" si="55"/>
        <v>0</v>
      </c>
      <c r="T63" s="100">
        <v>0</v>
      </c>
      <c r="U63" s="98">
        <v>0</v>
      </c>
      <c r="V63" s="101">
        <f t="shared" si="61"/>
        <v>0</v>
      </c>
      <c r="W63" s="100">
        <v>0</v>
      </c>
      <c r="X63" s="98">
        <v>0</v>
      </c>
      <c r="Y63" s="99">
        <f t="shared" si="56"/>
        <v>0</v>
      </c>
      <c r="Z63" s="101">
        <v>1</v>
      </c>
      <c r="AA63" s="100">
        <v>0</v>
      </c>
      <c r="AB63" s="98">
        <v>0</v>
      </c>
      <c r="AC63" s="99">
        <f t="shared" si="57"/>
        <v>0</v>
      </c>
      <c r="AD63" s="101">
        <v>1</v>
      </c>
      <c r="AE63" s="100">
        <v>0</v>
      </c>
      <c r="AF63" s="98">
        <v>0</v>
      </c>
      <c r="AG63" s="101">
        <f t="shared" si="58"/>
        <v>0</v>
      </c>
      <c r="AH63" s="100">
        <v>0</v>
      </c>
      <c r="AI63" s="98">
        <v>0</v>
      </c>
      <c r="AJ63" s="101">
        <f t="shared" si="59"/>
        <v>0</v>
      </c>
      <c r="AK63" s="100">
        <v>0</v>
      </c>
      <c r="AL63" s="98">
        <v>0</v>
      </c>
      <c r="AM63" s="101">
        <f t="shared" si="60"/>
        <v>0</v>
      </c>
      <c r="AN63" s="106"/>
    </row>
    <row r="64" spans="2:40" s="35" customFormat="1" ht="17.100000000000001" customHeight="1">
      <c r="B64" s="105"/>
      <c r="C64" s="54"/>
      <c r="D64" s="96"/>
      <c r="E64" s="111"/>
      <c r="F64" s="112"/>
      <c r="G64" s="113"/>
      <c r="H64" s="100">
        <v>0</v>
      </c>
      <c r="I64" s="98">
        <v>0</v>
      </c>
      <c r="J64" s="101">
        <f t="shared" si="52"/>
        <v>0</v>
      </c>
      <c r="K64" s="100">
        <v>0</v>
      </c>
      <c r="L64" s="98">
        <v>0</v>
      </c>
      <c r="M64" s="101">
        <f t="shared" si="53"/>
        <v>0</v>
      </c>
      <c r="N64" s="100">
        <v>0</v>
      </c>
      <c r="O64" s="98">
        <v>0</v>
      </c>
      <c r="P64" s="101">
        <f t="shared" si="54"/>
        <v>0</v>
      </c>
      <c r="Q64" s="100">
        <v>0</v>
      </c>
      <c r="R64" s="98">
        <v>0</v>
      </c>
      <c r="S64" s="101">
        <f t="shared" si="55"/>
        <v>0</v>
      </c>
      <c r="T64" s="100">
        <v>0</v>
      </c>
      <c r="U64" s="98">
        <v>0</v>
      </c>
      <c r="V64" s="101">
        <f t="shared" si="61"/>
        <v>0</v>
      </c>
      <c r="W64" s="100">
        <v>0</v>
      </c>
      <c r="X64" s="98">
        <v>0</v>
      </c>
      <c r="Y64" s="99">
        <f t="shared" si="56"/>
        <v>0</v>
      </c>
      <c r="Z64" s="101">
        <v>1</v>
      </c>
      <c r="AA64" s="100">
        <v>0</v>
      </c>
      <c r="AB64" s="98">
        <v>0</v>
      </c>
      <c r="AC64" s="99">
        <f t="shared" si="57"/>
        <v>0</v>
      </c>
      <c r="AD64" s="101">
        <v>1</v>
      </c>
      <c r="AE64" s="100">
        <v>0</v>
      </c>
      <c r="AF64" s="98">
        <v>0</v>
      </c>
      <c r="AG64" s="101">
        <f t="shared" si="58"/>
        <v>0</v>
      </c>
      <c r="AH64" s="100">
        <v>0</v>
      </c>
      <c r="AI64" s="98">
        <v>0</v>
      </c>
      <c r="AJ64" s="101">
        <f t="shared" si="59"/>
        <v>0</v>
      </c>
      <c r="AK64" s="100">
        <v>0</v>
      </c>
      <c r="AL64" s="98">
        <v>0</v>
      </c>
      <c r="AM64" s="101">
        <f t="shared" si="60"/>
        <v>0</v>
      </c>
      <c r="AN64" s="106"/>
    </row>
    <row r="65" spans="2:40" s="35" customFormat="1" ht="17.100000000000001" customHeight="1">
      <c r="B65" s="105"/>
      <c r="C65" s="54"/>
      <c r="D65" s="96"/>
      <c r="E65" s="111"/>
      <c r="F65" s="112"/>
      <c r="G65" s="113"/>
      <c r="H65" s="100">
        <v>0</v>
      </c>
      <c r="I65" s="98">
        <v>0</v>
      </c>
      <c r="J65" s="101">
        <f t="shared" si="52"/>
        <v>0</v>
      </c>
      <c r="K65" s="100">
        <v>0</v>
      </c>
      <c r="L65" s="98">
        <v>0</v>
      </c>
      <c r="M65" s="101">
        <f t="shared" si="53"/>
        <v>0</v>
      </c>
      <c r="N65" s="100">
        <v>0</v>
      </c>
      <c r="O65" s="98">
        <v>0</v>
      </c>
      <c r="P65" s="101">
        <f t="shared" si="54"/>
        <v>0</v>
      </c>
      <c r="Q65" s="100">
        <v>0</v>
      </c>
      <c r="R65" s="98">
        <v>0</v>
      </c>
      <c r="S65" s="101">
        <f t="shared" si="55"/>
        <v>0</v>
      </c>
      <c r="T65" s="100">
        <v>0</v>
      </c>
      <c r="U65" s="98">
        <v>0</v>
      </c>
      <c r="V65" s="101">
        <f t="shared" si="61"/>
        <v>0</v>
      </c>
      <c r="W65" s="100">
        <v>0</v>
      </c>
      <c r="X65" s="98">
        <v>0</v>
      </c>
      <c r="Y65" s="99">
        <f t="shared" si="56"/>
        <v>0</v>
      </c>
      <c r="Z65" s="101">
        <v>1</v>
      </c>
      <c r="AA65" s="100">
        <v>0</v>
      </c>
      <c r="AB65" s="98">
        <v>0</v>
      </c>
      <c r="AC65" s="99">
        <f t="shared" si="57"/>
        <v>0</v>
      </c>
      <c r="AD65" s="101">
        <v>1</v>
      </c>
      <c r="AE65" s="100">
        <v>0</v>
      </c>
      <c r="AF65" s="98">
        <v>0</v>
      </c>
      <c r="AG65" s="101">
        <f t="shared" si="58"/>
        <v>0</v>
      </c>
      <c r="AH65" s="100">
        <v>0</v>
      </c>
      <c r="AI65" s="98">
        <v>0</v>
      </c>
      <c r="AJ65" s="101">
        <f t="shared" si="59"/>
        <v>0</v>
      </c>
      <c r="AK65" s="100">
        <v>0</v>
      </c>
      <c r="AL65" s="98">
        <v>0</v>
      </c>
      <c r="AM65" s="101">
        <f t="shared" si="60"/>
        <v>0</v>
      </c>
      <c r="AN65" s="106"/>
    </row>
    <row r="66" spans="2:40" s="35" customFormat="1" ht="17.100000000000001" customHeight="1">
      <c r="B66" s="105"/>
      <c r="C66" s="54"/>
      <c r="D66" s="96"/>
      <c r="E66" s="111"/>
      <c r="F66" s="112"/>
      <c r="G66" s="113"/>
      <c r="H66" s="100">
        <v>0</v>
      </c>
      <c r="I66" s="98">
        <v>0</v>
      </c>
      <c r="J66" s="101">
        <f t="shared" si="52"/>
        <v>0</v>
      </c>
      <c r="K66" s="100">
        <v>0</v>
      </c>
      <c r="L66" s="98">
        <v>0</v>
      </c>
      <c r="M66" s="101">
        <f t="shared" si="53"/>
        <v>0</v>
      </c>
      <c r="N66" s="100">
        <v>0</v>
      </c>
      <c r="O66" s="98">
        <v>0</v>
      </c>
      <c r="P66" s="101">
        <f t="shared" si="54"/>
        <v>0</v>
      </c>
      <c r="Q66" s="100">
        <v>0</v>
      </c>
      <c r="R66" s="98">
        <v>0</v>
      </c>
      <c r="S66" s="101">
        <f t="shared" si="55"/>
        <v>0</v>
      </c>
      <c r="T66" s="100">
        <v>0</v>
      </c>
      <c r="U66" s="98">
        <v>0</v>
      </c>
      <c r="V66" s="101">
        <f t="shared" si="61"/>
        <v>0</v>
      </c>
      <c r="W66" s="100">
        <v>0</v>
      </c>
      <c r="X66" s="98">
        <v>0</v>
      </c>
      <c r="Y66" s="99">
        <f t="shared" si="56"/>
        <v>0</v>
      </c>
      <c r="Z66" s="101">
        <v>1</v>
      </c>
      <c r="AA66" s="100">
        <v>0</v>
      </c>
      <c r="AB66" s="98">
        <v>0</v>
      </c>
      <c r="AC66" s="99">
        <f t="shared" si="57"/>
        <v>0</v>
      </c>
      <c r="AD66" s="101">
        <v>1</v>
      </c>
      <c r="AE66" s="100">
        <v>0</v>
      </c>
      <c r="AF66" s="98">
        <v>0</v>
      </c>
      <c r="AG66" s="101">
        <f t="shared" si="58"/>
        <v>0</v>
      </c>
      <c r="AH66" s="100">
        <v>0</v>
      </c>
      <c r="AI66" s="98">
        <v>0</v>
      </c>
      <c r="AJ66" s="101">
        <f t="shared" si="59"/>
        <v>0</v>
      </c>
      <c r="AK66" s="100">
        <v>0</v>
      </c>
      <c r="AL66" s="98">
        <v>0</v>
      </c>
      <c r="AM66" s="101">
        <f t="shared" si="60"/>
        <v>0</v>
      </c>
      <c r="AN66" s="106"/>
    </row>
    <row r="67" spans="2:40" s="35" customFormat="1" ht="17.100000000000001" customHeight="1">
      <c r="B67" s="105"/>
      <c r="C67" s="54"/>
      <c r="D67" s="96"/>
      <c r="E67" s="111"/>
      <c r="F67" s="112"/>
      <c r="G67" s="113"/>
      <c r="H67" s="100">
        <v>0</v>
      </c>
      <c r="I67" s="98">
        <v>0</v>
      </c>
      <c r="J67" s="101">
        <f t="shared" si="52"/>
        <v>0</v>
      </c>
      <c r="K67" s="100">
        <v>0</v>
      </c>
      <c r="L67" s="98">
        <v>0</v>
      </c>
      <c r="M67" s="101">
        <f t="shared" si="53"/>
        <v>0</v>
      </c>
      <c r="N67" s="100">
        <v>0</v>
      </c>
      <c r="O67" s="98">
        <v>0</v>
      </c>
      <c r="P67" s="101">
        <f t="shared" si="54"/>
        <v>0</v>
      </c>
      <c r="Q67" s="100">
        <v>0</v>
      </c>
      <c r="R67" s="98">
        <v>0</v>
      </c>
      <c r="S67" s="101">
        <f t="shared" si="55"/>
        <v>0</v>
      </c>
      <c r="T67" s="100">
        <v>0</v>
      </c>
      <c r="U67" s="98">
        <v>0</v>
      </c>
      <c r="V67" s="101">
        <f t="shared" si="61"/>
        <v>0</v>
      </c>
      <c r="W67" s="100">
        <v>0</v>
      </c>
      <c r="X67" s="98">
        <v>0</v>
      </c>
      <c r="Y67" s="99">
        <f t="shared" si="56"/>
        <v>0</v>
      </c>
      <c r="Z67" s="101">
        <v>1</v>
      </c>
      <c r="AA67" s="100">
        <v>0</v>
      </c>
      <c r="AB67" s="98">
        <v>0</v>
      </c>
      <c r="AC67" s="99">
        <f t="shared" si="57"/>
        <v>0</v>
      </c>
      <c r="AD67" s="101">
        <v>1</v>
      </c>
      <c r="AE67" s="100">
        <v>0</v>
      </c>
      <c r="AF67" s="98">
        <v>0</v>
      </c>
      <c r="AG67" s="101">
        <f t="shared" si="58"/>
        <v>0</v>
      </c>
      <c r="AH67" s="100">
        <v>0</v>
      </c>
      <c r="AI67" s="98">
        <v>0</v>
      </c>
      <c r="AJ67" s="101">
        <f t="shared" si="59"/>
        <v>0</v>
      </c>
      <c r="AK67" s="100">
        <v>0</v>
      </c>
      <c r="AL67" s="98">
        <v>0</v>
      </c>
      <c r="AM67" s="101">
        <f t="shared" si="60"/>
        <v>0</v>
      </c>
      <c r="AN67" s="106"/>
    </row>
    <row r="68" spans="2:40" s="126" customFormat="1" ht="17.100000000000001" customHeight="1">
      <c r="B68" s="118"/>
      <c r="C68" s="119"/>
      <c r="D68" s="120"/>
      <c r="E68" s="121"/>
      <c r="F68" s="122"/>
      <c r="G68" s="123"/>
      <c r="H68" s="341" t="s">
        <v>201</v>
      </c>
      <c r="I68" s="342"/>
      <c r="J68" s="124">
        <f>SUM(J61:J67)</f>
        <v>0</v>
      </c>
      <c r="K68" s="341" t="s">
        <v>201</v>
      </c>
      <c r="L68" s="342"/>
      <c r="M68" s="124">
        <f>SUM(M61:M67)</f>
        <v>0</v>
      </c>
      <c r="N68" s="341" t="s">
        <v>201</v>
      </c>
      <c r="O68" s="342"/>
      <c r="P68" s="124">
        <f>SUM(P61:P67)</f>
        <v>0</v>
      </c>
      <c r="Q68" s="341" t="s">
        <v>201</v>
      </c>
      <c r="R68" s="342"/>
      <c r="S68" s="124">
        <f>SUM(S61:S67)</f>
        <v>0</v>
      </c>
      <c r="T68" s="341" t="s">
        <v>201</v>
      </c>
      <c r="U68" s="342"/>
      <c r="V68" s="124">
        <f>SUM(V61:V67)</f>
        <v>0</v>
      </c>
      <c r="W68" s="341" t="s">
        <v>201</v>
      </c>
      <c r="X68" s="342"/>
      <c r="Y68" s="127">
        <f>SUM(Y61:Y67)</f>
        <v>0</v>
      </c>
      <c r="Z68" s="101">
        <v>2</v>
      </c>
      <c r="AA68" s="341" t="s">
        <v>201</v>
      </c>
      <c r="AB68" s="342"/>
      <c r="AC68" s="127">
        <f>SUM(AC61:AC67)</f>
        <v>0</v>
      </c>
      <c r="AD68" s="101">
        <v>2</v>
      </c>
      <c r="AE68" s="341" t="s">
        <v>201</v>
      </c>
      <c r="AF68" s="342"/>
      <c r="AG68" s="124">
        <f>SUM(AG61:AG67)</f>
        <v>0</v>
      </c>
      <c r="AH68" s="341" t="s">
        <v>201</v>
      </c>
      <c r="AI68" s="342"/>
      <c r="AJ68" s="124">
        <f>SUM(AJ61:AJ67)</f>
        <v>0</v>
      </c>
      <c r="AK68" s="341" t="s">
        <v>201</v>
      </c>
      <c r="AL68" s="342"/>
      <c r="AM68" s="124">
        <f>SUM(AM61:AM67)</f>
        <v>0</v>
      </c>
      <c r="AN68" s="125"/>
    </row>
    <row r="69" spans="2:40" s="35" customFormat="1" ht="17.100000000000001" customHeight="1">
      <c r="B69" s="105"/>
      <c r="C69" s="54">
        <f>'1. Rekap Back Up Aspal'!C27</f>
        <v>22400</v>
      </c>
      <c r="D69" s="96">
        <f>'1. Rekap Back Up Aspal'!D27</f>
        <v>22500</v>
      </c>
      <c r="E69" s="111">
        <f>'1. Rekap Back Up Aspal'!E27</f>
        <v>4.5</v>
      </c>
      <c r="F69" s="112">
        <f>(100/((D69-C69)*E69))*((J76*0.5)+(M76*0.5)+(P76*4)+(S76*4)+(V76*1)+(Y76*2)+(AC76*1.5)+(AG76*1)+(AJ76*1)+(AM76*1))</f>
        <v>0</v>
      </c>
      <c r="G69" s="113" t="str">
        <f>IF(F69&lt;=25,"B",IF(F69&lt;=75,"S",IF(F69&lt;=100,"RR","RB")))</f>
        <v>B</v>
      </c>
      <c r="H69" s="100">
        <v>0</v>
      </c>
      <c r="I69" s="98">
        <v>0</v>
      </c>
      <c r="J69" s="101">
        <f t="shared" ref="J69:J75" si="62">H69*I69</f>
        <v>0</v>
      </c>
      <c r="K69" s="100">
        <v>0</v>
      </c>
      <c r="L69" s="98">
        <v>0</v>
      </c>
      <c r="M69" s="101">
        <f t="shared" ref="M69:M75" si="63">K69*L69</f>
        <v>0</v>
      </c>
      <c r="N69" s="100">
        <v>0</v>
      </c>
      <c r="O69" s="98">
        <v>4</v>
      </c>
      <c r="P69" s="101">
        <f t="shared" ref="P69:P75" si="64">N69*O69</f>
        <v>0</v>
      </c>
      <c r="Q69" s="100">
        <v>0</v>
      </c>
      <c r="R69" s="98">
        <v>0</v>
      </c>
      <c r="S69" s="101">
        <f t="shared" ref="S69:S75" si="65">Q69*R69</f>
        <v>0</v>
      </c>
      <c r="T69" s="100">
        <v>0</v>
      </c>
      <c r="U69" s="98">
        <v>0</v>
      </c>
      <c r="V69" s="101">
        <f>T69*U69</f>
        <v>0</v>
      </c>
      <c r="W69" s="100">
        <v>0</v>
      </c>
      <c r="X69" s="98">
        <v>0</v>
      </c>
      <c r="Y69" s="99">
        <f t="shared" ref="Y69:Y75" si="66">W69*X69</f>
        <v>0</v>
      </c>
      <c r="Z69" s="101">
        <v>2</v>
      </c>
      <c r="AA69" s="100">
        <v>0</v>
      </c>
      <c r="AB69" s="98">
        <v>0</v>
      </c>
      <c r="AC69" s="99">
        <f t="shared" ref="AC69:AC75" si="67">AA69*AB69</f>
        <v>0</v>
      </c>
      <c r="AD69" s="101">
        <v>1</v>
      </c>
      <c r="AE69" s="100">
        <v>0</v>
      </c>
      <c r="AF69" s="98">
        <v>0</v>
      </c>
      <c r="AG69" s="101">
        <f t="shared" ref="AG69:AG75" si="68">AE69*AF69</f>
        <v>0</v>
      </c>
      <c r="AH69" s="100">
        <v>0</v>
      </c>
      <c r="AI69" s="98">
        <v>0</v>
      </c>
      <c r="AJ69" s="101">
        <f t="shared" ref="AJ69:AJ75" si="69">AH69*AI69</f>
        <v>0</v>
      </c>
      <c r="AK69" s="100">
        <v>0</v>
      </c>
      <c r="AL69" s="98">
        <v>0</v>
      </c>
      <c r="AM69" s="101">
        <f t="shared" ref="AM69:AM75" si="70">AK69*AL69</f>
        <v>0</v>
      </c>
      <c r="AN69" s="106"/>
    </row>
    <row r="70" spans="2:40" s="35" customFormat="1" ht="17.100000000000001" customHeight="1">
      <c r="B70" s="105"/>
      <c r="C70" s="54"/>
      <c r="D70" s="96"/>
      <c r="E70" s="111"/>
      <c r="F70" s="112"/>
      <c r="G70" s="113"/>
      <c r="H70" s="100">
        <v>0</v>
      </c>
      <c r="I70" s="98">
        <v>0</v>
      </c>
      <c r="J70" s="101">
        <f t="shared" si="62"/>
        <v>0</v>
      </c>
      <c r="K70" s="100">
        <v>0</v>
      </c>
      <c r="L70" s="98">
        <v>0</v>
      </c>
      <c r="M70" s="101">
        <f t="shared" si="63"/>
        <v>0</v>
      </c>
      <c r="N70" s="100">
        <v>0</v>
      </c>
      <c r="O70" s="98">
        <v>0</v>
      </c>
      <c r="P70" s="101">
        <f t="shared" si="64"/>
        <v>0</v>
      </c>
      <c r="Q70" s="100">
        <v>0</v>
      </c>
      <c r="R70" s="98">
        <v>0</v>
      </c>
      <c r="S70" s="101">
        <f t="shared" si="65"/>
        <v>0</v>
      </c>
      <c r="T70" s="100">
        <v>0</v>
      </c>
      <c r="U70" s="98">
        <v>0</v>
      </c>
      <c r="V70" s="101">
        <f t="shared" ref="V70:V75" si="71">T70*U70</f>
        <v>0</v>
      </c>
      <c r="W70" s="100">
        <v>0</v>
      </c>
      <c r="X70" s="98">
        <v>0</v>
      </c>
      <c r="Y70" s="99">
        <f t="shared" si="66"/>
        <v>0</v>
      </c>
      <c r="Z70" s="101">
        <v>3</v>
      </c>
      <c r="AA70" s="100">
        <v>0</v>
      </c>
      <c r="AB70" s="98">
        <v>0</v>
      </c>
      <c r="AC70" s="99">
        <f t="shared" si="67"/>
        <v>0</v>
      </c>
      <c r="AD70" s="101">
        <v>1</v>
      </c>
      <c r="AE70" s="100">
        <v>0</v>
      </c>
      <c r="AF70" s="98">
        <v>0</v>
      </c>
      <c r="AG70" s="101">
        <f t="shared" si="68"/>
        <v>0</v>
      </c>
      <c r="AH70" s="100">
        <v>0</v>
      </c>
      <c r="AI70" s="98">
        <v>0</v>
      </c>
      <c r="AJ70" s="101">
        <f t="shared" si="69"/>
        <v>0</v>
      </c>
      <c r="AK70" s="100">
        <v>0</v>
      </c>
      <c r="AL70" s="98">
        <v>0</v>
      </c>
      <c r="AM70" s="101">
        <f t="shared" si="70"/>
        <v>0</v>
      </c>
      <c r="AN70" s="106"/>
    </row>
    <row r="71" spans="2:40" s="35" customFormat="1" ht="17.100000000000001" customHeight="1">
      <c r="B71" s="105"/>
      <c r="C71" s="54"/>
      <c r="D71" s="96"/>
      <c r="E71" s="111"/>
      <c r="F71" s="112"/>
      <c r="G71" s="113"/>
      <c r="H71" s="100">
        <v>0</v>
      </c>
      <c r="I71" s="98">
        <v>0</v>
      </c>
      <c r="J71" s="101">
        <f t="shared" si="62"/>
        <v>0</v>
      </c>
      <c r="K71" s="100">
        <v>0</v>
      </c>
      <c r="L71" s="98">
        <v>0</v>
      </c>
      <c r="M71" s="101">
        <f t="shared" si="63"/>
        <v>0</v>
      </c>
      <c r="N71" s="100">
        <v>0</v>
      </c>
      <c r="O71" s="98">
        <v>0</v>
      </c>
      <c r="P71" s="101">
        <f t="shared" si="64"/>
        <v>0</v>
      </c>
      <c r="Q71" s="100">
        <v>0</v>
      </c>
      <c r="R71" s="98">
        <v>0</v>
      </c>
      <c r="S71" s="101">
        <f t="shared" si="65"/>
        <v>0</v>
      </c>
      <c r="T71" s="100">
        <v>0</v>
      </c>
      <c r="U71" s="98">
        <v>0</v>
      </c>
      <c r="V71" s="101">
        <f t="shared" si="71"/>
        <v>0</v>
      </c>
      <c r="W71" s="100">
        <v>0</v>
      </c>
      <c r="X71" s="98">
        <v>0</v>
      </c>
      <c r="Y71" s="99">
        <f t="shared" si="66"/>
        <v>0</v>
      </c>
      <c r="Z71" s="101">
        <v>1</v>
      </c>
      <c r="AA71" s="100">
        <v>0</v>
      </c>
      <c r="AB71" s="98">
        <v>0</v>
      </c>
      <c r="AC71" s="99">
        <f t="shared" si="67"/>
        <v>0</v>
      </c>
      <c r="AD71" s="101">
        <v>1</v>
      </c>
      <c r="AE71" s="100">
        <v>0</v>
      </c>
      <c r="AF71" s="98">
        <v>0</v>
      </c>
      <c r="AG71" s="101">
        <f t="shared" si="68"/>
        <v>0</v>
      </c>
      <c r="AH71" s="100">
        <v>0</v>
      </c>
      <c r="AI71" s="98">
        <v>0</v>
      </c>
      <c r="AJ71" s="101">
        <f t="shared" si="69"/>
        <v>0</v>
      </c>
      <c r="AK71" s="100">
        <v>0</v>
      </c>
      <c r="AL71" s="98">
        <v>0</v>
      </c>
      <c r="AM71" s="101">
        <f t="shared" si="70"/>
        <v>0</v>
      </c>
      <c r="AN71" s="106"/>
    </row>
    <row r="72" spans="2:40" s="35" customFormat="1" ht="17.100000000000001" customHeight="1">
      <c r="B72" s="105"/>
      <c r="C72" s="54"/>
      <c r="D72" s="96"/>
      <c r="E72" s="111"/>
      <c r="F72" s="112"/>
      <c r="G72" s="113"/>
      <c r="H72" s="100">
        <v>0</v>
      </c>
      <c r="I72" s="98">
        <v>0</v>
      </c>
      <c r="J72" s="101">
        <f t="shared" si="62"/>
        <v>0</v>
      </c>
      <c r="K72" s="100">
        <v>0</v>
      </c>
      <c r="L72" s="98">
        <v>0</v>
      </c>
      <c r="M72" s="101">
        <f t="shared" si="63"/>
        <v>0</v>
      </c>
      <c r="N72" s="100">
        <v>0</v>
      </c>
      <c r="O72" s="98">
        <v>0</v>
      </c>
      <c r="P72" s="101">
        <f t="shared" si="64"/>
        <v>0</v>
      </c>
      <c r="Q72" s="100">
        <v>0</v>
      </c>
      <c r="R72" s="98">
        <v>0</v>
      </c>
      <c r="S72" s="101">
        <f t="shared" si="65"/>
        <v>0</v>
      </c>
      <c r="T72" s="100">
        <v>0</v>
      </c>
      <c r="U72" s="98">
        <v>0</v>
      </c>
      <c r="V72" s="101">
        <f t="shared" si="71"/>
        <v>0</v>
      </c>
      <c r="W72" s="100">
        <v>0</v>
      </c>
      <c r="X72" s="98">
        <v>0</v>
      </c>
      <c r="Y72" s="99">
        <f t="shared" si="66"/>
        <v>0</v>
      </c>
      <c r="Z72" s="101">
        <v>1</v>
      </c>
      <c r="AA72" s="100">
        <v>0</v>
      </c>
      <c r="AB72" s="98">
        <v>0</v>
      </c>
      <c r="AC72" s="99">
        <f t="shared" si="67"/>
        <v>0</v>
      </c>
      <c r="AD72" s="101">
        <v>1</v>
      </c>
      <c r="AE72" s="100">
        <v>0</v>
      </c>
      <c r="AF72" s="98">
        <v>0</v>
      </c>
      <c r="AG72" s="101">
        <f t="shared" si="68"/>
        <v>0</v>
      </c>
      <c r="AH72" s="100">
        <v>0</v>
      </c>
      <c r="AI72" s="98">
        <v>0</v>
      </c>
      <c r="AJ72" s="101">
        <f t="shared" si="69"/>
        <v>0</v>
      </c>
      <c r="AK72" s="100">
        <v>0</v>
      </c>
      <c r="AL72" s="98">
        <v>0</v>
      </c>
      <c r="AM72" s="101">
        <f t="shared" si="70"/>
        <v>0</v>
      </c>
      <c r="AN72" s="106"/>
    </row>
    <row r="73" spans="2:40" s="35" customFormat="1" ht="17.100000000000001" customHeight="1">
      <c r="B73" s="105"/>
      <c r="C73" s="54"/>
      <c r="D73" s="96"/>
      <c r="E73" s="111"/>
      <c r="F73" s="112"/>
      <c r="G73" s="113"/>
      <c r="H73" s="100">
        <v>0</v>
      </c>
      <c r="I73" s="98">
        <v>0</v>
      </c>
      <c r="J73" s="101">
        <f t="shared" si="62"/>
        <v>0</v>
      </c>
      <c r="K73" s="100">
        <v>0</v>
      </c>
      <c r="L73" s="98">
        <v>0</v>
      </c>
      <c r="M73" s="101">
        <f t="shared" si="63"/>
        <v>0</v>
      </c>
      <c r="N73" s="100">
        <v>0</v>
      </c>
      <c r="O73" s="98">
        <v>0</v>
      </c>
      <c r="P73" s="101">
        <f t="shared" si="64"/>
        <v>0</v>
      </c>
      <c r="Q73" s="100">
        <v>0</v>
      </c>
      <c r="R73" s="98">
        <v>0</v>
      </c>
      <c r="S73" s="101">
        <f t="shared" si="65"/>
        <v>0</v>
      </c>
      <c r="T73" s="100">
        <v>0</v>
      </c>
      <c r="U73" s="98">
        <v>0</v>
      </c>
      <c r="V73" s="101">
        <f t="shared" si="71"/>
        <v>0</v>
      </c>
      <c r="W73" s="100">
        <v>0</v>
      </c>
      <c r="X73" s="98">
        <v>0</v>
      </c>
      <c r="Y73" s="99">
        <f t="shared" si="66"/>
        <v>0</v>
      </c>
      <c r="Z73" s="101">
        <v>1</v>
      </c>
      <c r="AA73" s="100">
        <v>0</v>
      </c>
      <c r="AB73" s="98">
        <v>0</v>
      </c>
      <c r="AC73" s="99">
        <f t="shared" si="67"/>
        <v>0</v>
      </c>
      <c r="AD73" s="101">
        <v>1</v>
      </c>
      <c r="AE73" s="100">
        <v>0</v>
      </c>
      <c r="AF73" s="98">
        <v>0</v>
      </c>
      <c r="AG73" s="101">
        <f t="shared" si="68"/>
        <v>0</v>
      </c>
      <c r="AH73" s="100">
        <v>0</v>
      </c>
      <c r="AI73" s="98">
        <v>0</v>
      </c>
      <c r="AJ73" s="101">
        <f t="shared" si="69"/>
        <v>0</v>
      </c>
      <c r="AK73" s="100">
        <v>0</v>
      </c>
      <c r="AL73" s="98">
        <v>0</v>
      </c>
      <c r="AM73" s="101">
        <f t="shared" si="70"/>
        <v>0</v>
      </c>
      <c r="AN73" s="106"/>
    </row>
    <row r="74" spans="2:40" s="35" customFormat="1" ht="17.100000000000001" customHeight="1">
      <c r="B74" s="105"/>
      <c r="C74" s="54"/>
      <c r="D74" s="96"/>
      <c r="E74" s="111"/>
      <c r="F74" s="112"/>
      <c r="G74" s="113"/>
      <c r="H74" s="100">
        <v>0</v>
      </c>
      <c r="I74" s="98">
        <v>0</v>
      </c>
      <c r="J74" s="101">
        <f t="shared" si="62"/>
        <v>0</v>
      </c>
      <c r="K74" s="100">
        <v>0</v>
      </c>
      <c r="L74" s="98">
        <v>0</v>
      </c>
      <c r="M74" s="101">
        <f t="shared" si="63"/>
        <v>0</v>
      </c>
      <c r="N74" s="100">
        <v>0</v>
      </c>
      <c r="O74" s="98">
        <v>0</v>
      </c>
      <c r="P74" s="101">
        <f t="shared" si="64"/>
        <v>0</v>
      </c>
      <c r="Q74" s="100">
        <v>0</v>
      </c>
      <c r="R74" s="98">
        <v>0</v>
      </c>
      <c r="S74" s="101">
        <f t="shared" si="65"/>
        <v>0</v>
      </c>
      <c r="T74" s="100">
        <v>0</v>
      </c>
      <c r="U74" s="98">
        <v>0</v>
      </c>
      <c r="V74" s="101">
        <f t="shared" si="71"/>
        <v>0</v>
      </c>
      <c r="W74" s="100">
        <v>0</v>
      </c>
      <c r="X74" s="98">
        <v>0</v>
      </c>
      <c r="Y74" s="99">
        <f t="shared" si="66"/>
        <v>0</v>
      </c>
      <c r="Z74" s="101">
        <v>1</v>
      </c>
      <c r="AA74" s="100">
        <v>0</v>
      </c>
      <c r="AB74" s="98">
        <v>0</v>
      </c>
      <c r="AC74" s="99">
        <f t="shared" si="67"/>
        <v>0</v>
      </c>
      <c r="AD74" s="101">
        <v>1</v>
      </c>
      <c r="AE74" s="100">
        <v>0</v>
      </c>
      <c r="AF74" s="98">
        <v>0</v>
      </c>
      <c r="AG74" s="101">
        <f t="shared" si="68"/>
        <v>0</v>
      </c>
      <c r="AH74" s="100">
        <v>0</v>
      </c>
      <c r="AI74" s="98">
        <v>0</v>
      </c>
      <c r="AJ74" s="101">
        <f t="shared" si="69"/>
        <v>0</v>
      </c>
      <c r="AK74" s="100">
        <v>0</v>
      </c>
      <c r="AL74" s="98">
        <v>0</v>
      </c>
      <c r="AM74" s="101">
        <f t="shared" si="70"/>
        <v>0</v>
      </c>
      <c r="AN74" s="106"/>
    </row>
    <row r="75" spans="2:40" s="35" customFormat="1" ht="17.100000000000001" customHeight="1">
      <c r="B75" s="105"/>
      <c r="C75" s="54"/>
      <c r="D75" s="96"/>
      <c r="E75" s="111"/>
      <c r="F75" s="112"/>
      <c r="G75" s="113"/>
      <c r="H75" s="100">
        <v>0</v>
      </c>
      <c r="I75" s="98">
        <v>0</v>
      </c>
      <c r="J75" s="101">
        <f t="shared" si="62"/>
        <v>0</v>
      </c>
      <c r="K75" s="100">
        <v>0</v>
      </c>
      <c r="L75" s="98">
        <v>0</v>
      </c>
      <c r="M75" s="101">
        <f t="shared" si="63"/>
        <v>0</v>
      </c>
      <c r="N75" s="100">
        <v>0</v>
      </c>
      <c r="O75" s="98">
        <v>0</v>
      </c>
      <c r="P75" s="101">
        <f t="shared" si="64"/>
        <v>0</v>
      </c>
      <c r="Q75" s="100">
        <v>0</v>
      </c>
      <c r="R75" s="98">
        <v>0</v>
      </c>
      <c r="S75" s="101">
        <f t="shared" si="65"/>
        <v>0</v>
      </c>
      <c r="T75" s="100">
        <v>0</v>
      </c>
      <c r="U75" s="98">
        <v>0</v>
      </c>
      <c r="V75" s="101">
        <f t="shared" si="71"/>
        <v>0</v>
      </c>
      <c r="W75" s="100">
        <v>0</v>
      </c>
      <c r="X75" s="98">
        <v>0</v>
      </c>
      <c r="Y75" s="99">
        <f t="shared" si="66"/>
        <v>0</v>
      </c>
      <c r="Z75" s="101">
        <v>1</v>
      </c>
      <c r="AA75" s="100">
        <v>0</v>
      </c>
      <c r="AB75" s="98">
        <v>0</v>
      </c>
      <c r="AC75" s="99">
        <f t="shared" si="67"/>
        <v>0</v>
      </c>
      <c r="AD75" s="101">
        <v>1</v>
      </c>
      <c r="AE75" s="100">
        <v>0</v>
      </c>
      <c r="AF75" s="98">
        <v>0</v>
      </c>
      <c r="AG75" s="101">
        <f t="shared" si="68"/>
        <v>0</v>
      </c>
      <c r="AH75" s="100">
        <v>0</v>
      </c>
      <c r="AI75" s="98">
        <v>0</v>
      </c>
      <c r="AJ75" s="101">
        <f t="shared" si="69"/>
        <v>0</v>
      </c>
      <c r="AK75" s="100">
        <v>0</v>
      </c>
      <c r="AL75" s="98">
        <v>0</v>
      </c>
      <c r="AM75" s="101">
        <f t="shared" si="70"/>
        <v>0</v>
      </c>
      <c r="AN75" s="106"/>
    </row>
    <row r="76" spans="2:40" s="126" customFormat="1" ht="17.100000000000001" customHeight="1" thickBot="1">
      <c r="B76" s="128"/>
      <c r="C76" s="154"/>
      <c r="D76" s="155"/>
      <c r="E76" s="156"/>
      <c r="F76" s="129"/>
      <c r="G76" s="130"/>
      <c r="H76" s="341" t="s">
        <v>201</v>
      </c>
      <c r="I76" s="342"/>
      <c r="J76" s="124">
        <f>SUM(J69:J75)</f>
        <v>0</v>
      </c>
      <c r="K76" s="341" t="s">
        <v>201</v>
      </c>
      <c r="L76" s="342"/>
      <c r="M76" s="124">
        <f>SUM(M69:M75)</f>
        <v>0</v>
      </c>
      <c r="N76" s="341" t="s">
        <v>201</v>
      </c>
      <c r="O76" s="342"/>
      <c r="P76" s="124">
        <f>SUM(P69:P75)</f>
        <v>0</v>
      </c>
      <c r="Q76" s="341" t="s">
        <v>201</v>
      </c>
      <c r="R76" s="342"/>
      <c r="S76" s="124">
        <f>SUM(S69:S75)</f>
        <v>0</v>
      </c>
      <c r="T76" s="341" t="s">
        <v>201</v>
      </c>
      <c r="U76" s="342"/>
      <c r="V76" s="124">
        <f>SUM(V69:V75)</f>
        <v>0</v>
      </c>
      <c r="W76" s="341" t="s">
        <v>201</v>
      </c>
      <c r="X76" s="342"/>
      <c r="Y76" s="127">
        <f>SUM(Y69:Y75)</f>
        <v>0</v>
      </c>
      <c r="Z76" s="101">
        <v>2</v>
      </c>
      <c r="AA76" s="341" t="s">
        <v>201</v>
      </c>
      <c r="AB76" s="342"/>
      <c r="AC76" s="127">
        <f>SUM(AC69:AC75)</f>
        <v>0</v>
      </c>
      <c r="AD76" s="101">
        <v>2</v>
      </c>
      <c r="AE76" s="341" t="s">
        <v>201</v>
      </c>
      <c r="AF76" s="342"/>
      <c r="AG76" s="124">
        <f>SUM(AG69:AG75)</f>
        <v>0</v>
      </c>
      <c r="AH76" s="341" t="s">
        <v>201</v>
      </c>
      <c r="AI76" s="342"/>
      <c r="AJ76" s="124">
        <f>SUM(AJ69:AJ75)</f>
        <v>0</v>
      </c>
      <c r="AK76" s="341" t="s">
        <v>201</v>
      </c>
      <c r="AL76" s="342"/>
      <c r="AM76" s="124">
        <f>SUM(AM69:AM75)</f>
        <v>0</v>
      </c>
      <c r="AN76" s="125"/>
    </row>
    <row r="77" spans="2:40" s="35" customFormat="1" ht="17.100000000000001" customHeight="1">
      <c r="B77" s="287"/>
      <c r="C77" s="288">
        <f>'1. Rekap Back Up Aspal'!C28</f>
        <v>22500</v>
      </c>
      <c r="D77" s="289">
        <f>'1. Rekap Back Up Aspal'!D28</f>
        <v>22600</v>
      </c>
      <c r="E77" s="290">
        <f>'1. Rekap Back Up Aspal'!E28</f>
        <v>4.5</v>
      </c>
      <c r="F77" s="115">
        <f>(100/((D77-C77)*E77))*((J84*0.5)+(M84*0.5)+(P84*4)+(S84*4)+(V84*1)+(Y84*2)+(AC84*1.5)+(AG84*1)+(AJ84*1)+(AM84*1))</f>
        <v>25</v>
      </c>
      <c r="G77" s="116" t="str">
        <f>IF(F77&lt;=25,"B",IF(F77&lt;=75,"S",IF(F77&lt;=100,"RR","RB")))</f>
        <v>B</v>
      </c>
      <c r="H77" s="100">
        <v>0</v>
      </c>
      <c r="I77" s="98">
        <v>0</v>
      </c>
      <c r="J77" s="101">
        <f t="shared" ref="J77:J83" si="72">H77*I77</f>
        <v>0</v>
      </c>
      <c r="K77" s="100">
        <v>50</v>
      </c>
      <c r="L77" s="187">
        <v>4.5</v>
      </c>
      <c r="M77" s="101">
        <f t="shared" ref="M77:M83" si="73">K77*L77</f>
        <v>225</v>
      </c>
      <c r="N77" s="100">
        <v>0</v>
      </c>
      <c r="O77" s="98">
        <v>4</v>
      </c>
      <c r="P77" s="101">
        <f t="shared" ref="P77:P83" si="74">N77*O77</f>
        <v>0</v>
      </c>
      <c r="Q77" s="100">
        <v>0</v>
      </c>
      <c r="R77" s="98">
        <v>0</v>
      </c>
      <c r="S77" s="101">
        <f t="shared" ref="S77:S83" si="75">Q77*R77</f>
        <v>0</v>
      </c>
      <c r="T77" s="100">
        <v>0</v>
      </c>
      <c r="U77" s="98">
        <v>0</v>
      </c>
      <c r="V77" s="101">
        <f>T77*U77</f>
        <v>0</v>
      </c>
      <c r="W77" s="100">
        <v>0</v>
      </c>
      <c r="X77" s="98">
        <v>0</v>
      </c>
      <c r="Y77" s="99">
        <f t="shared" ref="Y77:Y83" si="76">W77*X77</f>
        <v>0</v>
      </c>
      <c r="Z77" s="101">
        <v>2</v>
      </c>
      <c r="AA77" s="100">
        <v>0</v>
      </c>
      <c r="AB77" s="98">
        <v>0</v>
      </c>
      <c r="AC77" s="99">
        <f t="shared" ref="AC77:AC83" si="77">AA77*AB77</f>
        <v>0</v>
      </c>
      <c r="AD77" s="101">
        <v>1</v>
      </c>
      <c r="AE77" s="100">
        <v>0</v>
      </c>
      <c r="AF77" s="98">
        <v>0</v>
      </c>
      <c r="AG77" s="101">
        <f t="shared" ref="AG77:AG83" si="78">AE77*AF77</f>
        <v>0</v>
      </c>
      <c r="AH77" s="100">
        <v>0</v>
      </c>
      <c r="AI77" s="98">
        <v>0</v>
      </c>
      <c r="AJ77" s="101">
        <f t="shared" ref="AJ77:AJ83" si="79">AH77*AI77</f>
        <v>0</v>
      </c>
      <c r="AK77" s="100">
        <v>0</v>
      </c>
      <c r="AL77" s="98">
        <v>0</v>
      </c>
      <c r="AM77" s="101">
        <f t="shared" ref="AM77:AM83" si="80">AK77*AL77</f>
        <v>0</v>
      </c>
      <c r="AN77" s="106"/>
    </row>
    <row r="78" spans="2:40" s="35" customFormat="1" ht="17.100000000000001" customHeight="1">
      <c r="B78" s="105"/>
      <c r="C78" s="54"/>
      <c r="D78" s="96"/>
      <c r="E78" s="111"/>
      <c r="F78" s="112"/>
      <c r="G78" s="113"/>
      <c r="H78" s="100">
        <v>0</v>
      </c>
      <c r="I78" s="98">
        <v>0</v>
      </c>
      <c r="J78" s="101">
        <f t="shared" si="72"/>
        <v>0</v>
      </c>
      <c r="K78" s="100">
        <v>0</v>
      </c>
      <c r="L78" s="98">
        <v>0</v>
      </c>
      <c r="M78" s="101">
        <f t="shared" si="73"/>
        <v>0</v>
      </c>
      <c r="N78" s="100">
        <v>0</v>
      </c>
      <c r="O78" s="98">
        <v>0</v>
      </c>
      <c r="P78" s="101">
        <f t="shared" si="74"/>
        <v>0</v>
      </c>
      <c r="Q78" s="100">
        <v>0</v>
      </c>
      <c r="R78" s="98">
        <v>0</v>
      </c>
      <c r="S78" s="101">
        <f t="shared" si="75"/>
        <v>0</v>
      </c>
      <c r="T78" s="100">
        <v>0</v>
      </c>
      <c r="U78" s="98">
        <v>0</v>
      </c>
      <c r="V78" s="101">
        <f t="shared" ref="V78:V83" si="81">T78*U78</f>
        <v>0</v>
      </c>
      <c r="W78" s="100">
        <v>0</v>
      </c>
      <c r="X78" s="98">
        <v>0</v>
      </c>
      <c r="Y78" s="99">
        <f t="shared" si="76"/>
        <v>0</v>
      </c>
      <c r="Z78" s="101">
        <v>3</v>
      </c>
      <c r="AA78" s="100">
        <v>0</v>
      </c>
      <c r="AB78" s="98">
        <v>0</v>
      </c>
      <c r="AC78" s="99">
        <f t="shared" si="77"/>
        <v>0</v>
      </c>
      <c r="AD78" s="101">
        <v>1</v>
      </c>
      <c r="AE78" s="100">
        <v>0</v>
      </c>
      <c r="AF78" s="98">
        <v>0</v>
      </c>
      <c r="AG78" s="101">
        <f t="shared" si="78"/>
        <v>0</v>
      </c>
      <c r="AH78" s="100">
        <v>0</v>
      </c>
      <c r="AI78" s="98">
        <v>0</v>
      </c>
      <c r="AJ78" s="101">
        <f t="shared" si="79"/>
        <v>0</v>
      </c>
      <c r="AK78" s="100">
        <v>0</v>
      </c>
      <c r="AL78" s="98">
        <v>0</v>
      </c>
      <c r="AM78" s="101">
        <f t="shared" si="80"/>
        <v>0</v>
      </c>
      <c r="AN78" s="106"/>
    </row>
    <row r="79" spans="2:40" s="35" customFormat="1" ht="17.100000000000001" customHeight="1">
      <c r="B79" s="105"/>
      <c r="C79" s="54"/>
      <c r="D79" s="96"/>
      <c r="E79" s="111"/>
      <c r="F79" s="112"/>
      <c r="G79" s="113"/>
      <c r="H79" s="100">
        <v>0</v>
      </c>
      <c r="I79" s="98">
        <v>0</v>
      </c>
      <c r="J79" s="101">
        <f t="shared" si="72"/>
        <v>0</v>
      </c>
      <c r="K79" s="100">
        <v>0</v>
      </c>
      <c r="L79" s="98">
        <v>0</v>
      </c>
      <c r="M79" s="101">
        <f t="shared" si="73"/>
        <v>0</v>
      </c>
      <c r="N79" s="100">
        <v>0</v>
      </c>
      <c r="O79" s="98">
        <v>0</v>
      </c>
      <c r="P79" s="101">
        <f t="shared" si="74"/>
        <v>0</v>
      </c>
      <c r="Q79" s="100">
        <v>0</v>
      </c>
      <c r="R79" s="98">
        <v>0</v>
      </c>
      <c r="S79" s="101">
        <f t="shared" si="75"/>
        <v>0</v>
      </c>
      <c r="T79" s="100">
        <v>0</v>
      </c>
      <c r="U79" s="98">
        <v>0</v>
      </c>
      <c r="V79" s="101">
        <f t="shared" si="81"/>
        <v>0</v>
      </c>
      <c r="W79" s="100">
        <v>0</v>
      </c>
      <c r="X79" s="98">
        <v>0</v>
      </c>
      <c r="Y79" s="99">
        <f t="shared" si="76"/>
        <v>0</v>
      </c>
      <c r="Z79" s="101">
        <v>1</v>
      </c>
      <c r="AA79" s="100">
        <v>0</v>
      </c>
      <c r="AB79" s="98">
        <v>0</v>
      </c>
      <c r="AC79" s="99">
        <f t="shared" si="77"/>
        <v>0</v>
      </c>
      <c r="AD79" s="101">
        <v>1</v>
      </c>
      <c r="AE79" s="100">
        <v>0</v>
      </c>
      <c r="AF79" s="98">
        <v>0</v>
      </c>
      <c r="AG79" s="101">
        <f t="shared" si="78"/>
        <v>0</v>
      </c>
      <c r="AH79" s="100">
        <v>0</v>
      </c>
      <c r="AI79" s="98">
        <v>0</v>
      </c>
      <c r="AJ79" s="101">
        <f t="shared" si="79"/>
        <v>0</v>
      </c>
      <c r="AK79" s="100">
        <v>0</v>
      </c>
      <c r="AL79" s="98">
        <v>0</v>
      </c>
      <c r="AM79" s="101">
        <f t="shared" si="80"/>
        <v>0</v>
      </c>
      <c r="AN79" s="106"/>
    </row>
    <row r="80" spans="2:40" s="35" customFormat="1" ht="17.100000000000001" customHeight="1">
      <c r="B80" s="105"/>
      <c r="C80" s="54"/>
      <c r="D80" s="96"/>
      <c r="E80" s="111"/>
      <c r="F80" s="112"/>
      <c r="G80" s="113"/>
      <c r="H80" s="100">
        <v>0</v>
      </c>
      <c r="I80" s="98">
        <v>0</v>
      </c>
      <c r="J80" s="101">
        <f t="shared" si="72"/>
        <v>0</v>
      </c>
      <c r="K80" s="100">
        <v>0</v>
      </c>
      <c r="L80" s="98">
        <v>0</v>
      </c>
      <c r="M80" s="101">
        <f t="shared" si="73"/>
        <v>0</v>
      </c>
      <c r="N80" s="100">
        <v>0</v>
      </c>
      <c r="O80" s="98">
        <v>0</v>
      </c>
      <c r="P80" s="101">
        <f t="shared" si="74"/>
        <v>0</v>
      </c>
      <c r="Q80" s="100">
        <v>0</v>
      </c>
      <c r="R80" s="98">
        <v>0</v>
      </c>
      <c r="S80" s="101">
        <f t="shared" si="75"/>
        <v>0</v>
      </c>
      <c r="T80" s="100">
        <v>0</v>
      </c>
      <c r="U80" s="98">
        <v>0</v>
      </c>
      <c r="V80" s="101">
        <f t="shared" si="81"/>
        <v>0</v>
      </c>
      <c r="W80" s="100">
        <v>0</v>
      </c>
      <c r="X80" s="98">
        <v>0</v>
      </c>
      <c r="Y80" s="99">
        <f t="shared" si="76"/>
        <v>0</v>
      </c>
      <c r="Z80" s="101">
        <v>1</v>
      </c>
      <c r="AA80" s="100">
        <v>0</v>
      </c>
      <c r="AB80" s="98">
        <v>0</v>
      </c>
      <c r="AC80" s="99">
        <f t="shared" si="77"/>
        <v>0</v>
      </c>
      <c r="AD80" s="101">
        <v>1</v>
      </c>
      <c r="AE80" s="100">
        <v>0</v>
      </c>
      <c r="AF80" s="98">
        <v>0</v>
      </c>
      <c r="AG80" s="101">
        <f t="shared" si="78"/>
        <v>0</v>
      </c>
      <c r="AH80" s="100">
        <v>0</v>
      </c>
      <c r="AI80" s="98">
        <v>0</v>
      </c>
      <c r="AJ80" s="101">
        <f t="shared" si="79"/>
        <v>0</v>
      </c>
      <c r="AK80" s="100">
        <v>0</v>
      </c>
      <c r="AL80" s="98">
        <v>0</v>
      </c>
      <c r="AM80" s="101">
        <f t="shared" si="80"/>
        <v>0</v>
      </c>
      <c r="AN80" s="106"/>
    </row>
    <row r="81" spans="2:40" s="35" customFormat="1" ht="17.100000000000001" customHeight="1">
      <c r="B81" s="105"/>
      <c r="C81" s="54"/>
      <c r="D81" s="96"/>
      <c r="E81" s="111"/>
      <c r="F81" s="112"/>
      <c r="G81" s="113"/>
      <c r="H81" s="100">
        <v>0</v>
      </c>
      <c r="I81" s="98">
        <v>0</v>
      </c>
      <c r="J81" s="101">
        <f t="shared" si="72"/>
        <v>0</v>
      </c>
      <c r="K81" s="100">
        <v>0</v>
      </c>
      <c r="L81" s="98">
        <v>0</v>
      </c>
      <c r="M81" s="101">
        <f t="shared" si="73"/>
        <v>0</v>
      </c>
      <c r="N81" s="100">
        <v>0</v>
      </c>
      <c r="O81" s="98">
        <v>0</v>
      </c>
      <c r="P81" s="101">
        <f t="shared" si="74"/>
        <v>0</v>
      </c>
      <c r="Q81" s="100">
        <v>0</v>
      </c>
      <c r="R81" s="98">
        <v>0</v>
      </c>
      <c r="S81" s="101">
        <f t="shared" si="75"/>
        <v>0</v>
      </c>
      <c r="T81" s="100">
        <v>0</v>
      </c>
      <c r="U81" s="98">
        <v>0</v>
      </c>
      <c r="V81" s="101">
        <f t="shared" si="81"/>
        <v>0</v>
      </c>
      <c r="W81" s="100">
        <v>0</v>
      </c>
      <c r="X81" s="98">
        <v>0</v>
      </c>
      <c r="Y81" s="99">
        <f t="shared" si="76"/>
        <v>0</v>
      </c>
      <c r="Z81" s="101">
        <v>1</v>
      </c>
      <c r="AA81" s="100">
        <v>0</v>
      </c>
      <c r="AB81" s="98">
        <v>0</v>
      </c>
      <c r="AC81" s="99">
        <f t="shared" si="77"/>
        <v>0</v>
      </c>
      <c r="AD81" s="101">
        <v>1</v>
      </c>
      <c r="AE81" s="100">
        <v>0</v>
      </c>
      <c r="AF81" s="98">
        <v>0</v>
      </c>
      <c r="AG81" s="101">
        <f t="shared" si="78"/>
        <v>0</v>
      </c>
      <c r="AH81" s="100">
        <v>0</v>
      </c>
      <c r="AI81" s="98">
        <v>0</v>
      </c>
      <c r="AJ81" s="101">
        <f t="shared" si="79"/>
        <v>0</v>
      </c>
      <c r="AK81" s="100">
        <v>0</v>
      </c>
      <c r="AL81" s="98">
        <v>0</v>
      </c>
      <c r="AM81" s="101">
        <f t="shared" si="80"/>
        <v>0</v>
      </c>
      <c r="AN81" s="106"/>
    </row>
    <row r="82" spans="2:40" s="35" customFormat="1" ht="17.100000000000001" customHeight="1">
      <c r="B82" s="105"/>
      <c r="C82" s="54"/>
      <c r="D82" s="96"/>
      <c r="E82" s="111"/>
      <c r="F82" s="112"/>
      <c r="G82" s="113"/>
      <c r="H82" s="100">
        <v>0</v>
      </c>
      <c r="I82" s="98">
        <v>0</v>
      </c>
      <c r="J82" s="101">
        <f t="shared" si="72"/>
        <v>0</v>
      </c>
      <c r="K82" s="100">
        <v>0</v>
      </c>
      <c r="L82" s="98">
        <v>0</v>
      </c>
      <c r="M82" s="101">
        <f t="shared" si="73"/>
        <v>0</v>
      </c>
      <c r="N82" s="100">
        <v>0</v>
      </c>
      <c r="O82" s="98">
        <v>0</v>
      </c>
      <c r="P82" s="101">
        <f t="shared" si="74"/>
        <v>0</v>
      </c>
      <c r="Q82" s="100">
        <v>0</v>
      </c>
      <c r="R82" s="98">
        <v>0</v>
      </c>
      <c r="S82" s="101">
        <f t="shared" si="75"/>
        <v>0</v>
      </c>
      <c r="T82" s="100">
        <v>0</v>
      </c>
      <c r="U82" s="98">
        <v>0</v>
      </c>
      <c r="V82" s="101">
        <f t="shared" si="81"/>
        <v>0</v>
      </c>
      <c r="W82" s="100">
        <v>0</v>
      </c>
      <c r="X82" s="98">
        <v>0</v>
      </c>
      <c r="Y82" s="99">
        <f t="shared" si="76"/>
        <v>0</v>
      </c>
      <c r="Z82" s="101">
        <v>1</v>
      </c>
      <c r="AA82" s="100">
        <v>0</v>
      </c>
      <c r="AB82" s="98">
        <v>0</v>
      </c>
      <c r="AC82" s="99">
        <f t="shared" si="77"/>
        <v>0</v>
      </c>
      <c r="AD82" s="101">
        <v>1</v>
      </c>
      <c r="AE82" s="100">
        <v>0</v>
      </c>
      <c r="AF82" s="98">
        <v>0</v>
      </c>
      <c r="AG82" s="101">
        <f t="shared" si="78"/>
        <v>0</v>
      </c>
      <c r="AH82" s="100">
        <v>0</v>
      </c>
      <c r="AI82" s="98">
        <v>0</v>
      </c>
      <c r="AJ82" s="101">
        <f t="shared" si="79"/>
        <v>0</v>
      </c>
      <c r="AK82" s="100">
        <v>0</v>
      </c>
      <c r="AL82" s="98">
        <v>0</v>
      </c>
      <c r="AM82" s="101">
        <f t="shared" si="80"/>
        <v>0</v>
      </c>
      <c r="AN82" s="106"/>
    </row>
    <row r="83" spans="2:40" s="35" customFormat="1" ht="17.100000000000001" customHeight="1">
      <c r="B83" s="105"/>
      <c r="C83" s="54"/>
      <c r="D83" s="96"/>
      <c r="E83" s="111"/>
      <c r="F83" s="112"/>
      <c r="G83" s="113"/>
      <c r="H83" s="100">
        <v>0</v>
      </c>
      <c r="I83" s="98">
        <v>0</v>
      </c>
      <c r="J83" s="101">
        <f t="shared" si="72"/>
        <v>0</v>
      </c>
      <c r="K83" s="100">
        <v>0</v>
      </c>
      <c r="L83" s="98">
        <v>0</v>
      </c>
      <c r="M83" s="101">
        <f t="shared" si="73"/>
        <v>0</v>
      </c>
      <c r="N83" s="100">
        <v>0</v>
      </c>
      <c r="O83" s="98">
        <v>0</v>
      </c>
      <c r="P83" s="101">
        <f t="shared" si="74"/>
        <v>0</v>
      </c>
      <c r="Q83" s="100">
        <v>0</v>
      </c>
      <c r="R83" s="98">
        <v>0</v>
      </c>
      <c r="S83" s="101">
        <f t="shared" si="75"/>
        <v>0</v>
      </c>
      <c r="T83" s="100">
        <v>0</v>
      </c>
      <c r="U83" s="98">
        <v>0</v>
      </c>
      <c r="V83" s="101">
        <f t="shared" si="81"/>
        <v>0</v>
      </c>
      <c r="W83" s="100">
        <v>0</v>
      </c>
      <c r="X83" s="98">
        <v>0</v>
      </c>
      <c r="Y83" s="99">
        <f t="shared" si="76"/>
        <v>0</v>
      </c>
      <c r="Z83" s="101">
        <v>1</v>
      </c>
      <c r="AA83" s="100">
        <v>0</v>
      </c>
      <c r="AB83" s="98">
        <v>0</v>
      </c>
      <c r="AC83" s="99">
        <f t="shared" si="77"/>
        <v>0</v>
      </c>
      <c r="AD83" s="101">
        <v>1</v>
      </c>
      <c r="AE83" s="100">
        <v>0</v>
      </c>
      <c r="AF83" s="98">
        <v>0</v>
      </c>
      <c r="AG83" s="101">
        <f t="shared" si="78"/>
        <v>0</v>
      </c>
      <c r="AH83" s="100">
        <v>0</v>
      </c>
      <c r="AI83" s="98">
        <v>0</v>
      </c>
      <c r="AJ83" s="101">
        <f t="shared" si="79"/>
        <v>0</v>
      </c>
      <c r="AK83" s="100">
        <v>0</v>
      </c>
      <c r="AL83" s="98">
        <v>0</v>
      </c>
      <c r="AM83" s="101">
        <f t="shared" si="80"/>
        <v>0</v>
      </c>
      <c r="AN83" s="106"/>
    </row>
    <row r="84" spans="2:40" s="126" customFormat="1" ht="17.100000000000001" customHeight="1">
      <c r="B84" s="118"/>
      <c r="C84" s="119"/>
      <c r="D84" s="120"/>
      <c r="E84" s="121"/>
      <c r="F84" s="122"/>
      <c r="G84" s="123"/>
      <c r="H84" s="341" t="s">
        <v>201</v>
      </c>
      <c r="I84" s="342"/>
      <c r="J84" s="124">
        <f>SUM(J77:J83)</f>
        <v>0</v>
      </c>
      <c r="K84" s="341" t="s">
        <v>201</v>
      </c>
      <c r="L84" s="342"/>
      <c r="M84" s="124">
        <f>SUM(M77:M83)</f>
        <v>225</v>
      </c>
      <c r="N84" s="341" t="s">
        <v>201</v>
      </c>
      <c r="O84" s="342"/>
      <c r="P84" s="124">
        <f>SUM(P77:P83)</f>
        <v>0</v>
      </c>
      <c r="Q84" s="341" t="s">
        <v>201</v>
      </c>
      <c r="R84" s="342"/>
      <c r="S84" s="124">
        <f>SUM(S77:S83)</f>
        <v>0</v>
      </c>
      <c r="T84" s="341" t="s">
        <v>201</v>
      </c>
      <c r="U84" s="342"/>
      <c r="V84" s="124">
        <f>SUM(V77:V83)</f>
        <v>0</v>
      </c>
      <c r="W84" s="341" t="s">
        <v>201</v>
      </c>
      <c r="X84" s="342"/>
      <c r="Y84" s="127">
        <f>SUM(Y77:Y83)</f>
        <v>0</v>
      </c>
      <c r="Z84" s="101">
        <v>2</v>
      </c>
      <c r="AA84" s="341" t="s">
        <v>201</v>
      </c>
      <c r="AB84" s="342"/>
      <c r="AC84" s="127">
        <f>SUM(AC77:AC83)</f>
        <v>0</v>
      </c>
      <c r="AD84" s="101">
        <v>2</v>
      </c>
      <c r="AE84" s="341" t="s">
        <v>201</v>
      </c>
      <c r="AF84" s="342"/>
      <c r="AG84" s="124">
        <f>SUM(AG77:AG83)</f>
        <v>0</v>
      </c>
      <c r="AH84" s="341" t="s">
        <v>201</v>
      </c>
      <c r="AI84" s="342"/>
      <c r="AJ84" s="124">
        <f>SUM(AJ77:AJ83)</f>
        <v>0</v>
      </c>
      <c r="AK84" s="341" t="s">
        <v>201</v>
      </c>
      <c r="AL84" s="342"/>
      <c r="AM84" s="124">
        <f>SUM(AM77:AM83)</f>
        <v>0</v>
      </c>
      <c r="AN84" s="125"/>
    </row>
    <row r="85" spans="2:40" s="35" customFormat="1" ht="17.100000000000001" customHeight="1">
      <c r="B85" s="105"/>
      <c r="C85" s="54">
        <f>'1. Rekap Back Up Aspal'!C29</f>
        <v>24000</v>
      </c>
      <c r="D85" s="96">
        <f>'1. Rekap Back Up Aspal'!D29</f>
        <v>24100</v>
      </c>
      <c r="E85" s="111">
        <f>'1. Rekap Back Up Aspal'!E29</f>
        <v>4.5</v>
      </c>
      <c r="F85" s="112">
        <f>(100/((D85-C85)*E85))*((J92*0.5)+(M92*0.5)+(P92*4)+(S92*4)+(V92*1)+(Y92*2)+(AC92*1.5)+(AG92*1)+(AJ92*1)+(AM92*1))</f>
        <v>25</v>
      </c>
      <c r="G85" s="113" t="str">
        <f>IF(F85&lt;=25,"B",IF(F85&lt;=75,"S",IF(F85&lt;=100,"RR","RB")))</f>
        <v>B</v>
      </c>
      <c r="H85" s="100">
        <v>0</v>
      </c>
      <c r="I85" s="98">
        <v>0</v>
      </c>
      <c r="J85" s="101">
        <f t="shared" ref="J85:J91" si="82">H85*I85</f>
        <v>0</v>
      </c>
      <c r="K85" s="100">
        <v>50</v>
      </c>
      <c r="L85" s="98">
        <v>4.5</v>
      </c>
      <c r="M85" s="101">
        <f t="shared" ref="M85:M91" si="83">K85*L85</f>
        <v>225</v>
      </c>
      <c r="N85" s="100">
        <v>0</v>
      </c>
      <c r="O85" s="98">
        <v>4</v>
      </c>
      <c r="P85" s="101">
        <f t="shared" ref="P85:P91" si="84">N85*O85</f>
        <v>0</v>
      </c>
      <c r="Q85" s="100">
        <v>0</v>
      </c>
      <c r="R85" s="98">
        <v>0</v>
      </c>
      <c r="S85" s="101">
        <f t="shared" ref="S85:S91" si="85">Q85*R85</f>
        <v>0</v>
      </c>
      <c r="T85" s="100">
        <v>0</v>
      </c>
      <c r="U85" s="98">
        <v>0</v>
      </c>
      <c r="V85" s="101">
        <f>T85*U85</f>
        <v>0</v>
      </c>
      <c r="W85" s="100">
        <v>0</v>
      </c>
      <c r="X85" s="98">
        <v>0</v>
      </c>
      <c r="Y85" s="99">
        <f t="shared" ref="Y85:Y91" si="86">W85*X85</f>
        <v>0</v>
      </c>
      <c r="Z85" s="101">
        <v>2</v>
      </c>
      <c r="AA85" s="100">
        <v>0</v>
      </c>
      <c r="AB85" s="98">
        <v>0</v>
      </c>
      <c r="AC85" s="99">
        <f t="shared" ref="AC85:AC91" si="87">AA85*AB85</f>
        <v>0</v>
      </c>
      <c r="AD85" s="101">
        <v>1</v>
      </c>
      <c r="AE85" s="100">
        <v>0</v>
      </c>
      <c r="AF85" s="98">
        <v>0</v>
      </c>
      <c r="AG85" s="101">
        <f t="shared" ref="AG85:AG91" si="88">AE85*AF85</f>
        <v>0</v>
      </c>
      <c r="AH85" s="100">
        <v>0</v>
      </c>
      <c r="AI85" s="98">
        <v>0</v>
      </c>
      <c r="AJ85" s="101">
        <f t="shared" ref="AJ85:AJ91" si="89">AH85*AI85</f>
        <v>0</v>
      </c>
      <c r="AK85" s="100">
        <v>0</v>
      </c>
      <c r="AL85" s="98">
        <v>0</v>
      </c>
      <c r="AM85" s="101">
        <f t="shared" ref="AM85:AM91" si="90">AK85*AL85</f>
        <v>0</v>
      </c>
      <c r="AN85" s="106"/>
    </row>
    <row r="86" spans="2:40" s="35" customFormat="1" ht="17.100000000000001" customHeight="1">
      <c r="B86" s="105"/>
      <c r="C86" s="54"/>
      <c r="D86" s="96"/>
      <c r="E86" s="111"/>
      <c r="F86" s="112"/>
      <c r="G86" s="113"/>
      <c r="H86" s="100">
        <v>0</v>
      </c>
      <c r="I86" s="98">
        <v>0</v>
      </c>
      <c r="J86" s="101">
        <f t="shared" si="82"/>
        <v>0</v>
      </c>
      <c r="K86" s="100">
        <v>0</v>
      </c>
      <c r="L86" s="98">
        <v>0</v>
      </c>
      <c r="M86" s="101">
        <f t="shared" si="83"/>
        <v>0</v>
      </c>
      <c r="N86" s="100">
        <v>0</v>
      </c>
      <c r="O86" s="98">
        <v>0</v>
      </c>
      <c r="P86" s="101">
        <f t="shared" si="84"/>
        <v>0</v>
      </c>
      <c r="Q86" s="100">
        <v>0</v>
      </c>
      <c r="R86" s="98">
        <v>0</v>
      </c>
      <c r="S86" s="101">
        <f t="shared" si="85"/>
        <v>0</v>
      </c>
      <c r="T86" s="100">
        <v>0</v>
      </c>
      <c r="U86" s="98">
        <v>0</v>
      </c>
      <c r="V86" s="101">
        <f t="shared" ref="V86:V91" si="91">T86*U86</f>
        <v>0</v>
      </c>
      <c r="W86" s="100">
        <v>0</v>
      </c>
      <c r="X86" s="98">
        <v>0</v>
      </c>
      <c r="Y86" s="99">
        <f t="shared" si="86"/>
        <v>0</v>
      </c>
      <c r="Z86" s="101">
        <v>3</v>
      </c>
      <c r="AA86" s="100">
        <v>0</v>
      </c>
      <c r="AB86" s="98">
        <v>0</v>
      </c>
      <c r="AC86" s="99">
        <f t="shared" si="87"/>
        <v>0</v>
      </c>
      <c r="AD86" s="101">
        <v>1</v>
      </c>
      <c r="AE86" s="100">
        <v>0</v>
      </c>
      <c r="AF86" s="98">
        <v>0</v>
      </c>
      <c r="AG86" s="101">
        <f t="shared" si="88"/>
        <v>0</v>
      </c>
      <c r="AH86" s="100">
        <v>0</v>
      </c>
      <c r="AI86" s="98">
        <v>0</v>
      </c>
      <c r="AJ86" s="101">
        <f t="shared" si="89"/>
        <v>0</v>
      </c>
      <c r="AK86" s="100">
        <v>0</v>
      </c>
      <c r="AL86" s="98">
        <v>0</v>
      </c>
      <c r="AM86" s="101">
        <f t="shared" si="90"/>
        <v>0</v>
      </c>
      <c r="AN86" s="106"/>
    </row>
    <row r="87" spans="2:40" s="35" customFormat="1" ht="17.100000000000001" customHeight="1">
      <c r="B87" s="105"/>
      <c r="C87" s="54"/>
      <c r="D87" s="96"/>
      <c r="E87" s="111"/>
      <c r="F87" s="112"/>
      <c r="G87" s="113"/>
      <c r="H87" s="100">
        <v>0</v>
      </c>
      <c r="I87" s="98">
        <v>0</v>
      </c>
      <c r="J87" s="101">
        <f t="shared" si="82"/>
        <v>0</v>
      </c>
      <c r="K87" s="100">
        <v>0</v>
      </c>
      <c r="L87" s="98">
        <v>0</v>
      </c>
      <c r="M87" s="101">
        <f t="shared" si="83"/>
        <v>0</v>
      </c>
      <c r="N87" s="100">
        <v>0</v>
      </c>
      <c r="O87" s="98">
        <v>0</v>
      </c>
      <c r="P87" s="101">
        <f t="shared" si="84"/>
        <v>0</v>
      </c>
      <c r="Q87" s="100">
        <v>0</v>
      </c>
      <c r="R87" s="98">
        <v>0</v>
      </c>
      <c r="S87" s="101">
        <f t="shared" si="85"/>
        <v>0</v>
      </c>
      <c r="T87" s="100">
        <v>0</v>
      </c>
      <c r="U87" s="98">
        <v>0</v>
      </c>
      <c r="V87" s="101">
        <f t="shared" si="91"/>
        <v>0</v>
      </c>
      <c r="W87" s="100">
        <v>0</v>
      </c>
      <c r="X87" s="98">
        <v>0</v>
      </c>
      <c r="Y87" s="99">
        <f t="shared" si="86"/>
        <v>0</v>
      </c>
      <c r="Z87" s="101">
        <v>1</v>
      </c>
      <c r="AA87" s="100">
        <v>0</v>
      </c>
      <c r="AB87" s="98">
        <v>0</v>
      </c>
      <c r="AC87" s="99">
        <f t="shared" si="87"/>
        <v>0</v>
      </c>
      <c r="AD87" s="101">
        <v>1</v>
      </c>
      <c r="AE87" s="100">
        <v>0</v>
      </c>
      <c r="AF87" s="98">
        <v>0</v>
      </c>
      <c r="AG87" s="101">
        <f t="shared" si="88"/>
        <v>0</v>
      </c>
      <c r="AH87" s="100">
        <v>0</v>
      </c>
      <c r="AI87" s="98">
        <v>0</v>
      </c>
      <c r="AJ87" s="101">
        <f t="shared" si="89"/>
        <v>0</v>
      </c>
      <c r="AK87" s="100">
        <v>0</v>
      </c>
      <c r="AL87" s="98">
        <v>0</v>
      </c>
      <c r="AM87" s="101">
        <f t="shared" si="90"/>
        <v>0</v>
      </c>
      <c r="AN87" s="106"/>
    </row>
    <row r="88" spans="2:40" s="35" customFormat="1" ht="17.100000000000001" customHeight="1">
      <c r="B88" s="105"/>
      <c r="C88" s="54"/>
      <c r="D88" s="96"/>
      <c r="E88" s="111"/>
      <c r="F88" s="112"/>
      <c r="G88" s="113"/>
      <c r="H88" s="100">
        <v>0</v>
      </c>
      <c r="I88" s="98">
        <v>0</v>
      </c>
      <c r="J88" s="101">
        <f t="shared" si="82"/>
        <v>0</v>
      </c>
      <c r="K88" s="100">
        <v>0</v>
      </c>
      <c r="L88" s="98">
        <v>0</v>
      </c>
      <c r="M88" s="101">
        <f t="shared" si="83"/>
        <v>0</v>
      </c>
      <c r="N88" s="100">
        <v>0</v>
      </c>
      <c r="O88" s="98">
        <v>0</v>
      </c>
      <c r="P88" s="101">
        <f t="shared" si="84"/>
        <v>0</v>
      </c>
      <c r="Q88" s="100">
        <v>0</v>
      </c>
      <c r="R88" s="98">
        <v>0</v>
      </c>
      <c r="S88" s="101">
        <f t="shared" si="85"/>
        <v>0</v>
      </c>
      <c r="T88" s="100">
        <v>0</v>
      </c>
      <c r="U88" s="98">
        <v>0</v>
      </c>
      <c r="V88" s="101">
        <f t="shared" si="91"/>
        <v>0</v>
      </c>
      <c r="W88" s="100">
        <v>0</v>
      </c>
      <c r="X88" s="98">
        <v>0</v>
      </c>
      <c r="Y88" s="99">
        <f t="shared" si="86"/>
        <v>0</v>
      </c>
      <c r="Z88" s="101">
        <v>1</v>
      </c>
      <c r="AA88" s="100">
        <v>0</v>
      </c>
      <c r="AB88" s="98">
        <v>0</v>
      </c>
      <c r="AC88" s="99">
        <f t="shared" si="87"/>
        <v>0</v>
      </c>
      <c r="AD88" s="101">
        <v>1</v>
      </c>
      <c r="AE88" s="100">
        <v>0</v>
      </c>
      <c r="AF88" s="98">
        <v>0</v>
      </c>
      <c r="AG88" s="101">
        <f t="shared" si="88"/>
        <v>0</v>
      </c>
      <c r="AH88" s="100">
        <v>0</v>
      </c>
      <c r="AI88" s="98">
        <v>0</v>
      </c>
      <c r="AJ88" s="101">
        <f t="shared" si="89"/>
        <v>0</v>
      </c>
      <c r="AK88" s="100">
        <v>0</v>
      </c>
      <c r="AL88" s="98">
        <v>0</v>
      </c>
      <c r="AM88" s="101">
        <f t="shared" si="90"/>
        <v>0</v>
      </c>
      <c r="AN88" s="106"/>
    </row>
    <row r="89" spans="2:40" s="35" customFormat="1" ht="17.100000000000001" customHeight="1">
      <c r="B89" s="105"/>
      <c r="C89" s="54"/>
      <c r="D89" s="96"/>
      <c r="E89" s="111"/>
      <c r="F89" s="112"/>
      <c r="G89" s="113"/>
      <c r="H89" s="100">
        <v>0</v>
      </c>
      <c r="I89" s="98">
        <v>0</v>
      </c>
      <c r="J89" s="101">
        <f t="shared" si="82"/>
        <v>0</v>
      </c>
      <c r="K89" s="100">
        <v>0</v>
      </c>
      <c r="L89" s="98">
        <v>0</v>
      </c>
      <c r="M89" s="101">
        <f t="shared" si="83"/>
        <v>0</v>
      </c>
      <c r="N89" s="100">
        <v>0</v>
      </c>
      <c r="O89" s="98">
        <v>0</v>
      </c>
      <c r="P89" s="101">
        <f t="shared" si="84"/>
        <v>0</v>
      </c>
      <c r="Q89" s="100">
        <v>0</v>
      </c>
      <c r="R89" s="98">
        <v>0</v>
      </c>
      <c r="S89" s="101">
        <f t="shared" si="85"/>
        <v>0</v>
      </c>
      <c r="T89" s="100">
        <v>0</v>
      </c>
      <c r="U89" s="98">
        <v>0</v>
      </c>
      <c r="V89" s="101">
        <f t="shared" si="91"/>
        <v>0</v>
      </c>
      <c r="W89" s="100">
        <v>0</v>
      </c>
      <c r="X89" s="98">
        <v>0</v>
      </c>
      <c r="Y89" s="99">
        <f t="shared" si="86"/>
        <v>0</v>
      </c>
      <c r="Z89" s="101">
        <v>1</v>
      </c>
      <c r="AA89" s="100">
        <v>0</v>
      </c>
      <c r="AB89" s="98">
        <v>0</v>
      </c>
      <c r="AC89" s="99">
        <f t="shared" si="87"/>
        <v>0</v>
      </c>
      <c r="AD89" s="101">
        <v>1</v>
      </c>
      <c r="AE89" s="100">
        <v>0</v>
      </c>
      <c r="AF89" s="98">
        <v>0</v>
      </c>
      <c r="AG89" s="101">
        <f t="shared" si="88"/>
        <v>0</v>
      </c>
      <c r="AH89" s="100">
        <v>0</v>
      </c>
      <c r="AI89" s="98">
        <v>0</v>
      </c>
      <c r="AJ89" s="101">
        <f t="shared" si="89"/>
        <v>0</v>
      </c>
      <c r="AK89" s="100">
        <v>0</v>
      </c>
      <c r="AL89" s="98">
        <v>0</v>
      </c>
      <c r="AM89" s="101">
        <f t="shared" si="90"/>
        <v>0</v>
      </c>
      <c r="AN89" s="106"/>
    </row>
    <row r="90" spans="2:40" s="35" customFormat="1" ht="17.100000000000001" customHeight="1">
      <c r="B90" s="105"/>
      <c r="C90" s="54"/>
      <c r="D90" s="96"/>
      <c r="E90" s="111"/>
      <c r="F90" s="112"/>
      <c r="G90" s="113"/>
      <c r="H90" s="100">
        <v>0</v>
      </c>
      <c r="I90" s="98">
        <v>0</v>
      </c>
      <c r="J90" s="101">
        <f t="shared" si="82"/>
        <v>0</v>
      </c>
      <c r="K90" s="100">
        <v>0</v>
      </c>
      <c r="L90" s="98">
        <v>0</v>
      </c>
      <c r="M90" s="101">
        <f t="shared" si="83"/>
        <v>0</v>
      </c>
      <c r="N90" s="100">
        <v>0</v>
      </c>
      <c r="O90" s="98">
        <v>0</v>
      </c>
      <c r="P90" s="101">
        <f t="shared" si="84"/>
        <v>0</v>
      </c>
      <c r="Q90" s="100">
        <v>0</v>
      </c>
      <c r="R90" s="98">
        <v>0</v>
      </c>
      <c r="S90" s="101">
        <f t="shared" si="85"/>
        <v>0</v>
      </c>
      <c r="T90" s="100">
        <v>0</v>
      </c>
      <c r="U90" s="98">
        <v>0</v>
      </c>
      <c r="V90" s="101">
        <f t="shared" si="91"/>
        <v>0</v>
      </c>
      <c r="W90" s="100">
        <v>0</v>
      </c>
      <c r="X90" s="98">
        <v>0</v>
      </c>
      <c r="Y90" s="99">
        <f t="shared" si="86"/>
        <v>0</v>
      </c>
      <c r="Z90" s="101">
        <v>1</v>
      </c>
      <c r="AA90" s="100">
        <v>0</v>
      </c>
      <c r="AB90" s="98">
        <v>0</v>
      </c>
      <c r="AC90" s="99">
        <f t="shared" si="87"/>
        <v>0</v>
      </c>
      <c r="AD90" s="101">
        <v>1</v>
      </c>
      <c r="AE90" s="100">
        <v>0</v>
      </c>
      <c r="AF90" s="98">
        <v>0</v>
      </c>
      <c r="AG90" s="101">
        <f t="shared" si="88"/>
        <v>0</v>
      </c>
      <c r="AH90" s="100">
        <v>0</v>
      </c>
      <c r="AI90" s="98">
        <v>0</v>
      </c>
      <c r="AJ90" s="101">
        <f t="shared" si="89"/>
        <v>0</v>
      </c>
      <c r="AK90" s="100">
        <v>0</v>
      </c>
      <c r="AL90" s="98">
        <v>0</v>
      </c>
      <c r="AM90" s="101">
        <f t="shared" si="90"/>
        <v>0</v>
      </c>
      <c r="AN90" s="106"/>
    </row>
    <row r="91" spans="2:40" s="35" customFormat="1" ht="17.100000000000001" customHeight="1">
      <c r="B91" s="105"/>
      <c r="C91" s="54"/>
      <c r="D91" s="96"/>
      <c r="E91" s="111"/>
      <c r="F91" s="112"/>
      <c r="G91" s="113"/>
      <c r="H91" s="100">
        <v>0</v>
      </c>
      <c r="I91" s="98">
        <v>0</v>
      </c>
      <c r="J91" s="101">
        <f t="shared" si="82"/>
        <v>0</v>
      </c>
      <c r="K91" s="100">
        <v>0</v>
      </c>
      <c r="L91" s="98">
        <v>0</v>
      </c>
      <c r="M91" s="101">
        <f t="shared" si="83"/>
        <v>0</v>
      </c>
      <c r="N91" s="100">
        <v>0</v>
      </c>
      <c r="O91" s="98">
        <v>0</v>
      </c>
      <c r="P91" s="101">
        <f t="shared" si="84"/>
        <v>0</v>
      </c>
      <c r="Q91" s="100">
        <v>0</v>
      </c>
      <c r="R91" s="98">
        <v>0</v>
      </c>
      <c r="S91" s="101">
        <f t="shared" si="85"/>
        <v>0</v>
      </c>
      <c r="T91" s="100">
        <v>0</v>
      </c>
      <c r="U91" s="98">
        <v>0</v>
      </c>
      <c r="V91" s="101">
        <f t="shared" si="91"/>
        <v>0</v>
      </c>
      <c r="W91" s="100">
        <v>0</v>
      </c>
      <c r="X91" s="98">
        <v>0</v>
      </c>
      <c r="Y91" s="99">
        <f t="shared" si="86"/>
        <v>0</v>
      </c>
      <c r="Z91" s="101">
        <v>1</v>
      </c>
      <c r="AA91" s="100">
        <v>0</v>
      </c>
      <c r="AB91" s="98">
        <v>0</v>
      </c>
      <c r="AC91" s="99">
        <f t="shared" si="87"/>
        <v>0</v>
      </c>
      <c r="AD91" s="101">
        <v>1</v>
      </c>
      <c r="AE91" s="100">
        <v>0</v>
      </c>
      <c r="AF91" s="98">
        <v>0</v>
      </c>
      <c r="AG91" s="101">
        <f t="shared" si="88"/>
        <v>0</v>
      </c>
      <c r="AH91" s="100">
        <v>0</v>
      </c>
      <c r="AI91" s="98">
        <v>0</v>
      </c>
      <c r="AJ91" s="101">
        <f t="shared" si="89"/>
        <v>0</v>
      </c>
      <c r="AK91" s="100">
        <v>0</v>
      </c>
      <c r="AL91" s="98">
        <v>0</v>
      </c>
      <c r="AM91" s="101">
        <f t="shared" si="90"/>
        <v>0</v>
      </c>
      <c r="AN91" s="106"/>
    </row>
    <row r="92" spans="2:40" s="126" customFormat="1" ht="17.100000000000001" customHeight="1">
      <c r="B92" s="118"/>
      <c r="C92" s="119"/>
      <c r="D92" s="120"/>
      <c r="E92" s="121"/>
      <c r="F92" s="122"/>
      <c r="G92" s="123"/>
      <c r="H92" s="341" t="s">
        <v>201</v>
      </c>
      <c r="I92" s="342"/>
      <c r="J92" s="124">
        <f>SUM(J85:J91)</f>
        <v>0</v>
      </c>
      <c r="K92" s="341" t="s">
        <v>201</v>
      </c>
      <c r="L92" s="342"/>
      <c r="M92" s="124">
        <f>SUM(M85:M91)</f>
        <v>225</v>
      </c>
      <c r="N92" s="341" t="s">
        <v>201</v>
      </c>
      <c r="O92" s="342"/>
      <c r="P92" s="124">
        <f>SUM(P85:P91)</f>
        <v>0</v>
      </c>
      <c r="Q92" s="341" t="s">
        <v>201</v>
      </c>
      <c r="R92" s="342"/>
      <c r="S92" s="124">
        <f>SUM(S85:S91)</f>
        <v>0</v>
      </c>
      <c r="T92" s="341" t="s">
        <v>201</v>
      </c>
      <c r="U92" s="342"/>
      <c r="V92" s="124">
        <f>SUM(V85:V91)</f>
        <v>0</v>
      </c>
      <c r="W92" s="341" t="s">
        <v>201</v>
      </c>
      <c r="X92" s="342"/>
      <c r="Y92" s="127">
        <f>SUM(Y85:Y91)</f>
        <v>0</v>
      </c>
      <c r="Z92" s="101">
        <v>2</v>
      </c>
      <c r="AA92" s="341" t="s">
        <v>201</v>
      </c>
      <c r="AB92" s="342"/>
      <c r="AC92" s="127">
        <f>SUM(AC85:AC91)</f>
        <v>0</v>
      </c>
      <c r="AD92" s="101">
        <v>2</v>
      </c>
      <c r="AE92" s="341" t="s">
        <v>201</v>
      </c>
      <c r="AF92" s="342"/>
      <c r="AG92" s="124">
        <f>SUM(AG85:AG91)</f>
        <v>0</v>
      </c>
      <c r="AH92" s="341" t="s">
        <v>201</v>
      </c>
      <c r="AI92" s="342"/>
      <c r="AJ92" s="124">
        <f>SUM(AJ85:AJ91)</f>
        <v>0</v>
      </c>
      <c r="AK92" s="341" t="s">
        <v>201</v>
      </c>
      <c r="AL92" s="342"/>
      <c r="AM92" s="124">
        <f>SUM(AM85:AM91)</f>
        <v>0</v>
      </c>
      <c r="AN92" s="125"/>
    </row>
    <row r="93" spans="2:40" s="35" customFormat="1" ht="17.100000000000001" customHeight="1">
      <c r="B93" s="105"/>
      <c r="C93" s="54">
        <f>'1. Rekap Back Up Aspal'!C30</f>
        <v>24100</v>
      </c>
      <c r="D93" s="96">
        <f>'1. Rekap Back Up Aspal'!D30</f>
        <v>24200</v>
      </c>
      <c r="E93" s="111">
        <f>'1. Rekap Back Up Aspal'!E30</f>
        <v>4.5</v>
      </c>
      <c r="F93" s="112">
        <f>(100/((D93-C93)*E93))*((J100*0.5)+(M100*0.5)+(P100*4)+(S100*4)+(V100*1)+(Y100*2)+(AC100*1.5)+(AG100*1)+(AJ100*1)+(AM100*1))</f>
        <v>55.55555555555555</v>
      </c>
      <c r="G93" s="113" t="str">
        <f>IF(F93&lt;=25,"B",IF(F93&lt;=75,"S",IF(F93&lt;=100,"RR","RB")))</f>
        <v>S</v>
      </c>
      <c r="H93" s="100">
        <v>0</v>
      </c>
      <c r="I93" s="98">
        <v>0</v>
      </c>
      <c r="J93" s="101">
        <f t="shared" ref="J93:J99" si="92">H93*I93</f>
        <v>0</v>
      </c>
      <c r="K93" s="100">
        <v>100</v>
      </c>
      <c r="L93" s="98">
        <v>5</v>
      </c>
      <c r="M93" s="101">
        <f t="shared" ref="M93:M99" si="93">K93*L93</f>
        <v>500</v>
      </c>
      <c r="N93" s="100">
        <v>0</v>
      </c>
      <c r="O93" s="98">
        <v>4</v>
      </c>
      <c r="P93" s="101">
        <f t="shared" ref="P93:P99" si="94">N93*O93</f>
        <v>0</v>
      </c>
      <c r="Q93" s="100">
        <v>0</v>
      </c>
      <c r="R93" s="98">
        <v>0</v>
      </c>
      <c r="S93" s="101">
        <f t="shared" ref="S93:S99" si="95">Q93*R93</f>
        <v>0</v>
      </c>
      <c r="T93" s="100">
        <v>0</v>
      </c>
      <c r="U93" s="98">
        <v>0</v>
      </c>
      <c r="V93" s="101">
        <f>T93*U93</f>
        <v>0</v>
      </c>
      <c r="W93" s="100">
        <v>0</v>
      </c>
      <c r="X93" s="98">
        <v>0</v>
      </c>
      <c r="Y93" s="99">
        <f t="shared" ref="Y93:Y99" si="96">W93*X93</f>
        <v>0</v>
      </c>
      <c r="Z93" s="101">
        <v>2</v>
      </c>
      <c r="AA93" s="100">
        <v>0</v>
      </c>
      <c r="AB93" s="98">
        <v>0</v>
      </c>
      <c r="AC93" s="99">
        <f t="shared" ref="AC93:AC99" si="97">AA93*AB93</f>
        <v>0</v>
      </c>
      <c r="AD93" s="101">
        <v>1</v>
      </c>
      <c r="AE93" s="100">
        <v>0</v>
      </c>
      <c r="AF93" s="98">
        <v>0</v>
      </c>
      <c r="AG93" s="101">
        <f t="shared" ref="AG93:AG99" si="98">AE93*AF93</f>
        <v>0</v>
      </c>
      <c r="AH93" s="100">
        <v>0</v>
      </c>
      <c r="AI93" s="98">
        <v>0</v>
      </c>
      <c r="AJ93" s="101">
        <f t="shared" ref="AJ93:AJ99" si="99">AH93*AI93</f>
        <v>0</v>
      </c>
      <c r="AK93" s="100">
        <v>0</v>
      </c>
      <c r="AL93" s="98">
        <v>0</v>
      </c>
      <c r="AM93" s="101">
        <f t="shared" ref="AM93:AM99" si="100">AK93*AL93</f>
        <v>0</v>
      </c>
      <c r="AN93" s="106"/>
    </row>
    <row r="94" spans="2:40" s="35" customFormat="1" ht="17.100000000000001" customHeight="1">
      <c r="B94" s="105"/>
      <c r="C94" s="54"/>
      <c r="D94" s="96"/>
      <c r="E94" s="111"/>
      <c r="F94" s="112"/>
      <c r="G94" s="113"/>
      <c r="H94" s="100">
        <v>0</v>
      </c>
      <c r="I94" s="98">
        <v>0</v>
      </c>
      <c r="J94" s="101">
        <f t="shared" si="92"/>
        <v>0</v>
      </c>
      <c r="K94" s="100">
        <v>0</v>
      </c>
      <c r="L94" s="98">
        <v>0</v>
      </c>
      <c r="M94" s="101">
        <f t="shared" si="93"/>
        <v>0</v>
      </c>
      <c r="N94" s="100">
        <v>0</v>
      </c>
      <c r="O94" s="98">
        <v>0</v>
      </c>
      <c r="P94" s="101">
        <f t="shared" si="94"/>
        <v>0</v>
      </c>
      <c r="Q94" s="100">
        <v>0</v>
      </c>
      <c r="R94" s="98">
        <v>0</v>
      </c>
      <c r="S94" s="101">
        <f t="shared" si="95"/>
        <v>0</v>
      </c>
      <c r="T94" s="100">
        <v>0</v>
      </c>
      <c r="U94" s="98">
        <v>0</v>
      </c>
      <c r="V94" s="101">
        <f t="shared" ref="V94:V99" si="101">T94*U94</f>
        <v>0</v>
      </c>
      <c r="W94" s="100">
        <v>0</v>
      </c>
      <c r="X94" s="98">
        <v>0</v>
      </c>
      <c r="Y94" s="99">
        <f t="shared" si="96"/>
        <v>0</v>
      </c>
      <c r="Z94" s="101">
        <v>3</v>
      </c>
      <c r="AA94" s="100">
        <v>0</v>
      </c>
      <c r="AB94" s="98">
        <v>0</v>
      </c>
      <c r="AC94" s="99">
        <f t="shared" si="97"/>
        <v>0</v>
      </c>
      <c r="AD94" s="101">
        <v>1</v>
      </c>
      <c r="AE94" s="100">
        <v>0</v>
      </c>
      <c r="AF94" s="98">
        <v>0</v>
      </c>
      <c r="AG94" s="101">
        <f t="shared" si="98"/>
        <v>0</v>
      </c>
      <c r="AH94" s="100">
        <v>0</v>
      </c>
      <c r="AI94" s="98">
        <v>0</v>
      </c>
      <c r="AJ94" s="101">
        <f t="shared" si="99"/>
        <v>0</v>
      </c>
      <c r="AK94" s="100">
        <v>0</v>
      </c>
      <c r="AL94" s="98">
        <v>0</v>
      </c>
      <c r="AM94" s="101">
        <f t="shared" si="100"/>
        <v>0</v>
      </c>
      <c r="AN94" s="106"/>
    </row>
    <row r="95" spans="2:40" s="35" customFormat="1" ht="17.100000000000001" customHeight="1">
      <c r="B95" s="105"/>
      <c r="C95" s="54"/>
      <c r="D95" s="96"/>
      <c r="E95" s="111"/>
      <c r="F95" s="112"/>
      <c r="G95" s="113"/>
      <c r="H95" s="100">
        <v>0</v>
      </c>
      <c r="I95" s="98">
        <v>0</v>
      </c>
      <c r="J95" s="101">
        <f t="shared" si="92"/>
        <v>0</v>
      </c>
      <c r="K95" s="100">
        <v>0</v>
      </c>
      <c r="L95" s="98">
        <v>0</v>
      </c>
      <c r="M95" s="101">
        <f t="shared" si="93"/>
        <v>0</v>
      </c>
      <c r="N95" s="100">
        <v>0</v>
      </c>
      <c r="O95" s="98">
        <v>0</v>
      </c>
      <c r="P95" s="101">
        <f t="shared" si="94"/>
        <v>0</v>
      </c>
      <c r="Q95" s="100">
        <v>0</v>
      </c>
      <c r="R95" s="98">
        <v>0</v>
      </c>
      <c r="S95" s="101">
        <f t="shared" si="95"/>
        <v>0</v>
      </c>
      <c r="T95" s="100">
        <v>0</v>
      </c>
      <c r="U95" s="98">
        <v>0</v>
      </c>
      <c r="V95" s="101">
        <f t="shared" si="101"/>
        <v>0</v>
      </c>
      <c r="W95" s="100">
        <v>0</v>
      </c>
      <c r="X95" s="98">
        <v>0</v>
      </c>
      <c r="Y95" s="99">
        <f t="shared" si="96"/>
        <v>0</v>
      </c>
      <c r="Z95" s="101">
        <v>1</v>
      </c>
      <c r="AA95" s="100">
        <v>0</v>
      </c>
      <c r="AB95" s="98">
        <v>0</v>
      </c>
      <c r="AC95" s="99">
        <f t="shared" si="97"/>
        <v>0</v>
      </c>
      <c r="AD95" s="101">
        <v>1</v>
      </c>
      <c r="AE95" s="100">
        <v>0</v>
      </c>
      <c r="AF95" s="98">
        <v>0</v>
      </c>
      <c r="AG95" s="101">
        <f t="shared" si="98"/>
        <v>0</v>
      </c>
      <c r="AH95" s="100">
        <v>0</v>
      </c>
      <c r="AI95" s="98">
        <v>0</v>
      </c>
      <c r="AJ95" s="101">
        <f t="shared" si="99"/>
        <v>0</v>
      </c>
      <c r="AK95" s="100">
        <v>0</v>
      </c>
      <c r="AL95" s="98">
        <v>0</v>
      </c>
      <c r="AM95" s="101">
        <f t="shared" si="100"/>
        <v>0</v>
      </c>
      <c r="AN95" s="106"/>
    </row>
    <row r="96" spans="2:40" s="35" customFormat="1" ht="17.100000000000001" customHeight="1">
      <c r="B96" s="105"/>
      <c r="C96" s="54"/>
      <c r="D96" s="96"/>
      <c r="E96" s="111"/>
      <c r="F96" s="112"/>
      <c r="G96" s="113"/>
      <c r="H96" s="100">
        <v>0</v>
      </c>
      <c r="I96" s="98">
        <v>0</v>
      </c>
      <c r="J96" s="101">
        <f t="shared" si="92"/>
        <v>0</v>
      </c>
      <c r="K96" s="100">
        <v>0</v>
      </c>
      <c r="L96" s="98">
        <v>0</v>
      </c>
      <c r="M96" s="101">
        <f t="shared" si="93"/>
        <v>0</v>
      </c>
      <c r="N96" s="100">
        <v>0</v>
      </c>
      <c r="O96" s="98">
        <v>0</v>
      </c>
      <c r="P96" s="101">
        <f t="shared" si="94"/>
        <v>0</v>
      </c>
      <c r="Q96" s="100">
        <v>0</v>
      </c>
      <c r="R96" s="98">
        <v>0</v>
      </c>
      <c r="S96" s="101">
        <f t="shared" si="95"/>
        <v>0</v>
      </c>
      <c r="T96" s="100">
        <v>0</v>
      </c>
      <c r="U96" s="98">
        <v>0</v>
      </c>
      <c r="V96" s="101">
        <f t="shared" si="101"/>
        <v>0</v>
      </c>
      <c r="W96" s="100">
        <v>0</v>
      </c>
      <c r="X96" s="98">
        <v>0</v>
      </c>
      <c r="Y96" s="99">
        <f t="shared" si="96"/>
        <v>0</v>
      </c>
      <c r="Z96" s="101">
        <v>1</v>
      </c>
      <c r="AA96" s="100">
        <v>0</v>
      </c>
      <c r="AB96" s="98">
        <v>0</v>
      </c>
      <c r="AC96" s="99">
        <f t="shared" si="97"/>
        <v>0</v>
      </c>
      <c r="AD96" s="101">
        <v>1</v>
      </c>
      <c r="AE96" s="100">
        <v>0</v>
      </c>
      <c r="AF96" s="98">
        <v>0</v>
      </c>
      <c r="AG96" s="101">
        <f t="shared" si="98"/>
        <v>0</v>
      </c>
      <c r="AH96" s="100">
        <v>0</v>
      </c>
      <c r="AI96" s="98">
        <v>0</v>
      </c>
      <c r="AJ96" s="101">
        <f t="shared" si="99"/>
        <v>0</v>
      </c>
      <c r="AK96" s="100">
        <v>0</v>
      </c>
      <c r="AL96" s="98">
        <v>0</v>
      </c>
      <c r="AM96" s="101">
        <f t="shared" si="100"/>
        <v>0</v>
      </c>
      <c r="AN96" s="106"/>
    </row>
    <row r="97" spans="2:40" s="35" customFormat="1" ht="17.100000000000001" customHeight="1">
      <c r="B97" s="105"/>
      <c r="C97" s="54"/>
      <c r="D97" s="96"/>
      <c r="E97" s="111"/>
      <c r="F97" s="112"/>
      <c r="G97" s="113"/>
      <c r="H97" s="100">
        <v>0</v>
      </c>
      <c r="I97" s="98">
        <v>0</v>
      </c>
      <c r="J97" s="101">
        <f t="shared" si="92"/>
        <v>0</v>
      </c>
      <c r="K97" s="100">
        <v>0</v>
      </c>
      <c r="L97" s="98">
        <v>0</v>
      </c>
      <c r="M97" s="101">
        <f t="shared" si="93"/>
        <v>0</v>
      </c>
      <c r="N97" s="100">
        <v>0</v>
      </c>
      <c r="O97" s="98">
        <v>0</v>
      </c>
      <c r="P97" s="101">
        <f t="shared" si="94"/>
        <v>0</v>
      </c>
      <c r="Q97" s="100">
        <v>0</v>
      </c>
      <c r="R97" s="98">
        <v>0</v>
      </c>
      <c r="S97" s="101">
        <f t="shared" si="95"/>
        <v>0</v>
      </c>
      <c r="T97" s="100">
        <v>0</v>
      </c>
      <c r="U97" s="98">
        <v>0</v>
      </c>
      <c r="V97" s="101">
        <f t="shared" si="101"/>
        <v>0</v>
      </c>
      <c r="W97" s="100">
        <v>0</v>
      </c>
      <c r="X97" s="98">
        <v>0</v>
      </c>
      <c r="Y97" s="99">
        <f t="shared" si="96"/>
        <v>0</v>
      </c>
      <c r="Z97" s="101">
        <v>1</v>
      </c>
      <c r="AA97" s="100">
        <v>0</v>
      </c>
      <c r="AB97" s="98">
        <v>0</v>
      </c>
      <c r="AC97" s="99">
        <f t="shared" si="97"/>
        <v>0</v>
      </c>
      <c r="AD97" s="101">
        <v>1</v>
      </c>
      <c r="AE97" s="100">
        <v>0</v>
      </c>
      <c r="AF97" s="98">
        <v>0</v>
      </c>
      <c r="AG97" s="101">
        <f t="shared" si="98"/>
        <v>0</v>
      </c>
      <c r="AH97" s="100">
        <v>0</v>
      </c>
      <c r="AI97" s="98">
        <v>0</v>
      </c>
      <c r="AJ97" s="101">
        <f t="shared" si="99"/>
        <v>0</v>
      </c>
      <c r="AK97" s="100">
        <v>0</v>
      </c>
      <c r="AL97" s="98">
        <v>0</v>
      </c>
      <c r="AM97" s="101">
        <f t="shared" si="100"/>
        <v>0</v>
      </c>
      <c r="AN97" s="106"/>
    </row>
    <row r="98" spans="2:40" s="35" customFormat="1" ht="17.100000000000001" customHeight="1">
      <c r="B98" s="105"/>
      <c r="C98" s="54"/>
      <c r="D98" s="96"/>
      <c r="E98" s="111"/>
      <c r="F98" s="112"/>
      <c r="G98" s="113"/>
      <c r="H98" s="100">
        <v>0</v>
      </c>
      <c r="I98" s="98">
        <v>0</v>
      </c>
      <c r="J98" s="101">
        <f t="shared" si="92"/>
        <v>0</v>
      </c>
      <c r="K98" s="100">
        <v>0</v>
      </c>
      <c r="L98" s="98">
        <v>0</v>
      </c>
      <c r="M98" s="101">
        <f t="shared" si="93"/>
        <v>0</v>
      </c>
      <c r="N98" s="100">
        <v>0</v>
      </c>
      <c r="O98" s="98">
        <v>0</v>
      </c>
      <c r="P98" s="101">
        <f t="shared" si="94"/>
        <v>0</v>
      </c>
      <c r="Q98" s="100">
        <v>0</v>
      </c>
      <c r="R98" s="98">
        <v>0</v>
      </c>
      <c r="S98" s="101">
        <f t="shared" si="95"/>
        <v>0</v>
      </c>
      <c r="T98" s="100">
        <v>0</v>
      </c>
      <c r="U98" s="98">
        <v>0</v>
      </c>
      <c r="V98" s="101">
        <f t="shared" si="101"/>
        <v>0</v>
      </c>
      <c r="W98" s="100">
        <v>0</v>
      </c>
      <c r="X98" s="98">
        <v>0</v>
      </c>
      <c r="Y98" s="99">
        <f t="shared" si="96"/>
        <v>0</v>
      </c>
      <c r="Z98" s="101">
        <v>1</v>
      </c>
      <c r="AA98" s="100">
        <v>0</v>
      </c>
      <c r="AB98" s="98">
        <v>0</v>
      </c>
      <c r="AC98" s="99">
        <f t="shared" si="97"/>
        <v>0</v>
      </c>
      <c r="AD98" s="101">
        <v>1</v>
      </c>
      <c r="AE98" s="100">
        <v>0</v>
      </c>
      <c r="AF98" s="98">
        <v>0</v>
      </c>
      <c r="AG98" s="101">
        <f t="shared" si="98"/>
        <v>0</v>
      </c>
      <c r="AH98" s="100">
        <v>0</v>
      </c>
      <c r="AI98" s="98">
        <v>0</v>
      </c>
      <c r="AJ98" s="101">
        <f t="shared" si="99"/>
        <v>0</v>
      </c>
      <c r="AK98" s="100">
        <v>0</v>
      </c>
      <c r="AL98" s="98">
        <v>0</v>
      </c>
      <c r="AM98" s="101">
        <f t="shared" si="100"/>
        <v>0</v>
      </c>
      <c r="AN98" s="106"/>
    </row>
    <row r="99" spans="2:40" s="35" customFormat="1" ht="17.100000000000001" customHeight="1">
      <c r="B99" s="105"/>
      <c r="C99" s="54"/>
      <c r="D99" s="96"/>
      <c r="E99" s="111"/>
      <c r="F99" s="112"/>
      <c r="G99" s="113"/>
      <c r="H99" s="100">
        <v>0</v>
      </c>
      <c r="I99" s="98">
        <v>0</v>
      </c>
      <c r="J99" s="101">
        <f t="shared" si="92"/>
        <v>0</v>
      </c>
      <c r="K99" s="100">
        <v>0</v>
      </c>
      <c r="L99" s="98">
        <v>0</v>
      </c>
      <c r="M99" s="101">
        <f t="shared" si="93"/>
        <v>0</v>
      </c>
      <c r="N99" s="100">
        <v>0</v>
      </c>
      <c r="O99" s="98">
        <v>0</v>
      </c>
      <c r="P99" s="101">
        <f t="shared" si="94"/>
        <v>0</v>
      </c>
      <c r="Q99" s="100">
        <v>0</v>
      </c>
      <c r="R99" s="98">
        <v>0</v>
      </c>
      <c r="S99" s="101">
        <f t="shared" si="95"/>
        <v>0</v>
      </c>
      <c r="T99" s="100">
        <v>0</v>
      </c>
      <c r="U99" s="98">
        <v>0</v>
      </c>
      <c r="V99" s="101">
        <f t="shared" si="101"/>
        <v>0</v>
      </c>
      <c r="W99" s="100">
        <v>0</v>
      </c>
      <c r="X99" s="98">
        <v>0</v>
      </c>
      <c r="Y99" s="99">
        <f t="shared" si="96"/>
        <v>0</v>
      </c>
      <c r="Z99" s="101">
        <v>1</v>
      </c>
      <c r="AA99" s="100">
        <v>0</v>
      </c>
      <c r="AB99" s="98">
        <v>0</v>
      </c>
      <c r="AC99" s="99">
        <f t="shared" si="97"/>
        <v>0</v>
      </c>
      <c r="AD99" s="101">
        <v>1</v>
      </c>
      <c r="AE99" s="100">
        <v>0</v>
      </c>
      <c r="AF99" s="98">
        <v>0</v>
      </c>
      <c r="AG99" s="101">
        <f t="shared" si="98"/>
        <v>0</v>
      </c>
      <c r="AH99" s="100">
        <v>0</v>
      </c>
      <c r="AI99" s="98">
        <v>0</v>
      </c>
      <c r="AJ99" s="101">
        <f t="shared" si="99"/>
        <v>0</v>
      </c>
      <c r="AK99" s="100">
        <v>0</v>
      </c>
      <c r="AL99" s="98">
        <v>0</v>
      </c>
      <c r="AM99" s="101">
        <f t="shared" si="100"/>
        <v>0</v>
      </c>
      <c r="AN99" s="106"/>
    </row>
    <row r="100" spans="2:40" s="126" customFormat="1" ht="17.100000000000001" customHeight="1">
      <c r="B100" s="118"/>
      <c r="C100" s="119"/>
      <c r="D100" s="120"/>
      <c r="E100" s="121"/>
      <c r="F100" s="122"/>
      <c r="G100" s="123"/>
      <c r="H100" s="341" t="s">
        <v>201</v>
      </c>
      <c r="I100" s="342"/>
      <c r="J100" s="124">
        <f>SUM(J93:J99)</f>
        <v>0</v>
      </c>
      <c r="K100" s="341" t="s">
        <v>201</v>
      </c>
      <c r="L100" s="342"/>
      <c r="M100" s="124">
        <f>SUM(M93:M99)</f>
        <v>500</v>
      </c>
      <c r="N100" s="341" t="s">
        <v>201</v>
      </c>
      <c r="O100" s="342"/>
      <c r="P100" s="124">
        <f>SUM(P93:P99)</f>
        <v>0</v>
      </c>
      <c r="Q100" s="341" t="s">
        <v>201</v>
      </c>
      <c r="R100" s="342"/>
      <c r="S100" s="124">
        <f>SUM(S93:S99)</f>
        <v>0</v>
      </c>
      <c r="T100" s="341" t="s">
        <v>201</v>
      </c>
      <c r="U100" s="342"/>
      <c r="V100" s="124">
        <f>SUM(V93:V99)</f>
        <v>0</v>
      </c>
      <c r="W100" s="341" t="s">
        <v>201</v>
      </c>
      <c r="X100" s="342"/>
      <c r="Y100" s="127">
        <f>SUM(Y93:Y99)</f>
        <v>0</v>
      </c>
      <c r="Z100" s="101">
        <v>2</v>
      </c>
      <c r="AA100" s="341" t="s">
        <v>201</v>
      </c>
      <c r="AB100" s="342"/>
      <c r="AC100" s="127">
        <f>SUM(AC93:AC99)</f>
        <v>0</v>
      </c>
      <c r="AD100" s="101">
        <v>2</v>
      </c>
      <c r="AE100" s="341" t="s">
        <v>201</v>
      </c>
      <c r="AF100" s="342"/>
      <c r="AG100" s="124">
        <f>SUM(AG93:AG99)</f>
        <v>0</v>
      </c>
      <c r="AH100" s="341" t="s">
        <v>201</v>
      </c>
      <c r="AI100" s="342"/>
      <c r="AJ100" s="124">
        <f>SUM(AJ93:AJ99)</f>
        <v>0</v>
      </c>
      <c r="AK100" s="341" t="s">
        <v>201</v>
      </c>
      <c r="AL100" s="342"/>
      <c r="AM100" s="124">
        <f>SUM(AM93:AM99)</f>
        <v>0</v>
      </c>
      <c r="AN100" s="125"/>
    </row>
    <row r="101" spans="2:40" s="35" customFormat="1" ht="17.100000000000001" customHeight="1">
      <c r="B101" s="105"/>
      <c r="C101" s="54">
        <f>'1. Rekap Back Up Aspal'!C31</f>
        <v>24200</v>
      </c>
      <c r="D101" s="96">
        <f>'1. Rekap Back Up Aspal'!D31</f>
        <v>24300</v>
      </c>
      <c r="E101" s="111">
        <f>'1. Rekap Back Up Aspal'!E31</f>
        <v>4.5</v>
      </c>
      <c r="F101" s="112">
        <f>(100/((D101-C101)*E101))*((J108*0.5)+(M108*0.5)+(P108*4)+(S108*4)+(V108*1)+(Y108*2)+(AC108*1.5)+(AG108*1)+(AJ108*1)+(AM108*1))</f>
        <v>38.888888888888886</v>
      </c>
      <c r="G101" s="113" t="str">
        <f>IF(F101&lt;=25,"B",IF(F101&lt;=75,"S",IF(F101&lt;=100,"RR","RB")))</f>
        <v>S</v>
      </c>
      <c r="H101" s="100">
        <v>0</v>
      </c>
      <c r="I101" s="98">
        <v>0</v>
      </c>
      <c r="J101" s="101">
        <f t="shared" ref="J101:J107" si="102">H101*I101</f>
        <v>0</v>
      </c>
      <c r="K101" s="100">
        <v>70</v>
      </c>
      <c r="L101" s="98">
        <v>5</v>
      </c>
      <c r="M101" s="101">
        <f t="shared" ref="M101:M107" si="103">K101*L101</f>
        <v>350</v>
      </c>
      <c r="N101" s="100">
        <v>0</v>
      </c>
      <c r="O101" s="98">
        <v>4</v>
      </c>
      <c r="P101" s="101">
        <f t="shared" ref="P101:P107" si="104">N101*O101</f>
        <v>0</v>
      </c>
      <c r="Q101" s="100">
        <v>0</v>
      </c>
      <c r="R101" s="98">
        <v>0</v>
      </c>
      <c r="S101" s="101">
        <f t="shared" ref="S101:S107" si="105">Q101*R101</f>
        <v>0</v>
      </c>
      <c r="T101" s="100">
        <v>0</v>
      </c>
      <c r="U101" s="98">
        <v>0</v>
      </c>
      <c r="V101" s="101">
        <f>T101*U101</f>
        <v>0</v>
      </c>
      <c r="W101" s="100">
        <v>0</v>
      </c>
      <c r="X101" s="98">
        <v>0</v>
      </c>
      <c r="Y101" s="99">
        <f t="shared" ref="Y101:Y107" si="106">W101*X101</f>
        <v>0</v>
      </c>
      <c r="Z101" s="101">
        <v>2</v>
      </c>
      <c r="AA101" s="100">
        <v>0</v>
      </c>
      <c r="AB101" s="98">
        <v>0</v>
      </c>
      <c r="AC101" s="99">
        <f t="shared" ref="AC101:AC107" si="107">AA101*AB101</f>
        <v>0</v>
      </c>
      <c r="AD101" s="101">
        <v>1</v>
      </c>
      <c r="AE101" s="100">
        <v>0</v>
      </c>
      <c r="AF101" s="98">
        <v>0</v>
      </c>
      <c r="AG101" s="101">
        <f t="shared" ref="AG101:AG107" si="108">AE101*AF101</f>
        <v>0</v>
      </c>
      <c r="AH101" s="100">
        <v>0</v>
      </c>
      <c r="AI101" s="98">
        <v>0</v>
      </c>
      <c r="AJ101" s="101">
        <f t="shared" ref="AJ101:AJ107" si="109">AH101*AI101</f>
        <v>0</v>
      </c>
      <c r="AK101" s="100">
        <v>0</v>
      </c>
      <c r="AL101" s="98">
        <v>0</v>
      </c>
      <c r="AM101" s="101">
        <f t="shared" ref="AM101:AM107" si="110">AK101*AL101</f>
        <v>0</v>
      </c>
      <c r="AN101" s="106"/>
    </row>
    <row r="102" spans="2:40" s="35" customFormat="1" ht="17.100000000000001" customHeight="1">
      <c r="B102" s="105"/>
      <c r="C102" s="54"/>
      <c r="D102" s="96"/>
      <c r="E102" s="111"/>
      <c r="F102" s="112"/>
      <c r="G102" s="113"/>
      <c r="H102" s="100">
        <v>0</v>
      </c>
      <c r="I102" s="98">
        <v>0</v>
      </c>
      <c r="J102" s="101">
        <f t="shared" si="102"/>
        <v>0</v>
      </c>
      <c r="K102" s="100">
        <v>0</v>
      </c>
      <c r="L102" s="98">
        <v>0</v>
      </c>
      <c r="M102" s="101">
        <f t="shared" si="103"/>
        <v>0</v>
      </c>
      <c r="N102" s="100">
        <v>0</v>
      </c>
      <c r="O102" s="98">
        <v>0</v>
      </c>
      <c r="P102" s="101">
        <f t="shared" si="104"/>
        <v>0</v>
      </c>
      <c r="Q102" s="100">
        <v>0</v>
      </c>
      <c r="R102" s="98">
        <v>0</v>
      </c>
      <c r="S102" s="101">
        <f t="shared" si="105"/>
        <v>0</v>
      </c>
      <c r="T102" s="100">
        <v>0</v>
      </c>
      <c r="U102" s="98">
        <v>0</v>
      </c>
      <c r="V102" s="101">
        <f t="shared" ref="V102:V107" si="111">T102*U102</f>
        <v>0</v>
      </c>
      <c r="W102" s="100">
        <v>0</v>
      </c>
      <c r="X102" s="98">
        <v>0</v>
      </c>
      <c r="Y102" s="99">
        <f t="shared" si="106"/>
        <v>0</v>
      </c>
      <c r="Z102" s="101">
        <v>3</v>
      </c>
      <c r="AA102" s="100">
        <v>0</v>
      </c>
      <c r="AB102" s="98">
        <v>0</v>
      </c>
      <c r="AC102" s="99">
        <f t="shared" si="107"/>
        <v>0</v>
      </c>
      <c r="AD102" s="101">
        <v>1</v>
      </c>
      <c r="AE102" s="100">
        <v>0</v>
      </c>
      <c r="AF102" s="98">
        <v>0</v>
      </c>
      <c r="AG102" s="101">
        <f t="shared" si="108"/>
        <v>0</v>
      </c>
      <c r="AH102" s="100">
        <v>0</v>
      </c>
      <c r="AI102" s="98">
        <v>0</v>
      </c>
      <c r="AJ102" s="101">
        <f t="shared" si="109"/>
        <v>0</v>
      </c>
      <c r="AK102" s="100">
        <v>0</v>
      </c>
      <c r="AL102" s="98">
        <v>0</v>
      </c>
      <c r="AM102" s="101">
        <f t="shared" si="110"/>
        <v>0</v>
      </c>
      <c r="AN102" s="106"/>
    </row>
    <row r="103" spans="2:40" s="35" customFormat="1" ht="17.100000000000001" customHeight="1">
      <c r="B103" s="105"/>
      <c r="C103" s="54"/>
      <c r="D103" s="96"/>
      <c r="E103" s="111"/>
      <c r="F103" s="112"/>
      <c r="G103" s="113"/>
      <c r="H103" s="100">
        <v>0</v>
      </c>
      <c r="I103" s="98">
        <v>0</v>
      </c>
      <c r="J103" s="101">
        <f t="shared" si="102"/>
        <v>0</v>
      </c>
      <c r="K103" s="100">
        <v>0</v>
      </c>
      <c r="L103" s="98">
        <v>0</v>
      </c>
      <c r="M103" s="101">
        <f t="shared" si="103"/>
        <v>0</v>
      </c>
      <c r="N103" s="100">
        <v>0</v>
      </c>
      <c r="O103" s="98">
        <v>0</v>
      </c>
      <c r="P103" s="101">
        <f t="shared" si="104"/>
        <v>0</v>
      </c>
      <c r="Q103" s="100">
        <v>0</v>
      </c>
      <c r="R103" s="98">
        <v>0</v>
      </c>
      <c r="S103" s="101">
        <f t="shared" si="105"/>
        <v>0</v>
      </c>
      <c r="T103" s="100">
        <v>0</v>
      </c>
      <c r="U103" s="98">
        <v>0</v>
      </c>
      <c r="V103" s="101">
        <f t="shared" si="111"/>
        <v>0</v>
      </c>
      <c r="W103" s="100">
        <v>0</v>
      </c>
      <c r="X103" s="98">
        <v>0</v>
      </c>
      <c r="Y103" s="99">
        <f t="shared" si="106"/>
        <v>0</v>
      </c>
      <c r="Z103" s="101">
        <v>1</v>
      </c>
      <c r="AA103" s="100">
        <v>0</v>
      </c>
      <c r="AB103" s="98">
        <v>0</v>
      </c>
      <c r="AC103" s="99">
        <f t="shared" si="107"/>
        <v>0</v>
      </c>
      <c r="AD103" s="101">
        <v>1</v>
      </c>
      <c r="AE103" s="100">
        <v>0</v>
      </c>
      <c r="AF103" s="98">
        <v>0</v>
      </c>
      <c r="AG103" s="101">
        <f t="shared" si="108"/>
        <v>0</v>
      </c>
      <c r="AH103" s="100">
        <v>0</v>
      </c>
      <c r="AI103" s="98">
        <v>0</v>
      </c>
      <c r="AJ103" s="101">
        <f t="shared" si="109"/>
        <v>0</v>
      </c>
      <c r="AK103" s="100">
        <v>0</v>
      </c>
      <c r="AL103" s="98">
        <v>0</v>
      </c>
      <c r="AM103" s="101">
        <f t="shared" si="110"/>
        <v>0</v>
      </c>
      <c r="AN103" s="106"/>
    </row>
    <row r="104" spans="2:40" s="35" customFormat="1" ht="17.100000000000001" customHeight="1">
      <c r="B104" s="105"/>
      <c r="C104" s="54"/>
      <c r="D104" s="96"/>
      <c r="E104" s="111"/>
      <c r="F104" s="112"/>
      <c r="G104" s="113"/>
      <c r="H104" s="100">
        <v>0</v>
      </c>
      <c r="I104" s="98">
        <v>0</v>
      </c>
      <c r="J104" s="101">
        <f t="shared" si="102"/>
        <v>0</v>
      </c>
      <c r="K104" s="100">
        <v>0</v>
      </c>
      <c r="L104" s="98">
        <v>0</v>
      </c>
      <c r="M104" s="101">
        <f t="shared" si="103"/>
        <v>0</v>
      </c>
      <c r="N104" s="100">
        <v>0</v>
      </c>
      <c r="O104" s="98">
        <v>0</v>
      </c>
      <c r="P104" s="101">
        <f t="shared" si="104"/>
        <v>0</v>
      </c>
      <c r="Q104" s="100">
        <v>0</v>
      </c>
      <c r="R104" s="98">
        <v>0</v>
      </c>
      <c r="S104" s="101">
        <f t="shared" si="105"/>
        <v>0</v>
      </c>
      <c r="T104" s="100">
        <v>0</v>
      </c>
      <c r="U104" s="98">
        <v>0</v>
      </c>
      <c r="V104" s="101">
        <f t="shared" si="111"/>
        <v>0</v>
      </c>
      <c r="W104" s="100">
        <v>0</v>
      </c>
      <c r="X104" s="98">
        <v>0</v>
      </c>
      <c r="Y104" s="99">
        <f t="shared" si="106"/>
        <v>0</v>
      </c>
      <c r="Z104" s="101">
        <v>1</v>
      </c>
      <c r="AA104" s="100">
        <v>0</v>
      </c>
      <c r="AB104" s="98">
        <v>0</v>
      </c>
      <c r="AC104" s="99">
        <f t="shared" si="107"/>
        <v>0</v>
      </c>
      <c r="AD104" s="101">
        <v>1</v>
      </c>
      <c r="AE104" s="100">
        <v>0</v>
      </c>
      <c r="AF104" s="98">
        <v>0</v>
      </c>
      <c r="AG104" s="101">
        <f t="shared" si="108"/>
        <v>0</v>
      </c>
      <c r="AH104" s="100">
        <v>0</v>
      </c>
      <c r="AI104" s="98">
        <v>0</v>
      </c>
      <c r="AJ104" s="101">
        <f t="shared" si="109"/>
        <v>0</v>
      </c>
      <c r="AK104" s="100">
        <v>0</v>
      </c>
      <c r="AL104" s="98">
        <v>0</v>
      </c>
      <c r="AM104" s="101">
        <f t="shared" si="110"/>
        <v>0</v>
      </c>
      <c r="AN104" s="106"/>
    </row>
    <row r="105" spans="2:40" s="35" customFormat="1" ht="17.100000000000001" customHeight="1">
      <c r="B105" s="105"/>
      <c r="C105" s="54"/>
      <c r="D105" s="96"/>
      <c r="E105" s="111"/>
      <c r="F105" s="112"/>
      <c r="G105" s="113"/>
      <c r="H105" s="100">
        <v>0</v>
      </c>
      <c r="I105" s="98">
        <v>0</v>
      </c>
      <c r="J105" s="101">
        <f t="shared" si="102"/>
        <v>0</v>
      </c>
      <c r="K105" s="100">
        <v>0</v>
      </c>
      <c r="L105" s="98">
        <v>0</v>
      </c>
      <c r="M105" s="101">
        <f t="shared" si="103"/>
        <v>0</v>
      </c>
      <c r="N105" s="100">
        <v>0</v>
      </c>
      <c r="O105" s="98">
        <v>0</v>
      </c>
      <c r="P105" s="101">
        <f t="shared" si="104"/>
        <v>0</v>
      </c>
      <c r="Q105" s="100">
        <v>0</v>
      </c>
      <c r="R105" s="98">
        <v>0</v>
      </c>
      <c r="S105" s="101">
        <f t="shared" si="105"/>
        <v>0</v>
      </c>
      <c r="T105" s="100">
        <v>0</v>
      </c>
      <c r="U105" s="98">
        <v>0</v>
      </c>
      <c r="V105" s="101">
        <f t="shared" si="111"/>
        <v>0</v>
      </c>
      <c r="W105" s="100">
        <v>0</v>
      </c>
      <c r="X105" s="98">
        <v>0</v>
      </c>
      <c r="Y105" s="99">
        <f t="shared" si="106"/>
        <v>0</v>
      </c>
      <c r="Z105" s="101">
        <v>1</v>
      </c>
      <c r="AA105" s="100">
        <v>0</v>
      </c>
      <c r="AB105" s="98">
        <v>0</v>
      </c>
      <c r="AC105" s="99">
        <f t="shared" si="107"/>
        <v>0</v>
      </c>
      <c r="AD105" s="101">
        <v>1</v>
      </c>
      <c r="AE105" s="100">
        <v>0</v>
      </c>
      <c r="AF105" s="98">
        <v>0</v>
      </c>
      <c r="AG105" s="101">
        <f t="shared" si="108"/>
        <v>0</v>
      </c>
      <c r="AH105" s="100">
        <v>0</v>
      </c>
      <c r="AI105" s="98">
        <v>0</v>
      </c>
      <c r="AJ105" s="101">
        <f t="shared" si="109"/>
        <v>0</v>
      </c>
      <c r="AK105" s="100">
        <v>0</v>
      </c>
      <c r="AL105" s="98">
        <v>0</v>
      </c>
      <c r="AM105" s="101">
        <f t="shared" si="110"/>
        <v>0</v>
      </c>
      <c r="AN105" s="106"/>
    </row>
    <row r="106" spans="2:40" s="35" customFormat="1" ht="17.100000000000001" customHeight="1">
      <c r="B106" s="105"/>
      <c r="C106" s="54"/>
      <c r="D106" s="96"/>
      <c r="E106" s="111"/>
      <c r="F106" s="112"/>
      <c r="G106" s="113"/>
      <c r="H106" s="100">
        <v>0</v>
      </c>
      <c r="I106" s="98">
        <v>0</v>
      </c>
      <c r="J106" s="101">
        <f t="shared" si="102"/>
        <v>0</v>
      </c>
      <c r="K106" s="100">
        <v>0</v>
      </c>
      <c r="L106" s="98">
        <v>0</v>
      </c>
      <c r="M106" s="101">
        <f t="shared" si="103"/>
        <v>0</v>
      </c>
      <c r="N106" s="100">
        <v>0</v>
      </c>
      <c r="O106" s="98">
        <v>0</v>
      </c>
      <c r="P106" s="101">
        <f t="shared" si="104"/>
        <v>0</v>
      </c>
      <c r="Q106" s="100">
        <v>0</v>
      </c>
      <c r="R106" s="98">
        <v>0</v>
      </c>
      <c r="S106" s="101">
        <f t="shared" si="105"/>
        <v>0</v>
      </c>
      <c r="T106" s="100">
        <v>0</v>
      </c>
      <c r="U106" s="98">
        <v>0</v>
      </c>
      <c r="V106" s="101">
        <f t="shared" si="111"/>
        <v>0</v>
      </c>
      <c r="W106" s="100">
        <v>0</v>
      </c>
      <c r="X106" s="98">
        <v>0</v>
      </c>
      <c r="Y106" s="99">
        <f t="shared" si="106"/>
        <v>0</v>
      </c>
      <c r="Z106" s="101">
        <v>1</v>
      </c>
      <c r="AA106" s="100">
        <v>0</v>
      </c>
      <c r="AB106" s="98">
        <v>0</v>
      </c>
      <c r="AC106" s="99">
        <f t="shared" si="107"/>
        <v>0</v>
      </c>
      <c r="AD106" s="101">
        <v>1</v>
      </c>
      <c r="AE106" s="100">
        <v>0</v>
      </c>
      <c r="AF106" s="98">
        <v>0</v>
      </c>
      <c r="AG106" s="101">
        <f t="shared" si="108"/>
        <v>0</v>
      </c>
      <c r="AH106" s="100">
        <v>0</v>
      </c>
      <c r="AI106" s="98">
        <v>0</v>
      </c>
      <c r="AJ106" s="101">
        <f t="shared" si="109"/>
        <v>0</v>
      </c>
      <c r="AK106" s="100">
        <v>0</v>
      </c>
      <c r="AL106" s="98">
        <v>0</v>
      </c>
      <c r="AM106" s="101">
        <f t="shared" si="110"/>
        <v>0</v>
      </c>
      <c r="AN106" s="106"/>
    </row>
    <row r="107" spans="2:40" s="35" customFormat="1" ht="17.100000000000001" customHeight="1">
      <c r="B107" s="105"/>
      <c r="C107" s="54"/>
      <c r="D107" s="96"/>
      <c r="E107" s="111"/>
      <c r="F107" s="112"/>
      <c r="G107" s="113"/>
      <c r="H107" s="100">
        <v>0</v>
      </c>
      <c r="I107" s="98">
        <v>0</v>
      </c>
      <c r="J107" s="101">
        <f t="shared" si="102"/>
        <v>0</v>
      </c>
      <c r="K107" s="100">
        <v>0</v>
      </c>
      <c r="L107" s="98">
        <v>0</v>
      </c>
      <c r="M107" s="101">
        <f t="shared" si="103"/>
        <v>0</v>
      </c>
      <c r="N107" s="100">
        <v>0</v>
      </c>
      <c r="O107" s="98">
        <v>0</v>
      </c>
      <c r="P107" s="101">
        <f t="shared" si="104"/>
        <v>0</v>
      </c>
      <c r="Q107" s="100">
        <v>0</v>
      </c>
      <c r="R107" s="98">
        <v>0</v>
      </c>
      <c r="S107" s="101">
        <f t="shared" si="105"/>
        <v>0</v>
      </c>
      <c r="T107" s="100">
        <v>0</v>
      </c>
      <c r="U107" s="98">
        <v>0</v>
      </c>
      <c r="V107" s="101">
        <f t="shared" si="111"/>
        <v>0</v>
      </c>
      <c r="W107" s="100">
        <v>0</v>
      </c>
      <c r="X107" s="98">
        <v>0</v>
      </c>
      <c r="Y107" s="99">
        <f t="shared" si="106"/>
        <v>0</v>
      </c>
      <c r="Z107" s="101">
        <v>1</v>
      </c>
      <c r="AA107" s="100">
        <v>0</v>
      </c>
      <c r="AB107" s="98">
        <v>0</v>
      </c>
      <c r="AC107" s="99">
        <f t="shared" si="107"/>
        <v>0</v>
      </c>
      <c r="AD107" s="101">
        <v>1</v>
      </c>
      <c r="AE107" s="100">
        <v>0</v>
      </c>
      <c r="AF107" s="98">
        <v>0</v>
      </c>
      <c r="AG107" s="101">
        <f t="shared" si="108"/>
        <v>0</v>
      </c>
      <c r="AH107" s="100">
        <v>0</v>
      </c>
      <c r="AI107" s="98">
        <v>0</v>
      </c>
      <c r="AJ107" s="101">
        <f t="shared" si="109"/>
        <v>0</v>
      </c>
      <c r="AK107" s="100">
        <v>0</v>
      </c>
      <c r="AL107" s="98">
        <v>0</v>
      </c>
      <c r="AM107" s="101">
        <f t="shared" si="110"/>
        <v>0</v>
      </c>
      <c r="AN107" s="106"/>
    </row>
    <row r="108" spans="2:40" s="126" customFormat="1" ht="17.100000000000001" customHeight="1">
      <c r="B108" s="118"/>
      <c r="C108" s="119"/>
      <c r="D108" s="120"/>
      <c r="E108" s="121"/>
      <c r="F108" s="122"/>
      <c r="G108" s="123"/>
      <c r="H108" s="341" t="s">
        <v>201</v>
      </c>
      <c r="I108" s="342"/>
      <c r="J108" s="124">
        <f>SUM(J101:J107)</f>
        <v>0</v>
      </c>
      <c r="K108" s="341" t="s">
        <v>201</v>
      </c>
      <c r="L108" s="342"/>
      <c r="M108" s="124">
        <f>SUM(M101:M107)</f>
        <v>350</v>
      </c>
      <c r="N108" s="341" t="s">
        <v>201</v>
      </c>
      <c r="O108" s="342"/>
      <c r="P108" s="124">
        <f>SUM(P101:P107)</f>
        <v>0</v>
      </c>
      <c r="Q108" s="341" t="s">
        <v>201</v>
      </c>
      <c r="R108" s="342"/>
      <c r="S108" s="124">
        <f>SUM(S101:S107)</f>
        <v>0</v>
      </c>
      <c r="T108" s="341" t="s">
        <v>201</v>
      </c>
      <c r="U108" s="342"/>
      <c r="V108" s="124">
        <f>SUM(V101:V107)</f>
        <v>0</v>
      </c>
      <c r="W108" s="341" t="s">
        <v>201</v>
      </c>
      <c r="X108" s="342"/>
      <c r="Y108" s="127">
        <f>SUM(Y101:Y107)</f>
        <v>0</v>
      </c>
      <c r="Z108" s="101">
        <v>2</v>
      </c>
      <c r="AA108" s="341" t="s">
        <v>201</v>
      </c>
      <c r="AB108" s="342"/>
      <c r="AC108" s="127">
        <f>SUM(AC101:AC107)</f>
        <v>0</v>
      </c>
      <c r="AD108" s="101">
        <v>2</v>
      </c>
      <c r="AE108" s="341" t="s">
        <v>201</v>
      </c>
      <c r="AF108" s="342"/>
      <c r="AG108" s="124">
        <f>SUM(AG101:AG107)</f>
        <v>0</v>
      </c>
      <c r="AH108" s="341" t="s">
        <v>201</v>
      </c>
      <c r="AI108" s="342"/>
      <c r="AJ108" s="124">
        <f>SUM(AJ101:AJ107)</f>
        <v>0</v>
      </c>
      <c r="AK108" s="341" t="s">
        <v>201</v>
      </c>
      <c r="AL108" s="342"/>
      <c r="AM108" s="124">
        <f>SUM(AM101:AM107)</f>
        <v>0</v>
      </c>
      <c r="AN108" s="125"/>
    </row>
    <row r="109" spans="2:40" s="35" customFormat="1" ht="17.100000000000001" customHeight="1">
      <c r="B109" s="105"/>
      <c r="C109" s="54">
        <f>'1. Rekap Back Up Aspal'!C32</f>
        <v>24300</v>
      </c>
      <c r="D109" s="96">
        <f>'1. Rekap Back Up Aspal'!D32</f>
        <v>24400</v>
      </c>
      <c r="E109" s="111">
        <f>'1. Rekap Back Up Aspal'!E32</f>
        <v>4.5</v>
      </c>
      <c r="F109" s="112">
        <f>(100/((D109-C109)*E109))*((J116*0.5)+(M116*0.5)+(P116*4)+(S116*4)+(V116*1)+(Y116*2)+(AC116*1.5)+(AG116*1)+(AJ116*1)+(AM116*1))</f>
        <v>33.333333333333329</v>
      </c>
      <c r="G109" s="113" t="str">
        <f>IF(F109&lt;=25,"B",IF(F109&lt;=75,"S",IF(F109&lt;=100,"RR","RB")))</f>
        <v>S</v>
      </c>
      <c r="H109" s="100">
        <v>0</v>
      </c>
      <c r="I109" s="98">
        <v>0</v>
      </c>
      <c r="J109" s="101">
        <f t="shared" ref="J109:J115" si="112">H109*I109</f>
        <v>0</v>
      </c>
      <c r="K109" s="100">
        <v>60</v>
      </c>
      <c r="L109" s="98">
        <v>5</v>
      </c>
      <c r="M109" s="101">
        <f t="shared" ref="M109:M115" si="113">K109*L109</f>
        <v>300</v>
      </c>
      <c r="N109" s="100">
        <v>0</v>
      </c>
      <c r="O109" s="98">
        <v>4</v>
      </c>
      <c r="P109" s="101">
        <f t="shared" ref="P109:P115" si="114">N109*O109</f>
        <v>0</v>
      </c>
      <c r="Q109" s="100">
        <v>0</v>
      </c>
      <c r="R109" s="98">
        <v>0</v>
      </c>
      <c r="S109" s="101">
        <f t="shared" ref="S109:S115" si="115">Q109*R109</f>
        <v>0</v>
      </c>
      <c r="T109" s="100">
        <v>0</v>
      </c>
      <c r="U109" s="98">
        <v>0</v>
      </c>
      <c r="V109" s="101">
        <f>T109*U109</f>
        <v>0</v>
      </c>
      <c r="W109" s="100">
        <v>0</v>
      </c>
      <c r="X109" s="98">
        <v>0</v>
      </c>
      <c r="Y109" s="99">
        <f t="shared" ref="Y109:Y115" si="116">W109*X109</f>
        <v>0</v>
      </c>
      <c r="Z109" s="101">
        <v>2</v>
      </c>
      <c r="AA109" s="100">
        <v>0</v>
      </c>
      <c r="AB109" s="98">
        <v>0</v>
      </c>
      <c r="AC109" s="99">
        <f t="shared" ref="AC109:AC115" si="117">AA109*AB109</f>
        <v>0</v>
      </c>
      <c r="AD109" s="101">
        <v>1</v>
      </c>
      <c r="AE109" s="100">
        <v>0</v>
      </c>
      <c r="AF109" s="98">
        <v>0</v>
      </c>
      <c r="AG109" s="101">
        <f t="shared" ref="AG109:AG115" si="118">AE109*AF109</f>
        <v>0</v>
      </c>
      <c r="AH109" s="100">
        <v>0</v>
      </c>
      <c r="AI109" s="98">
        <v>0</v>
      </c>
      <c r="AJ109" s="101">
        <f t="shared" ref="AJ109:AJ115" si="119">AH109*AI109</f>
        <v>0</v>
      </c>
      <c r="AK109" s="100">
        <v>0</v>
      </c>
      <c r="AL109" s="98">
        <v>0</v>
      </c>
      <c r="AM109" s="101">
        <f t="shared" ref="AM109:AM115" si="120">AK109*AL109</f>
        <v>0</v>
      </c>
      <c r="AN109" s="106"/>
    </row>
    <row r="110" spans="2:40" s="35" customFormat="1" ht="17.100000000000001" customHeight="1">
      <c r="B110" s="105"/>
      <c r="C110" s="54"/>
      <c r="D110" s="96"/>
      <c r="E110" s="111"/>
      <c r="F110" s="112"/>
      <c r="G110" s="113"/>
      <c r="H110" s="100">
        <v>0</v>
      </c>
      <c r="I110" s="98">
        <v>0</v>
      </c>
      <c r="J110" s="101">
        <f t="shared" si="112"/>
        <v>0</v>
      </c>
      <c r="K110" s="100">
        <v>0</v>
      </c>
      <c r="L110" s="98">
        <v>0</v>
      </c>
      <c r="M110" s="101">
        <f t="shared" si="113"/>
        <v>0</v>
      </c>
      <c r="N110" s="100">
        <v>0</v>
      </c>
      <c r="O110" s="98">
        <v>0</v>
      </c>
      <c r="P110" s="101">
        <f t="shared" si="114"/>
        <v>0</v>
      </c>
      <c r="Q110" s="100">
        <v>0</v>
      </c>
      <c r="R110" s="98">
        <v>0</v>
      </c>
      <c r="S110" s="101">
        <f t="shared" si="115"/>
        <v>0</v>
      </c>
      <c r="T110" s="100">
        <v>0</v>
      </c>
      <c r="U110" s="98">
        <v>0</v>
      </c>
      <c r="V110" s="101">
        <f t="shared" ref="V110:V115" si="121">T110*U110</f>
        <v>0</v>
      </c>
      <c r="W110" s="100">
        <v>0</v>
      </c>
      <c r="X110" s="98">
        <v>0</v>
      </c>
      <c r="Y110" s="99">
        <f t="shared" si="116"/>
        <v>0</v>
      </c>
      <c r="Z110" s="101">
        <v>3</v>
      </c>
      <c r="AA110" s="100">
        <v>0</v>
      </c>
      <c r="AB110" s="98">
        <v>0</v>
      </c>
      <c r="AC110" s="99">
        <f t="shared" si="117"/>
        <v>0</v>
      </c>
      <c r="AD110" s="101">
        <v>1</v>
      </c>
      <c r="AE110" s="100">
        <v>0</v>
      </c>
      <c r="AF110" s="98">
        <v>0</v>
      </c>
      <c r="AG110" s="101">
        <f t="shared" si="118"/>
        <v>0</v>
      </c>
      <c r="AH110" s="100">
        <v>0</v>
      </c>
      <c r="AI110" s="98">
        <v>0</v>
      </c>
      <c r="AJ110" s="101">
        <f t="shared" si="119"/>
        <v>0</v>
      </c>
      <c r="AK110" s="100">
        <v>0</v>
      </c>
      <c r="AL110" s="98">
        <v>0</v>
      </c>
      <c r="AM110" s="101">
        <f t="shared" si="120"/>
        <v>0</v>
      </c>
      <c r="AN110" s="106"/>
    </row>
    <row r="111" spans="2:40" s="35" customFormat="1" ht="17.100000000000001" customHeight="1">
      <c r="B111" s="105"/>
      <c r="C111" s="54"/>
      <c r="D111" s="96"/>
      <c r="E111" s="111"/>
      <c r="F111" s="112"/>
      <c r="G111" s="113"/>
      <c r="H111" s="100">
        <v>0</v>
      </c>
      <c r="I111" s="98">
        <v>0</v>
      </c>
      <c r="J111" s="101">
        <f t="shared" si="112"/>
        <v>0</v>
      </c>
      <c r="K111" s="100">
        <v>0</v>
      </c>
      <c r="L111" s="98">
        <v>0</v>
      </c>
      <c r="M111" s="101">
        <f t="shared" si="113"/>
        <v>0</v>
      </c>
      <c r="N111" s="100">
        <v>0</v>
      </c>
      <c r="O111" s="98">
        <v>0</v>
      </c>
      <c r="P111" s="101">
        <f t="shared" si="114"/>
        <v>0</v>
      </c>
      <c r="Q111" s="100">
        <v>0</v>
      </c>
      <c r="R111" s="98">
        <v>0</v>
      </c>
      <c r="S111" s="101">
        <f t="shared" si="115"/>
        <v>0</v>
      </c>
      <c r="T111" s="100">
        <v>0</v>
      </c>
      <c r="U111" s="98">
        <v>0</v>
      </c>
      <c r="V111" s="101">
        <f t="shared" si="121"/>
        <v>0</v>
      </c>
      <c r="W111" s="100">
        <v>0</v>
      </c>
      <c r="X111" s="98">
        <v>0</v>
      </c>
      <c r="Y111" s="99">
        <f t="shared" si="116"/>
        <v>0</v>
      </c>
      <c r="Z111" s="101">
        <v>1</v>
      </c>
      <c r="AA111" s="100">
        <v>0</v>
      </c>
      <c r="AB111" s="98">
        <v>0</v>
      </c>
      <c r="AC111" s="99">
        <f t="shared" si="117"/>
        <v>0</v>
      </c>
      <c r="AD111" s="101">
        <v>1</v>
      </c>
      <c r="AE111" s="100">
        <v>0</v>
      </c>
      <c r="AF111" s="98">
        <v>0</v>
      </c>
      <c r="AG111" s="101">
        <f t="shared" si="118"/>
        <v>0</v>
      </c>
      <c r="AH111" s="100">
        <v>0</v>
      </c>
      <c r="AI111" s="98">
        <v>0</v>
      </c>
      <c r="AJ111" s="101">
        <f t="shared" si="119"/>
        <v>0</v>
      </c>
      <c r="AK111" s="100">
        <v>0</v>
      </c>
      <c r="AL111" s="98">
        <v>0</v>
      </c>
      <c r="AM111" s="101">
        <f t="shared" si="120"/>
        <v>0</v>
      </c>
      <c r="AN111" s="106"/>
    </row>
    <row r="112" spans="2:40" s="35" customFormat="1" ht="17.100000000000001" customHeight="1">
      <c r="B112" s="105"/>
      <c r="C112" s="54"/>
      <c r="D112" s="96"/>
      <c r="E112" s="111"/>
      <c r="F112" s="112"/>
      <c r="G112" s="113"/>
      <c r="H112" s="100">
        <v>0</v>
      </c>
      <c r="I112" s="98">
        <v>0</v>
      </c>
      <c r="J112" s="101">
        <f t="shared" si="112"/>
        <v>0</v>
      </c>
      <c r="K112" s="100">
        <v>0</v>
      </c>
      <c r="L112" s="98">
        <v>0</v>
      </c>
      <c r="M112" s="101">
        <f t="shared" si="113"/>
        <v>0</v>
      </c>
      <c r="N112" s="100">
        <v>0</v>
      </c>
      <c r="O112" s="98">
        <v>0</v>
      </c>
      <c r="P112" s="101">
        <f t="shared" si="114"/>
        <v>0</v>
      </c>
      <c r="Q112" s="100">
        <v>0</v>
      </c>
      <c r="R112" s="98">
        <v>0</v>
      </c>
      <c r="S112" s="101">
        <f t="shared" si="115"/>
        <v>0</v>
      </c>
      <c r="T112" s="100">
        <v>0</v>
      </c>
      <c r="U112" s="98">
        <v>0</v>
      </c>
      <c r="V112" s="101">
        <f t="shared" si="121"/>
        <v>0</v>
      </c>
      <c r="W112" s="100">
        <v>0</v>
      </c>
      <c r="X112" s="98">
        <v>0</v>
      </c>
      <c r="Y112" s="99">
        <f t="shared" si="116"/>
        <v>0</v>
      </c>
      <c r="Z112" s="101">
        <v>1</v>
      </c>
      <c r="AA112" s="100">
        <v>0</v>
      </c>
      <c r="AB112" s="98">
        <v>0</v>
      </c>
      <c r="AC112" s="99">
        <f t="shared" si="117"/>
        <v>0</v>
      </c>
      <c r="AD112" s="101">
        <v>1</v>
      </c>
      <c r="AE112" s="100">
        <v>0</v>
      </c>
      <c r="AF112" s="98">
        <v>0</v>
      </c>
      <c r="AG112" s="101">
        <f t="shared" si="118"/>
        <v>0</v>
      </c>
      <c r="AH112" s="100">
        <v>0</v>
      </c>
      <c r="AI112" s="98">
        <v>0</v>
      </c>
      <c r="AJ112" s="101">
        <f t="shared" si="119"/>
        <v>0</v>
      </c>
      <c r="AK112" s="100">
        <v>0</v>
      </c>
      <c r="AL112" s="98">
        <v>0</v>
      </c>
      <c r="AM112" s="101">
        <f t="shared" si="120"/>
        <v>0</v>
      </c>
      <c r="AN112" s="106"/>
    </row>
    <row r="113" spans="2:40" s="35" customFormat="1" ht="17.100000000000001" customHeight="1">
      <c r="B113" s="105"/>
      <c r="C113" s="54"/>
      <c r="D113" s="96"/>
      <c r="E113" s="111"/>
      <c r="F113" s="112"/>
      <c r="G113" s="113"/>
      <c r="H113" s="100">
        <v>0</v>
      </c>
      <c r="I113" s="98">
        <v>0</v>
      </c>
      <c r="J113" s="101">
        <f t="shared" si="112"/>
        <v>0</v>
      </c>
      <c r="K113" s="100">
        <v>0</v>
      </c>
      <c r="L113" s="98">
        <v>0</v>
      </c>
      <c r="M113" s="101">
        <f t="shared" si="113"/>
        <v>0</v>
      </c>
      <c r="N113" s="100">
        <v>0</v>
      </c>
      <c r="O113" s="98">
        <v>0</v>
      </c>
      <c r="P113" s="101">
        <f t="shared" si="114"/>
        <v>0</v>
      </c>
      <c r="Q113" s="100">
        <v>0</v>
      </c>
      <c r="R113" s="98">
        <v>0</v>
      </c>
      <c r="S113" s="101">
        <f t="shared" si="115"/>
        <v>0</v>
      </c>
      <c r="T113" s="100">
        <v>0</v>
      </c>
      <c r="U113" s="98">
        <v>0</v>
      </c>
      <c r="V113" s="101">
        <f t="shared" si="121"/>
        <v>0</v>
      </c>
      <c r="W113" s="100">
        <v>0</v>
      </c>
      <c r="X113" s="98">
        <v>0</v>
      </c>
      <c r="Y113" s="99">
        <f t="shared" si="116"/>
        <v>0</v>
      </c>
      <c r="Z113" s="101">
        <v>1</v>
      </c>
      <c r="AA113" s="100">
        <v>0</v>
      </c>
      <c r="AB113" s="98">
        <v>0</v>
      </c>
      <c r="AC113" s="99">
        <f t="shared" si="117"/>
        <v>0</v>
      </c>
      <c r="AD113" s="101">
        <v>1</v>
      </c>
      <c r="AE113" s="100">
        <v>0</v>
      </c>
      <c r="AF113" s="98">
        <v>0</v>
      </c>
      <c r="AG113" s="101">
        <f t="shared" si="118"/>
        <v>0</v>
      </c>
      <c r="AH113" s="100">
        <v>0</v>
      </c>
      <c r="AI113" s="98">
        <v>0</v>
      </c>
      <c r="AJ113" s="101">
        <f t="shared" si="119"/>
        <v>0</v>
      </c>
      <c r="AK113" s="100">
        <v>0</v>
      </c>
      <c r="AL113" s="98">
        <v>0</v>
      </c>
      <c r="AM113" s="101">
        <f t="shared" si="120"/>
        <v>0</v>
      </c>
      <c r="AN113" s="106"/>
    </row>
    <row r="114" spans="2:40" s="35" customFormat="1" ht="17.100000000000001" customHeight="1">
      <c r="B114" s="105"/>
      <c r="C114" s="54"/>
      <c r="D114" s="96"/>
      <c r="E114" s="111"/>
      <c r="F114" s="112"/>
      <c r="G114" s="113"/>
      <c r="H114" s="100">
        <v>0</v>
      </c>
      <c r="I114" s="98">
        <v>0</v>
      </c>
      <c r="J114" s="101">
        <f t="shared" si="112"/>
        <v>0</v>
      </c>
      <c r="K114" s="100">
        <v>0</v>
      </c>
      <c r="L114" s="98">
        <v>0</v>
      </c>
      <c r="M114" s="101">
        <f t="shared" si="113"/>
        <v>0</v>
      </c>
      <c r="N114" s="100">
        <v>0</v>
      </c>
      <c r="O114" s="98">
        <v>0</v>
      </c>
      <c r="P114" s="101">
        <f t="shared" si="114"/>
        <v>0</v>
      </c>
      <c r="Q114" s="100">
        <v>0</v>
      </c>
      <c r="R114" s="98">
        <v>0</v>
      </c>
      <c r="S114" s="101">
        <f t="shared" si="115"/>
        <v>0</v>
      </c>
      <c r="T114" s="100">
        <v>0</v>
      </c>
      <c r="U114" s="98">
        <v>0</v>
      </c>
      <c r="V114" s="101">
        <f t="shared" si="121"/>
        <v>0</v>
      </c>
      <c r="W114" s="100">
        <v>0</v>
      </c>
      <c r="X114" s="98">
        <v>0</v>
      </c>
      <c r="Y114" s="99">
        <f t="shared" si="116"/>
        <v>0</v>
      </c>
      <c r="Z114" s="101">
        <v>1</v>
      </c>
      <c r="AA114" s="100">
        <v>0</v>
      </c>
      <c r="AB114" s="98">
        <v>0</v>
      </c>
      <c r="AC114" s="99">
        <f t="shared" si="117"/>
        <v>0</v>
      </c>
      <c r="AD114" s="101">
        <v>1</v>
      </c>
      <c r="AE114" s="100">
        <v>0</v>
      </c>
      <c r="AF114" s="98">
        <v>0</v>
      </c>
      <c r="AG114" s="101">
        <f t="shared" si="118"/>
        <v>0</v>
      </c>
      <c r="AH114" s="100">
        <v>0</v>
      </c>
      <c r="AI114" s="98">
        <v>0</v>
      </c>
      <c r="AJ114" s="101">
        <f t="shared" si="119"/>
        <v>0</v>
      </c>
      <c r="AK114" s="100">
        <v>0</v>
      </c>
      <c r="AL114" s="98">
        <v>0</v>
      </c>
      <c r="AM114" s="101">
        <f t="shared" si="120"/>
        <v>0</v>
      </c>
      <c r="AN114" s="106"/>
    </row>
    <row r="115" spans="2:40" s="35" customFormat="1" ht="17.100000000000001" customHeight="1">
      <c r="B115" s="105"/>
      <c r="C115" s="54"/>
      <c r="D115" s="96"/>
      <c r="E115" s="111"/>
      <c r="F115" s="112"/>
      <c r="G115" s="113"/>
      <c r="H115" s="100">
        <v>0</v>
      </c>
      <c r="I115" s="98">
        <v>0</v>
      </c>
      <c r="J115" s="101">
        <f t="shared" si="112"/>
        <v>0</v>
      </c>
      <c r="K115" s="100">
        <v>0</v>
      </c>
      <c r="L115" s="98">
        <v>0</v>
      </c>
      <c r="M115" s="101">
        <f t="shared" si="113"/>
        <v>0</v>
      </c>
      <c r="N115" s="100">
        <v>0</v>
      </c>
      <c r="O115" s="98">
        <v>0</v>
      </c>
      <c r="P115" s="101">
        <f t="shared" si="114"/>
        <v>0</v>
      </c>
      <c r="Q115" s="100">
        <v>0</v>
      </c>
      <c r="R115" s="98">
        <v>0</v>
      </c>
      <c r="S115" s="101">
        <f t="shared" si="115"/>
        <v>0</v>
      </c>
      <c r="T115" s="100">
        <v>0</v>
      </c>
      <c r="U115" s="98">
        <v>0</v>
      </c>
      <c r="V115" s="101">
        <f t="shared" si="121"/>
        <v>0</v>
      </c>
      <c r="W115" s="100">
        <v>0</v>
      </c>
      <c r="X115" s="98">
        <v>0</v>
      </c>
      <c r="Y115" s="99">
        <f t="shared" si="116"/>
        <v>0</v>
      </c>
      <c r="Z115" s="101">
        <v>1</v>
      </c>
      <c r="AA115" s="100">
        <v>0</v>
      </c>
      <c r="AB115" s="98">
        <v>0</v>
      </c>
      <c r="AC115" s="99">
        <f t="shared" si="117"/>
        <v>0</v>
      </c>
      <c r="AD115" s="101">
        <v>1</v>
      </c>
      <c r="AE115" s="100">
        <v>0</v>
      </c>
      <c r="AF115" s="98">
        <v>0</v>
      </c>
      <c r="AG115" s="101">
        <f t="shared" si="118"/>
        <v>0</v>
      </c>
      <c r="AH115" s="100">
        <v>0</v>
      </c>
      <c r="AI115" s="98">
        <v>0</v>
      </c>
      <c r="AJ115" s="101">
        <f t="shared" si="119"/>
        <v>0</v>
      </c>
      <c r="AK115" s="100">
        <v>0</v>
      </c>
      <c r="AL115" s="98">
        <v>0</v>
      </c>
      <c r="AM115" s="101">
        <f t="shared" si="120"/>
        <v>0</v>
      </c>
      <c r="AN115" s="106"/>
    </row>
    <row r="116" spans="2:40" s="126" customFormat="1" ht="17.100000000000001" customHeight="1">
      <c r="B116" s="118"/>
      <c r="C116" s="119"/>
      <c r="D116" s="120"/>
      <c r="E116" s="121"/>
      <c r="F116" s="122"/>
      <c r="G116" s="123"/>
      <c r="H116" s="341" t="s">
        <v>201</v>
      </c>
      <c r="I116" s="342"/>
      <c r="J116" s="124">
        <f>SUM(J109:J115)</f>
        <v>0</v>
      </c>
      <c r="K116" s="341" t="s">
        <v>201</v>
      </c>
      <c r="L116" s="342"/>
      <c r="M116" s="124">
        <f>SUM(M109:M115)</f>
        <v>300</v>
      </c>
      <c r="N116" s="341" t="s">
        <v>201</v>
      </c>
      <c r="O116" s="342"/>
      <c r="P116" s="124">
        <f>SUM(P109:P115)</f>
        <v>0</v>
      </c>
      <c r="Q116" s="341" t="s">
        <v>201</v>
      </c>
      <c r="R116" s="342"/>
      <c r="S116" s="124">
        <f>SUM(S109:S115)</f>
        <v>0</v>
      </c>
      <c r="T116" s="341" t="s">
        <v>201</v>
      </c>
      <c r="U116" s="342"/>
      <c r="V116" s="124">
        <f>SUM(V109:V115)</f>
        <v>0</v>
      </c>
      <c r="W116" s="341" t="s">
        <v>201</v>
      </c>
      <c r="X116" s="342"/>
      <c r="Y116" s="127">
        <f>SUM(Y109:Y115)</f>
        <v>0</v>
      </c>
      <c r="Z116" s="101">
        <v>2</v>
      </c>
      <c r="AA116" s="341" t="s">
        <v>201</v>
      </c>
      <c r="AB116" s="342"/>
      <c r="AC116" s="127">
        <f>SUM(AC109:AC115)</f>
        <v>0</v>
      </c>
      <c r="AD116" s="101">
        <v>2</v>
      </c>
      <c r="AE116" s="341" t="s">
        <v>201</v>
      </c>
      <c r="AF116" s="342"/>
      <c r="AG116" s="124">
        <f>SUM(AG109:AG115)</f>
        <v>0</v>
      </c>
      <c r="AH116" s="341" t="s">
        <v>201</v>
      </c>
      <c r="AI116" s="342"/>
      <c r="AJ116" s="124">
        <f>SUM(AJ109:AJ115)</f>
        <v>0</v>
      </c>
      <c r="AK116" s="341" t="s">
        <v>201</v>
      </c>
      <c r="AL116" s="342"/>
      <c r="AM116" s="124">
        <f>SUM(AM109:AM115)</f>
        <v>0</v>
      </c>
      <c r="AN116" s="125"/>
    </row>
    <row r="117" spans="2:40" s="35" customFormat="1" ht="17.100000000000001" customHeight="1">
      <c r="B117" s="105"/>
      <c r="C117" s="54">
        <f>'1. Rekap Back Up Aspal'!C33</f>
        <v>24400</v>
      </c>
      <c r="D117" s="96">
        <f>'1. Rekap Back Up Aspal'!D33</f>
        <v>24500</v>
      </c>
      <c r="E117" s="111">
        <f>'1. Rekap Back Up Aspal'!E33</f>
        <v>4.5</v>
      </c>
      <c r="F117" s="112">
        <f>(100/((D117-C117)*E117))*((J124*0.5)+(M124*0.5)+(P124*4)+(S124*4)+(V124*1)+(Y124*2)+(AC124*1.5)+(AG124*1)+(AJ124*1)+(AM124*1))</f>
        <v>50</v>
      </c>
      <c r="G117" s="113" t="str">
        <f>IF(F117&lt;=25,"B",IF(F117&lt;=75,"S",IF(F117&lt;=100,"RR","RB")))</f>
        <v>S</v>
      </c>
      <c r="H117" s="100">
        <v>0</v>
      </c>
      <c r="I117" s="98">
        <v>0</v>
      </c>
      <c r="J117" s="101">
        <f t="shared" ref="J117:J123" si="122">H117*I117</f>
        <v>0</v>
      </c>
      <c r="K117" s="100">
        <v>40</v>
      </c>
      <c r="L117" s="98">
        <v>5</v>
      </c>
      <c r="M117" s="101">
        <f t="shared" ref="M117:M123" si="123">K117*L117</f>
        <v>200</v>
      </c>
      <c r="N117" s="100">
        <v>0</v>
      </c>
      <c r="O117" s="98">
        <v>4</v>
      </c>
      <c r="P117" s="101">
        <f t="shared" ref="P117:P123" si="124">N117*O117</f>
        <v>0</v>
      </c>
      <c r="Q117" s="100">
        <v>0</v>
      </c>
      <c r="R117" s="98">
        <v>0</v>
      </c>
      <c r="S117" s="101">
        <f t="shared" ref="S117:S123" si="125">Q117*R117</f>
        <v>0</v>
      </c>
      <c r="T117" s="100">
        <v>0</v>
      </c>
      <c r="U117" s="98">
        <v>0</v>
      </c>
      <c r="V117" s="101">
        <f>T117*U117</f>
        <v>0</v>
      </c>
      <c r="W117" s="100">
        <v>0</v>
      </c>
      <c r="X117" s="98">
        <v>0</v>
      </c>
      <c r="Y117" s="99">
        <f t="shared" ref="Y117:Y123" si="126">W117*X117</f>
        <v>0</v>
      </c>
      <c r="Z117" s="101">
        <v>2</v>
      </c>
      <c r="AA117" s="100">
        <v>0</v>
      </c>
      <c r="AB117" s="98">
        <v>0</v>
      </c>
      <c r="AC117" s="99">
        <f t="shared" ref="AC117:AC123" si="127">AA117*AB117</f>
        <v>0</v>
      </c>
      <c r="AD117" s="101">
        <v>1</v>
      </c>
      <c r="AE117" s="100">
        <v>0</v>
      </c>
      <c r="AF117" s="98">
        <v>0</v>
      </c>
      <c r="AG117" s="101">
        <f t="shared" ref="AG117:AG123" si="128">AE117*AF117</f>
        <v>0</v>
      </c>
      <c r="AH117" s="100">
        <v>0</v>
      </c>
      <c r="AI117" s="98">
        <v>0</v>
      </c>
      <c r="AJ117" s="101">
        <f t="shared" ref="AJ117:AJ123" si="129">AH117*AI117</f>
        <v>0</v>
      </c>
      <c r="AK117" s="100">
        <v>0</v>
      </c>
      <c r="AL117" s="98">
        <v>0</v>
      </c>
      <c r="AM117" s="101">
        <f t="shared" ref="AM117:AM123" si="130">AK117*AL117</f>
        <v>0</v>
      </c>
      <c r="AN117" s="106"/>
    </row>
    <row r="118" spans="2:40" s="35" customFormat="1" ht="17.100000000000001" customHeight="1">
      <c r="B118" s="105"/>
      <c r="C118" s="54"/>
      <c r="D118" s="96"/>
      <c r="E118" s="111"/>
      <c r="F118" s="112"/>
      <c r="G118" s="113"/>
      <c r="H118" s="100">
        <v>0</v>
      </c>
      <c r="I118" s="98">
        <v>0</v>
      </c>
      <c r="J118" s="101">
        <f t="shared" si="122"/>
        <v>0</v>
      </c>
      <c r="K118" s="100">
        <v>50</v>
      </c>
      <c r="L118" s="98">
        <v>5</v>
      </c>
      <c r="M118" s="101">
        <f t="shared" si="123"/>
        <v>250</v>
      </c>
      <c r="N118" s="100">
        <v>0</v>
      </c>
      <c r="O118" s="98">
        <v>0</v>
      </c>
      <c r="P118" s="101">
        <f t="shared" si="124"/>
        <v>0</v>
      </c>
      <c r="Q118" s="100">
        <v>0</v>
      </c>
      <c r="R118" s="98">
        <v>0</v>
      </c>
      <c r="S118" s="101">
        <f t="shared" si="125"/>
        <v>0</v>
      </c>
      <c r="T118" s="100">
        <v>0</v>
      </c>
      <c r="U118" s="98">
        <v>0</v>
      </c>
      <c r="V118" s="101">
        <f t="shared" ref="V118:V123" si="131">T118*U118</f>
        <v>0</v>
      </c>
      <c r="W118" s="100">
        <v>0</v>
      </c>
      <c r="X118" s="98">
        <v>0</v>
      </c>
      <c r="Y118" s="99">
        <f t="shared" si="126"/>
        <v>0</v>
      </c>
      <c r="Z118" s="101">
        <v>3</v>
      </c>
      <c r="AA118" s="100">
        <v>0</v>
      </c>
      <c r="AB118" s="98">
        <v>0</v>
      </c>
      <c r="AC118" s="99">
        <f t="shared" si="127"/>
        <v>0</v>
      </c>
      <c r="AD118" s="101">
        <v>1</v>
      </c>
      <c r="AE118" s="100">
        <v>0</v>
      </c>
      <c r="AF118" s="98">
        <v>0</v>
      </c>
      <c r="AG118" s="101">
        <f t="shared" si="128"/>
        <v>0</v>
      </c>
      <c r="AH118" s="100">
        <v>0</v>
      </c>
      <c r="AI118" s="98">
        <v>0</v>
      </c>
      <c r="AJ118" s="101">
        <f t="shared" si="129"/>
        <v>0</v>
      </c>
      <c r="AK118" s="100">
        <v>0</v>
      </c>
      <c r="AL118" s="98">
        <v>0</v>
      </c>
      <c r="AM118" s="101">
        <f t="shared" si="130"/>
        <v>0</v>
      </c>
      <c r="AN118" s="106"/>
    </row>
    <row r="119" spans="2:40" s="35" customFormat="1" ht="17.100000000000001" customHeight="1">
      <c r="B119" s="105"/>
      <c r="C119" s="54"/>
      <c r="D119" s="96"/>
      <c r="E119" s="111"/>
      <c r="F119" s="112"/>
      <c r="G119" s="113"/>
      <c r="H119" s="100">
        <v>0</v>
      </c>
      <c r="I119" s="98">
        <v>0</v>
      </c>
      <c r="J119" s="101">
        <f t="shared" si="122"/>
        <v>0</v>
      </c>
      <c r="K119" s="100">
        <v>0</v>
      </c>
      <c r="L119" s="98">
        <v>0</v>
      </c>
      <c r="M119" s="101">
        <f t="shared" si="123"/>
        <v>0</v>
      </c>
      <c r="N119" s="100">
        <v>0</v>
      </c>
      <c r="O119" s="98">
        <v>0</v>
      </c>
      <c r="P119" s="101">
        <f t="shared" si="124"/>
        <v>0</v>
      </c>
      <c r="Q119" s="100">
        <v>0</v>
      </c>
      <c r="R119" s="98">
        <v>0</v>
      </c>
      <c r="S119" s="101">
        <f t="shared" si="125"/>
        <v>0</v>
      </c>
      <c r="T119" s="100">
        <v>0</v>
      </c>
      <c r="U119" s="98">
        <v>0</v>
      </c>
      <c r="V119" s="101">
        <f t="shared" si="131"/>
        <v>0</v>
      </c>
      <c r="W119" s="100">
        <v>0</v>
      </c>
      <c r="X119" s="98">
        <v>0</v>
      </c>
      <c r="Y119" s="99">
        <f t="shared" si="126"/>
        <v>0</v>
      </c>
      <c r="Z119" s="101">
        <v>1</v>
      </c>
      <c r="AA119" s="100">
        <v>0</v>
      </c>
      <c r="AB119" s="98">
        <v>0</v>
      </c>
      <c r="AC119" s="99">
        <f t="shared" si="127"/>
        <v>0</v>
      </c>
      <c r="AD119" s="101">
        <v>1</v>
      </c>
      <c r="AE119" s="100">
        <v>0</v>
      </c>
      <c r="AF119" s="98">
        <v>0</v>
      </c>
      <c r="AG119" s="101">
        <f t="shared" si="128"/>
        <v>0</v>
      </c>
      <c r="AH119" s="100">
        <v>0</v>
      </c>
      <c r="AI119" s="98">
        <v>0</v>
      </c>
      <c r="AJ119" s="101">
        <f t="shared" si="129"/>
        <v>0</v>
      </c>
      <c r="AK119" s="100">
        <v>0</v>
      </c>
      <c r="AL119" s="98">
        <v>0</v>
      </c>
      <c r="AM119" s="101">
        <f t="shared" si="130"/>
        <v>0</v>
      </c>
      <c r="AN119" s="106"/>
    </row>
    <row r="120" spans="2:40" s="35" customFormat="1" ht="17.100000000000001" customHeight="1">
      <c r="B120" s="105"/>
      <c r="C120" s="54"/>
      <c r="D120" s="96"/>
      <c r="E120" s="111"/>
      <c r="F120" s="112"/>
      <c r="G120" s="113"/>
      <c r="H120" s="100">
        <v>0</v>
      </c>
      <c r="I120" s="98">
        <v>0</v>
      </c>
      <c r="J120" s="101">
        <f t="shared" si="122"/>
        <v>0</v>
      </c>
      <c r="K120" s="100">
        <v>0</v>
      </c>
      <c r="L120" s="98">
        <v>0</v>
      </c>
      <c r="M120" s="101">
        <f t="shared" si="123"/>
        <v>0</v>
      </c>
      <c r="N120" s="100">
        <v>0</v>
      </c>
      <c r="O120" s="98">
        <v>0</v>
      </c>
      <c r="P120" s="101">
        <f t="shared" si="124"/>
        <v>0</v>
      </c>
      <c r="Q120" s="100">
        <v>0</v>
      </c>
      <c r="R120" s="98">
        <v>0</v>
      </c>
      <c r="S120" s="101">
        <f t="shared" si="125"/>
        <v>0</v>
      </c>
      <c r="T120" s="100">
        <v>0</v>
      </c>
      <c r="U120" s="98">
        <v>0</v>
      </c>
      <c r="V120" s="101">
        <f t="shared" si="131"/>
        <v>0</v>
      </c>
      <c r="W120" s="100">
        <v>0</v>
      </c>
      <c r="X120" s="98">
        <v>0</v>
      </c>
      <c r="Y120" s="99">
        <f t="shared" si="126"/>
        <v>0</v>
      </c>
      <c r="Z120" s="101">
        <v>1</v>
      </c>
      <c r="AA120" s="100">
        <v>0</v>
      </c>
      <c r="AB120" s="98">
        <v>0</v>
      </c>
      <c r="AC120" s="99">
        <f t="shared" si="127"/>
        <v>0</v>
      </c>
      <c r="AD120" s="101">
        <v>1</v>
      </c>
      <c r="AE120" s="100">
        <v>0</v>
      </c>
      <c r="AF120" s="98">
        <v>0</v>
      </c>
      <c r="AG120" s="101">
        <f t="shared" si="128"/>
        <v>0</v>
      </c>
      <c r="AH120" s="100">
        <v>0</v>
      </c>
      <c r="AI120" s="98">
        <v>0</v>
      </c>
      <c r="AJ120" s="101">
        <f t="shared" si="129"/>
        <v>0</v>
      </c>
      <c r="AK120" s="100">
        <v>0</v>
      </c>
      <c r="AL120" s="98">
        <v>0</v>
      </c>
      <c r="AM120" s="101">
        <f t="shared" si="130"/>
        <v>0</v>
      </c>
      <c r="AN120" s="106"/>
    </row>
    <row r="121" spans="2:40" s="35" customFormat="1" ht="17.100000000000001" customHeight="1">
      <c r="B121" s="105"/>
      <c r="C121" s="54"/>
      <c r="D121" s="96"/>
      <c r="E121" s="111"/>
      <c r="F121" s="112"/>
      <c r="G121" s="113"/>
      <c r="H121" s="100">
        <v>0</v>
      </c>
      <c r="I121" s="98">
        <v>0</v>
      </c>
      <c r="J121" s="101">
        <f t="shared" si="122"/>
        <v>0</v>
      </c>
      <c r="K121" s="100">
        <v>0</v>
      </c>
      <c r="L121" s="98">
        <v>0</v>
      </c>
      <c r="M121" s="101">
        <f t="shared" si="123"/>
        <v>0</v>
      </c>
      <c r="N121" s="100">
        <v>0</v>
      </c>
      <c r="O121" s="98">
        <v>0</v>
      </c>
      <c r="P121" s="101">
        <f t="shared" si="124"/>
        <v>0</v>
      </c>
      <c r="Q121" s="100">
        <v>0</v>
      </c>
      <c r="R121" s="98">
        <v>0</v>
      </c>
      <c r="S121" s="101">
        <f t="shared" si="125"/>
        <v>0</v>
      </c>
      <c r="T121" s="100">
        <v>0</v>
      </c>
      <c r="U121" s="98">
        <v>0</v>
      </c>
      <c r="V121" s="101">
        <f t="shared" si="131"/>
        <v>0</v>
      </c>
      <c r="W121" s="100">
        <v>0</v>
      </c>
      <c r="X121" s="98">
        <v>0</v>
      </c>
      <c r="Y121" s="99">
        <f t="shared" si="126"/>
        <v>0</v>
      </c>
      <c r="Z121" s="101">
        <v>1</v>
      </c>
      <c r="AA121" s="100">
        <v>0</v>
      </c>
      <c r="AB121" s="98">
        <v>0</v>
      </c>
      <c r="AC121" s="99">
        <f t="shared" si="127"/>
        <v>0</v>
      </c>
      <c r="AD121" s="101">
        <v>1</v>
      </c>
      <c r="AE121" s="100">
        <v>0</v>
      </c>
      <c r="AF121" s="98">
        <v>0</v>
      </c>
      <c r="AG121" s="101">
        <f t="shared" si="128"/>
        <v>0</v>
      </c>
      <c r="AH121" s="100">
        <v>0</v>
      </c>
      <c r="AI121" s="98">
        <v>0</v>
      </c>
      <c r="AJ121" s="101">
        <f t="shared" si="129"/>
        <v>0</v>
      </c>
      <c r="AK121" s="100">
        <v>0</v>
      </c>
      <c r="AL121" s="98">
        <v>0</v>
      </c>
      <c r="AM121" s="101">
        <f t="shared" si="130"/>
        <v>0</v>
      </c>
      <c r="AN121" s="106"/>
    </row>
    <row r="122" spans="2:40" s="35" customFormat="1" ht="17.100000000000001" customHeight="1">
      <c r="B122" s="105"/>
      <c r="C122" s="54"/>
      <c r="D122" s="96"/>
      <c r="E122" s="111"/>
      <c r="F122" s="112"/>
      <c r="G122" s="113"/>
      <c r="H122" s="100">
        <v>0</v>
      </c>
      <c r="I122" s="98">
        <v>0</v>
      </c>
      <c r="J122" s="101">
        <f t="shared" si="122"/>
        <v>0</v>
      </c>
      <c r="K122" s="100">
        <v>0</v>
      </c>
      <c r="L122" s="98">
        <v>0</v>
      </c>
      <c r="M122" s="101">
        <f t="shared" si="123"/>
        <v>0</v>
      </c>
      <c r="N122" s="100">
        <v>0</v>
      </c>
      <c r="O122" s="98">
        <v>0</v>
      </c>
      <c r="P122" s="101">
        <f t="shared" si="124"/>
        <v>0</v>
      </c>
      <c r="Q122" s="100">
        <v>0</v>
      </c>
      <c r="R122" s="98">
        <v>0</v>
      </c>
      <c r="S122" s="101">
        <f t="shared" si="125"/>
        <v>0</v>
      </c>
      <c r="T122" s="100">
        <v>0</v>
      </c>
      <c r="U122" s="98">
        <v>0</v>
      </c>
      <c r="V122" s="101">
        <f t="shared" si="131"/>
        <v>0</v>
      </c>
      <c r="W122" s="100">
        <v>0</v>
      </c>
      <c r="X122" s="98">
        <v>0</v>
      </c>
      <c r="Y122" s="99">
        <f t="shared" si="126"/>
        <v>0</v>
      </c>
      <c r="Z122" s="101">
        <v>1</v>
      </c>
      <c r="AA122" s="100">
        <v>0</v>
      </c>
      <c r="AB122" s="98">
        <v>0</v>
      </c>
      <c r="AC122" s="99">
        <f t="shared" si="127"/>
        <v>0</v>
      </c>
      <c r="AD122" s="101">
        <v>1</v>
      </c>
      <c r="AE122" s="100">
        <v>0</v>
      </c>
      <c r="AF122" s="98">
        <v>0</v>
      </c>
      <c r="AG122" s="101">
        <f t="shared" si="128"/>
        <v>0</v>
      </c>
      <c r="AH122" s="100">
        <v>0</v>
      </c>
      <c r="AI122" s="98">
        <v>0</v>
      </c>
      <c r="AJ122" s="101">
        <f t="shared" si="129"/>
        <v>0</v>
      </c>
      <c r="AK122" s="100">
        <v>0</v>
      </c>
      <c r="AL122" s="98">
        <v>0</v>
      </c>
      <c r="AM122" s="101">
        <f t="shared" si="130"/>
        <v>0</v>
      </c>
      <c r="AN122" s="106"/>
    </row>
    <row r="123" spans="2:40" s="35" customFormat="1" ht="17.100000000000001" customHeight="1">
      <c r="B123" s="105"/>
      <c r="C123" s="54"/>
      <c r="D123" s="96"/>
      <c r="E123" s="111"/>
      <c r="F123" s="112"/>
      <c r="G123" s="113"/>
      <c r="H123" s="100">
        <v>0</v>
      </c>
      <c r="I123" s="98">
        <v>0</v>
      </c>
      <c r="J123" s="101">
        <f t="shared" si="122"/>
        <v>0</v>
      </c>
      <c r="K123" s="100">
        <v>0</v>
      </c>
      <c r="L123" s="98">
        <v>0</v>
      </c>
      <c r="M123" s="101">
        <f t="shared" si="123"/>
        <v>0</v>
      </c>
      <c r="N123" s="100">
        <v>0</v>
      </c>
      <c r="O123" s="98">
        <v>0</v>
      </c>
      <c r="P123" s="101">
        <f t="shared" si="124"/>
        <v>0</v>
      </c>
      <c r="Q123" s="100">
        <v>0</v>
      </c>
      <c r="R123" s="98">
        <v>0</v>
      </c>
      <c r="S123" s="101">
        <f t="shared" si="125"/>
        <v>0</v>
      </c>
      <c r="T123" s="100">
        <v>0</v>
      </c>
      <c r="U123" s="98">
        <v>0</v>
      </c>
      <c r="V123" s="101">
        <f t="shared" si="131"/>
        <v>0</v>
      </c>
      <c r="W123" s="100">
        <v>0</v>
      </c>
      <c r="X123" s="98">
        <v>0</v>
      </c>
      <c r="Y123" s="99">
        <f t="shared" si="126"/>
        <v>0</v>
      </c>
      <c r="Z123" s="101">
        <v>1</v>
      </c>
      <c r="AA123" s="100">
        <v>0</v>
      </c>
      <c r="AB123" s="98">
        <v>0</v>
      </c>
      <c r="AC123" s="99">
        <f t="shared" si="127"/>
        <v>0</v>
      </c>
      <c r="AD123" s="101">
        <v>1</v>
      </c>
      <c r="AE123" s="100">
        <v>0</v>
      </c>
      <c r="AF123" s="98">
        <v>0</v>
      </c>
      <c r="AG123" s="101">
        <f t="shared" si="128"/>
        <v>0</v>
      </c>
      <c r="AH123" s="100">
        <v>0</v>
      </c>
      <c r="AI123" s="98">
        <v>0</v>
      </c>
      <c r="AJ123" s="101">
        <f t="shared" si="129"/>
        <v>0</v>
      </c>
      <c r="AK123" s="100">
        <v>0</v>
      </c>
      <c r="AL123" s="98">
        <v>0</v>
      </c>
      <c r="AM123" s="101">
        <f t="shared" si="130"/>
        <v>0</v>
      </c>
      <c r="AN123" s="106"/>
    </row>
    <row r="124" spans="2:40" s="126" customFormat="1" ht="17.100000000000001" customHeight="1">
      <c r="B124" s="118"/>
      <c r="C124" s="119"/>
      <c r="D124" s="120"/>
      <c r="E124" s="121"/>
      <c r="F124" s="122"/>
      <c r="G124" s="123"/>
      <c r="H124" s="341" t="s">
        <v>201</v>
      </c>
      <c r="I124" s="342"/>
      <c r="J124" s="124">
        <f>SUM(J117:J123)</f>
        <v>0</v>
      </c>
      <c r="K124" s="341" t="s">
        <v>201</v>
      </c>
      <c r="L124" s="342"/>
      <c r="M124" s="124">
        <f>SUM(M117:M123)</f>
        <v>450</v>
      </c>
      <c r="N124" s="341" t="s">
        <v>201</v>
      </c>
      <c r="O124" s="342"/>
      <c r="P124" s="124">
        <f>SUM(P117:P123)</f>
        <v>0</v>
      </c>
      <c r="Q124" s="341" t="s">
        <v>201</v>
      </c>
      <c r="R124" s="342"/>
      <c r="S124" s="124">
        <f>SUM(S117:S123)</f>
        <v>0</v>
      </c>
      <c r="T124" s="341" t="s">
        <v>201</v>
      </c>
      <c r="U124" s="342"/>
      <c r="V124" s="124">
        <f>SUM(V117:V123)</f>
        <v>0</v>
      </c>
      <c r="W124" s="341" t="s">
        <v>201</v>
      </c>
      <c r="X124" s="342"/>
      <c r="Y124" s="127">
        <f>SUM(Y117:Y123)</f>
        <v>0</v>
      </c>
      <c r="Z124" s="101">
        <v>2</v>
      </c>
      <c r="AA124" s="341" t="s">
        <v>201</v>
      </c>
      <c r="AB124" s="342"/>
      <c r="AC124" s="127">
        <f>SUM(AC117:AC123)</f>
        <v>0</v>
      </c>
      <c r="AD124" s="101">
        <v>2</v>
      </c>
      <c r="AE124" s="341" t="s">
        <v>201</v>
      </c>
      <c r="AF124" s="342"/>
      <c r="AG124" s="124">
        <f>SUM(AG117:AG123)</f>
        <v>0</v>
      </c>
      <c r="AH124" s="341" t="s">
        <v>201</v>
      </c>
      <c r="AI124" s="342"/>
      <c r="AJ124" s="124">
        <f>SUM(AJ117:AJ123)</f>
        <v>0</v>
      </c>
      <c r="AK124" s="341" t="s">
        <v>201</v>
      </c>
      <c r="AL124" s="342"/>
      <c r="AM124" s="124">
        <f>SUM(AM117:AM123)</f>
        <v>0</v>
      </c>
      <c r="AN124" s="125"/>
    </row>
    <row r="125" spans="2:40" s="35" customFormat="1" ht="17.100000000000001" customHeight="1">
      <c r="B125" s="105"/>
      <c r="C125" s="54">
        <f>'1. Rekap Back Up Aspal'!C34</f>
        <v>24500</v>
      </c>
      <c r="D125" s="96">
        <f>'1. Rekap Back Up Aspal'!D34</f>
        <v>24600</v>
      </c>
      <c r="E125" s="111">
        <f>'1. Rekap Back Up Aspal'!E34</f>
        <v>4.5</v>
      </c>
      <c r="F125" s="112">
        <f>(100/((D125-C125)*E125))*((J132*0.5)+(M132*0.5)+(P132*4)+(S132*4)+(V132*1)+(Y132*2)+(AC132*1.5)+(AG132*1)+(AJ132*1)+(AM132*1))</f>
        <v>400</v>
      </c>
      <c r="G125" s="113" t="str">
        <f>IF(F125&lt;=25,"B",IF(F125&lt;=75,"S",IF(F125&lt;=100,"RR","RB")))</f>
        <v>RB</v>
      </c>
      <c r="H125" s="100">
        <v>0</v>
      </c>
      <c r="I125" s="98">
        <v>0</v>
      </c>
      <c r="J125" s="101">
        <f t="shared" ref="J125:J131" si="132">H125*I125</f>
        <v>0</v>
      </c>
      <c r="K125" s="100">
        <v>0</v>
      </c>
      <c r="L125" s="98">
        <v>0</v>
      </c>
      <c r="M125" s="101">
        <f t="shared" ref="M125:M131" si="133">K125*L125</f>
        <v>0</v>
      </c>
      <c r="N125" s="100">
        <v>100</v>
      </c>
      <c r="O125" s="98">
        <v>4.5</v>
      </c>
      <c r="P125" s="101">
        <f t="shared" ref="P125:P131" si="134">N125*O125</f>
        <v>450</v>
      </c>
      <c r="Q125" s="100">
        <v>0</v>
      </c>
      <c r="R125" s="98">
        <v>0</v>
      </c>
      <c r="S125" s="101">
        <f t="shared" ref="S125:S131" si="135">Q125*R125</f>
        <v>0</v>
      </c>
      <c r="T125" s="100">
        <v>0</v>
      </c>
      <c r="U125" s="98">
        <v>0</v>
      </c>
      <c r="V125" s="101">
        <f>T125*U125</f>
        <v>0</v>
      </c>
      <c r="W125" s="100">
        <v>0</v>
      </c>
      <c r="X125" s="98">
        <v>0</v>
      </c>
      <c r="Y125" s="99">
        <f t="shared" ref="Y125:Y131" si="136">W125*X125</f>
        <v>0</v>
      </c>
      <c r="Z125" s="101">
        <v>2</v>
      </c>
      <c r="AA125" s="100">
        <v>0</v>
      </c>
      <c r="AB125" s="98">
        <v>0</v>
      </c>
      <c r="AC125" s="99">
        <f t="shared" ref="AC125:AC131" si="137">AA125*AB125</f>
        <v>0</v>
      </c>
      <c r="AD125" s="101">
        <v>1</v>
      </c>
      <c r="AE125" s="100">
        <v>0</v>
      </c>
      <c r="AF125" s="98">
        <v>0</v>
      </c>
      <c r="AG125" s="101">
        <f t="shared" ref="AG125:AG131" si="138">AE125*AF125</f>
        <v>0</v>
      </c>
      <c r="AH125" s="100">
        <v>0</v>
      </c>
      <c r="AI125" s="98">
        <v>0</v>
      </c>
      <c r="AJ125" s="101">
        <f t="shared" ref="AJ125:AJ131" si="139">AH125*AI125</f>
        <v>0</v>
      </c>
      <c r="AK125" s="100">
        <v>0</v>
      </c>
      <c r="AL125" s="98">
        <v>0</v>
      </c>
      <c r="AM125" s="101">
        <f t="shared" ref="AM125:AM131" si="140">AK125*AL125</f>
        <v>0</v>
      </c>
      <c r="AN125" s="106"/>
    </row>
    <row r="126" spans="2:40" s="35" customFormat="1" ht="17.100000000000001" customHeight="1">
      <c r="B126" s="105"/>
      <c r="C126" s="54"/>
      <c r="D126" s="96"/>
      <c r="E126" s="111"/>
      <c r="F126" s="112"/>
      <c r="G126" s="113"/>
      <c r="H126" s="100">
        <v>0</v>
      </c>
      <c r="I126" s="98">
        <v>0</v>
      </c>
      <c r="J126" s="101">
        <f t="shared" si="132"/>
        <v>0</v>
      </c>
      <c r="K126" s="100">
        <v>0</v>
      </c>
      <c r="L126" s="98">
        <v>0</v>
      </c>
      <c r="M126" s="101">
        <f t="shared" si="133"/>
        <v>0</v>
      </c>
      <c r="N126" s="100">
        <v>0</v>
      </c>
      <c r="O126" s="98">
        <v>0</v>
      </c>
      <c r="P126" s="101">
        <f t="shared" si="134"/>
        <v>0</v>
      </c>
      <c r="Q126" s="100">
        <v>0</v>
      </c>
      <c r="R126" s="98">
        <v>0</v>
      </c>
      <c r="S126" s="101">
        <f t="shared" si="135"/>
        <v>0</v>
      </c>
      <c r="T126" s="100">
        <v>0</v>
      </c>
      <c r="U126" s="98">
        <v>0</v>
      </c>
      <c r="V126" s="101">
        <f t="shared" ref="V126:V131" si="141">T126*U126</f>
        <v>0</v>
      </c>
      <c r="W126" s="100">
        <v>0</v>
      </c>
      <c r="X126" s="98">
        <v>0</v>
      </c>
      <c r="Y126" s="99">
        <f t="shared" si="136"/>
        <v>0</v>
      </c>
      <c r="Z126" s="101">
        <v>3</v>
      </c>
      <c r="AA126" s="100">
        <v>0</v>
      </c>
      <c r="AB126" s="98">
        <v>0</v>
      </c>
      <c r="AC126" s="99">
        <f t="shared" si="137"/>
        <v>0</v>
      </c>
      <c r="AD126" s="101">
        <v>1</v>
      </c>
      <c r="AE126" s="100">
        <v>0</v>
      </c>
      <c r="AF126" s="98">
        <v>0</v>
      </c>
      <c r="AG126" s="101">
        <f t="shared" si="138"/>
        <v>0</v>
      </c>
      <c r="AH126" s="100">
        <v>0</v>
      </c>
      <c r="AI126" s="98">
        <v>0</v>
      </c>
      <c r="AJ126" s="101">
        <f t="shared" si="139"/>
        <v>0</v>
      </c>
      <c r="AK126" s="100">
        <v>0</v>
      </c>
      <c r="AL126" s="98">
        <v>0</v>
      </c>
      <c r="AM126" s="101">
        <f t="shared" si="140"/>
        <v>0</v>
      </c>
      <c r="AN126" s="106"/>
    </row>
    <row r="127" spans="2:40" s="35" customFormat="1" ht="17.100000000000001" customHeight="1">
      <c r="B127" s="105"/>
      <c r="C127" s="54"/>
      <c r="D127" s="96"/>
      <c r="E127" s="111"/>
      <c r="F127" s="112"/>
      <c r="G127" s="113"/>
      <c r="H127" s="100">
        <v>0</v>
      </c>
      <c r="I127" s="98">
        <v>0</v>
      </c>
      <c r="J127" s="101">
        <f t="shared" si="132"/>
        <v>0</v>
      </c>
      <c r="K127" s="100">
        <v>0</v>
      </c>
      <c r="L127" s="98">
        <v>0</v>
      </c>
      <c r="M127" s="101">
        <f t="shared" si="133"/>
        <v>0</v>
      </c>
      <c r="N127" s="100">
        <v>0</v>
      </c>
      <c r="O127" s="98">
        <v>0</v>
      </c>
      <c r="P127" s="101">
        <f t="shared" si="134"/>
        <v>0</v>
      </c>
      <c r="Q127" s="100">
        <v>0</v>
      </c>
      <c r="R127" s="98">
        <v>0</v>
      </c>
      <c r="S127" s="101">
        <f t="shared" si="135"/>
        <v>0</v>
      </c>
      <c r="T127" s="100">
        <v>0</v>
      </c>
      <c r="U127" s="98">
        <v>0</v>
      </c>
      <c r="V127" s="101">
        <f t="shared" si="141"/>
        <v>0</v>
      </c>
      <c r="W127" s="100">
        <v>0</v>
      </c>
      <c r="X127" s="98">
        <v>0</v>
      </c>
      <c r="Y127" s="99">
        <f t="shared" si="136"/>
        <v>0</v>
      </c>
      <c r="Z127" s="101">
        <v>1</v>
      </c>
      <c r="AA127" s="100">
        <v>0</v>
      </c>
      <c r="AB127" s="98">
        <v>0</v>
      </c>
      <c r="AC127" s="99">
        <f t="shared" si="137"/>
        <v>0</v>
      </c>
      <c r="AD127" s="101">
        <v>1</v>
      </c>
      <c r="AE127" s="100">
        <v>0</v>
      </c>
      <c r="AF127" s="98">
        <v>0</v>
      </c>
      <c r="AG127" s="101">
        <f t="shared" si="138"/>
        <v>0</v>
      </c>
      <c r="AH127" s="100">
        <v>0</v>
      </c>
      <c r="AI127" s="98">
        <v>0</v>
      </c>
      <c r="AJ127" s="101">
        <f t="shared" si="139"/>
        <v>0</v>
      </c>
      <c r="AK127" s="100">
        <v>0</v>
      </c>
      <c r="AL127" s="98">
        <v>0</v>
      </c>
      <c r="AM127" s="101">
        <f t="shared" si="140"/>
        <v>0</v>
      </c>
      <c r="AN127" s="106"/>
    </row>
    <row r="128" spans="2:40" s="35" customFormat="1" ht="17.100000000000001" customHeight="1">
      <c r="B128" s="105"/>
      <c r="C128" s="54"/>
      <c r="D128" s="96"/>
      <c r="E128" s="111"/>
      <c r="F128" s="112"/>
      <c r="G128" s="113"/>
      <c r="H128" s="100">
        <v>0</v>
      </c>
      <c r="I128" s="98">
        <v>0</v>
      </c>
      <c r="J128" s="101">
        <f t="shared" si="132"/>
        <v>0</v>
      </c>
      <c r="K128" s="100">
        <v>0</v>
      </c>
      <c r="L128" s="98">
        <v>0</v>
      </c>
      <c r="M128" s="101">
        <f t="shared" si="133"/>
        <v>0</v>
      </c>
      <c r="N128" s="100">
        <v>0</v>
      </c>
      <c r="O128" s="98">
        <v>0</v>
      </c>
      <c r="P128" s="101">
        <f t="shared" si="134"/>
        <v>0</v>
      </c>
      <c r="Q128" s="100">
        <v>0</v>
      </c>
      <c r="R128" s="98">
        <v>0</v>
      </c>
      <c r="S128" s="101">
        <f t="shared" si="135"/>
        <v>0</v>
      </c>
      <c r="T128" s="100">
        <v>0</v>
      </c>
      <c r="U128" s="98">
        <v>0</v>
      </c>
      <c r="V128" s="101">
        <f t="shared" si="141"/>
        <v>0</v>
      </c>
      <c r="W128" s="100">
        <v>0</v>
      </c>
      <c r="X128" s="98">
        <v>0</v>
      </c>
      <c r="Y128" s="99">
        <f t="shared" si="136"/>
        <v>0</v>
      </c>
      <c r="Z128" s="101">
        <v>1</v>
      </c>
      <c r="AA128" s="100">
        <v>0</v>
      </c>
      <c r="AB128" s="98">
        <v>0</v>
      </c>
      <c r="AC128" s="99">
        <f t="shared" si="137"/>
        <v>0</v>
      </c>
      <c r="AD128" s="101">
        <v>1</v>
      </c>
      <c r="AE128" s="100">
        <v>0</v>
      </c>
      <c r="AF128" s="98">
        <v>0</v>
      </c>
      <c r="AG128" s="101">
        <f t="shared" si="138"/>
        <v>0</v>
      </c>
      <c r="AH128" s="100">
        <v>0</v>
      </c>
      <c r="AI128" s="98">
        <v>0</v>
      </c>
      <c r="AJ128" s="101">
        <f t="shared" si="139"/>
        <v>0</v>
      </c>
      <c r="AK128" s="100">
        <v>0</v>
      </c>
      <c r="AL128" s="98">
        <v>0</v>
      </c>
      <c r="AM128" s="101">
        <f t="shared" si="140"/>
        <v>0</v>
      </c>
      <c r="AN128" s="106"/>
    </row>
    <row r="129" spans="2:40" s="35" customFormat="1" ht="17.100000000000001" customHeight="1">
      <c r="B129" s="105"/>
      <c r="C129" s="54"/>
      <c r="D129" s="96"/>
      <c r="E129" s="111"/>
      <c r="F129" s="112"/>
      <c r="G129" s="113"/>
      <c r="H129" s="100">
        <v>0</v>
      </c>
      <c r="I129" s="98">
        <v>0</v>
      </c>
      <c r="J129" s="101">
        <f t="shared" si="132"/>
        <v>0</v>
      </c>
      <c r="K129" s="100">
        <v>0</v>
      </c>
      <c r="L129" s="98">
        <v>0</v>
      </c>
      <c r="M129" s="101">
        <f t="shared" si="133"/>
        <v>0</v>
      </c>
      <c r="N129" s="100">
        <v>0</v>
      </c>
      <c r="O129" s="98">
        <v>0</v>
      </c>
      <c r="P129" s="101">
        <f t="shared" si="134"/>
        <v>0</v>
      </c>
      <c r="Q129" s="100">
        <v>0</v>
      </c>
      <c r="R129" s="98">
        <v>0</v>
      </c>
      <c r="S129" s="101">
        <f t="shared" si="135"/>
        <v>0</v>
      </c>
      <c r="T129" s="100">
        <v>0</v>
      </c>
      <c r="U129" s="98">
        <v>0</v>
      </c>
      <c r="V129" s="101">
        <f t="shared" si="141"/>
        <v>0</v>
      </c>
      <c r="W129" s="100">
        <v>0</v>
      </c>
      <c r="X129" s="98">
        <v>0</v>
      </c>
      <c r="Y129" s="99">
        <f t="shared" si="136"/>
        <v>0</v>
      </c>
      <c r="Z129" s="101">
        <v>1</v>
      </c>
      <c r="AA129" s="100">
        <v>0</v>
      </c>
      <c r="AB129" s="98">
        <v>0</v>
      </c>
      <c r="AC129" s="99">
        <f t="shared" si="137"/>
        <v>0</v>
      </c>
      <c r="AD129" s="101">
        <v>1</v>
      </c>
      <c r="AE129" s="100">
        <v>0</v>
      </c>
      <c r="AF129" s="98">
        <v>0</v>
      </c>
      <c r="AG129" s="101">
        <f t="shared" si="138"/>
        <v>0</v>
      </c>
      <c r="AH129" s="100">
        <v>0</v>
      </c>
      <c r="AI129" s="98">
        <v>0</v>
      </c>
      <c r="AJ129" s="101">
        <f t="shared" si="139"/>
        <v>0</v>
      </c>
      <c r="AK129" s="100">
        <v>0</v>
      </c>
      <c r="AL129" s="98">
        <v>0</v>
      </c>
      <c r="AM129" s="101">
        <f t="shared" si="140"/>
        <v>0</v>
      </c>
      <c r="AN129" s="106"/>
    </row>
    <row r="130" spans="2:40" s="35" customFormat="1" ht="17.100000000000001" customHeight="1">
      <c r="B130" s="105"/>
      <c r="C130" s="54"/>
      <c r="D130" s="96"/>
      <c r="E130" s="111"/>
      <c r="F130" s="112"/>
      <c r="G130" s="113"/>
      <c r="H130" s="100">
        <v>0</v>
      </c>
      <c r="I130" s="98">
        <v>0</v>
      </c>
      <c r="J130" s="101">
        <f t="shared" si="132"/>
        <v>0</v>
      </c>
      <c r="K130" s="100">
        <v>0</v>
      </c>
      <c r="L130" s="98">
        <v>0</v>
      </c>
      <c r="M130" s="101">
        <f t="shared" si="133"/>
        <v>0</v>
      </c>
      <c r="N130" s="100">
        <v>0</v>
      </c>
      <c r="O130" s="98">
        <v>0</v>
      </c>
      <c r="P130" s="101">
        <f t="shared" si="134"/>
        <v>0</v>
      </c>
      <c r="Q130" s="100">
        <v>0</v>
      </c>
      <c r="R130" s="98">
        <v>0</v>
      </c>
      <c r="S130" s="101">
        <f t="shared" si="135"/>
        <v>0</v>
      </c>
      <c r="T130" s="100">
        <v>0</v>
      </c>
      <c r="U130" s="98">
        <v>0</v>
      </c>
      <c r="V130" s="101">
        <f t="shared" si="141"/>
        <v>0</v>
      </c>
      <c r="W130" s="100">
        <v>0</v>
      </c>
      <c r="X130" s="98">
        <v>0</v>
      </c>
      <c r="Y130" s="99">
        <f t="shared" si="136"/>
        <v>0</v>
      </c>
      <c r="Z130" s="101">
        <v>1</v>
      </c>
      <c r="AA130" s="100">
        <v>0</v>
      </c>
      <c r="AB130" s="98">
        <v>0</v>
      </c>
      <c r="AC130" s="99">
        <f t="shared" si="137"/>
        <v>0</v>
      </c>
      <c r="AD130" s="101">
        <v>1</v>
      </c>
      <c r="AE130" s="100">
        <v>0</v>
      </c>
      <c r="AF130" s="98">
        <v>0</v>
      </c>
      <c r="AG130" s="101">
        <f t="shared" si="138"/>
        <v>0</v>
      </c>
      <c r="AH130" s="100">
        <v>0</v>
      </c>
      <c r="AI130" s="98">
        <v>0</v>
      </c>
      <c r="AJ130" s="101">
        <f t="shared" si="139"/>
        <v>0</v>
      </c>
      <c r="AK130" s="100">
        <v>0</v>
      </c>
      <c r="AL130" s="98">
        <v>0</v>
      </c>
      <c r="AM130" s="101">
        <f t="shared" si="140"/>
        <v>0</v>
      </c>
      <c r="AN130" s="106"/>
    </row>
    <row r="131" spans="2:40" s="35" customFormat="1" ht="17.100000000000001" customHeight="1">
      <c r="B131" s="105"/>
      <c r="C131" s="54"/>
      <c r="D131" s="96"/>
      <c r="E131" s="111"/>
      <c r="F131" s="112"/>
      <c r="G131" s="113"/>
      <c r="H131" s="100">
        <v>0</v>
      </c>
      <c r="I131" s="98">
        <v>0</v>
      </c>
      <c r="J131" s="101">
        <f t="shared" si="132"/>
        <v>0</v>
      </c>
      <c r="K131" s="100">
        <v>0</v>
      </c>
      <c r="L131" s="98">
        <v>0</v>
      </c>
      <c r="M131" s="101">
        <f t="shared" si="133"/>
        <v>0</v>
      </c>
      <c r="N131" s="100">
        <v>0</v>
      </c>
      <c r="O131" s="98">
        <v>0</v>
      </c>
      <c r="P131" s="101">
        <f t="shared" si="134"/>
        <v>0</v>
      </c>
      <c r="Q131" s="100">
        <v>0</v>
      </c>
      <c r="R131" s="98">
        <v>0</v>
      </c>
      <c r="S131" s="101">
        <f t="shared" si="135"/>
        <v>0</v>
      </c>
      <c r="T131" s="100">
        <v>0</v>
      </c>
      <c r="U131" s="98">
        <v>0</v>
      </c>
      <c r="V131" s="101">
        <f t="shared" si="141"/>
        <v>0</v>
      </c>
      <c r="W131" s="100">
        <v>0</v>
      </c>
      <c r="X131" s="98">
        <v>0</v>
      </c>
      <c r="Y131" s="99">
        <f t="shared" si="136"/>
        <v>0</v>
      </c>
      <c r="Z131" s="101">
        <v>1</v>
      </c>
      <c r="AA131" s="100">
        <v>0</v>
      </c>
      <c r="AB131" s="98">
        <v>0</v>
      </c>
      <c r="AC131" s="99">
        <f t="shared" si="137"/>
        <v>0</v>
      </c>
      <c r="AD131" s="101">
        <v>1</v>
      </c>
      <c r="AE131" s="100">
        <v>0</v>
      </c>
      <c r="AF131" s="98">
        <v>0</v>
      </c>
      <c r="AG131" s="101">
        <f t="shared" si="138"/>
        <v>0</v>
      </c>
      <c r="AH131" s="100">
        <v>0</v>
      </c>
      <c r="AI131" s="98">
        <v>0</v>
      </c>
      <c r="AJ131" s="101">
        <f t="shared" si="139"/>
        <v>0</v>
      </c>
      <c r="AK131" s="100">
        <v>0</v>
      </c>
      <c r="AL131" s="98">
        <v>0</v>
      </c>
      <c r="AM131" s="101">
        <f t="shared" si="140"/>
        <v>0</v>
      </c>
      <c r="AN131" s="106"/>
    </row>
    <row r="132" spans="2:40" s="126" customFormat="1" ht="17.100000000000001" customHeight="1" thickBot="1">
      <c r="B132" s="128"/>
      <c r="C132" s="154"/>
      <c r="D132" s="155"/>
      <c r="E132" s="156"/>
      <c r="F132" s="129"/>
      <c r="G132" s="130"/>
      <c r="H132" s="344" t="s">
        <v>201</v>
      </c>
      <c r="I132" s="345"/>
      <c r="J132" s="131">
        <f>SUM(J125:J131)</f>
        <v>0</v>
      </c>
      <c r="K132" s="344" t="s">
        <v>201</v>
      </c>
      <c r="L132" s="345"/>
      <c r="M132" s="131">
        <f>SUM(M125:M131)</f>
        <v>0</v>
      </c>
      <c r="N132" s="344" t="s">
        <v>201</v>
      </c>
      <c r="O132" s="345"/>
      <c r="P132" s="131">
        <f>SUM(P125:P131)</f>
        <v>450</v>
      </c>
      <c r="Q132" s="344" t="s">
        <v>201</v>
      </c>
      <c r="R132" s="345"/>
      <c r="S132" s="131">
        <f>SUM(S125:S131)</f>
        <v>0</v>
      </c>
      <c r="T132" s="344" t="s">
        <v>201</v>
      </c>
      <c r="U132" s="345"/>
      <c r="V132" s="131">
        <f>SUM(V125:V131)</f>
        <v>0</v>
      </c>
      <c r="W132" s="344" t="s">
        <v>201</v>
      </c>
      <c r="X132" s="345"/>
      <c r="Y132" s="132">
        <f>SUM(Y125:Y131)</f>
        <v>0</v>
      </c>
      <c r="Z132" s="133">
        <v>2</v>
      </c>
      <c r="AA132" s="344" t="s">
        <v>201</v>
      </c>
      <c r="AB132" s="345"/>
      <c r="AC132" s="132">
        <f>SUM(AC125:AC131)</f>
        <v>0</v>
      </c>
      <c r="AD132" s="133">
        <v>2</v>
      </c>
      <c r="AE132" s="344" t="s">
        <v>201</v>
      </c>
      <c r="AF132" s="345"/>
      <c r="AG132" s="131">
        <f>SUM(AG125:AG131)</f>
        <v>0</v>
      </c>
      <c r="AH132" s="344" t="s">
        <v>201</v>
      </c>
      <c r="AI132" s="345"/>
      <c r="AJ132" s="131">
        <f>SUM(AJ125:AJ131)</f>
        <v>0</v>
      </c>
      <c r="AK132" s="344" t="s">
        <v>201</v>
      </c>
      <c r="AL132" s="345"/>
      <c r="AM132" s="131">
        <f>SUM(AM125:AM131)</f>
        <v>0</v>
      </c>
      <c r="AN132" s="134"/>
    </row>
    <row r="133" spans="2:40" s="35" customFormat="1" ht="17.100000000000001" customHeight="1">
      <c r="B133" s="114"/>
      <c r="C133" s="157">
        <f>'1. Rekap Back Up Aspal'!C35</f>
        <v>24600</v>
      </c>
      <c r="D133" s="158">
        <f>'1. Rekap Back Up Aspal'!D35</f>
        <v>24700</v>
      </c>
      <c r="E133" s="159">
        <f>'1. Rekap Back Up Aspal'!E35</f>
        <v>4.5</v>
      </c>
      <c r="F133" s="115">
        <f>(100/((D133-C133)*E133))*((J140*0.5)+(M140*0.5)+(P140*4)+(S140*4)+(V140*1)+(Y140*2)+(AC140*1.5)+(AG140*1)+(AJ140*1)+(AM140*1))</f>
        <v>400</v>
      </c>
      <c r="G133" s="116" t="str">
        <f>IF(F133&lt;=25,"B",IF(F133&lt;=75,"S",IF(F133&lt;=100,"RR","RB")))</f>
        <v>RB</v>
      </c>
      <c r="H133" s="135">
        <v>0</v>
      </c>
      <c r="I133" s="136">
        <v>0</v>
      </c>
      <c r="J133" s="137">
        <f t="shared" ref="J133:J139" si="142">H133*I133</f>
        <v>0</v>
      </c>
      <c r="K133" s="135">
        <v>0</v>
      </c>
      <c r="L133" s="136">
        <v>0</v>
      </c>
      <c r="M133" s="137">
        <f t="shared" ref="M133:M139" si="143">K133*L133</f>
        <v>0</v>
      </c>
      <c r="N133" s="135">
        <v>100</v>
      </c>
      <c r="O133" s="136">
        <v>4.5</v>
      </c>
      <c r="P133" s="137">
        <f t="shared" ref="P133:P139" si="144">N133*O133</f>
        <v>450</v>
      </c>
      <c r="Q133" s="135">
        <v>0</v>
      </c>
      <c r="R133" s="136">
        <v>0</v>
      </c>
      <c r="S133" s="137">
        <f t="shared" ref="S133:S139" si="145">Q133*R133</f>
        <v>0</v>
      </c>
      <c r="T133" s="135">
        <v>0</v>
      </c>
      <c r="U133" s="136">
        <v>0</v>
      </c>
      <c r="V133" s="137">
        <f>T133*U133</f>
        <v>0</v>
      </c>
      <c r="W133" s="135">
        <v>0</v>
      </c>
      <c r="X133" s="136">
        <v>0</v>
      </c>
      <c r="Y133" s="138">
        <f t="shared" ref="Y133:Y139" si="146">W133*X133</f>
        <v>0</v>
      </c>
      <c r="Z133" s="137">
        <v>2</v>
      </c>
      <c r="AA133" s="135">
        <v>0</v>
      </c>
      <c r="AB133" s="136">
        <v>0</v>
      </c>
      <c r="AC133" s="138">
        <f t="shared" ref="AC133:AC139" si="147">AA133*AB133</f>
        <v>0</v>
      </c>
      <c r="AD133" s="137">
        <v>1</v>
      </c>
      <c r="AE133" s="135">
        <v>0</v>
      </c>
      <c r="AF133" s="136">
        <v>0</v>
      </c>
      <c r="AG133" s="137">
        <f t="shared" ref="AG133:AG139" si="148">AE133*AF133</f>
        <v>0</v>
      </c>
      <c r="AH133" s="135">
        <v>0</v>
      </c>
      <c r="AI133" s="136">
        <v>0</v>
      </c>
      <c r="AJ133" s="137">
        <f t="shared" ref="AJ133:AJ139" si="149">AH133*AI133</f>
        <v>0</v>
      </c>
      <c r="AK133" s="135">
        <v>0</v>
      </c>
      <c r="AL133" s="136">
        <v>0</v>
      </c>
      <c r="AM133" s="137">
        <f t="shared" ref="AM133:AM139" si="150">AK133*AL133</f>
        <v>0</v>
      </c>
      <c r="AN133" s="139"/>
    </row>
    <row r="134" spans="2:40" s="35" customFormat="1" ht="17.100000000000001" customHeight="1">
      <c r="B134" s="105"/>
      <c r="C134" s="54"/>
      <c r="D134" s="96"/>
      <c r="E134" s="111"/>
      <c r="F134" s="112"/>
      <c r="G134" s="113"/>
      <c r="H134" s="100">
        <v>0</v>
      </c>
      <c r="I134" s="98">
        <v>0</v>
      </c>
      <c r="J134" s="101">
        <f t="shared" si="142"/>
        <v>0</v>
      </c>
      <c r="K134" s="100">
        <v>0</v>
      </c>
      <c r="L134" s="98">
        <v>0</v>
      </c>
      <c r="M134" s="101">
        <f t="shared" si="143"/>
        <v>0</v>
      </c>
      <c r="N134" s="100">
        <v>0</v>
      </c>
      <c r="O134" s="98">
        <v>0</v>
      </c>
      <c r="P134" s="101">
        <f t="shared" si="144"/>
        <v>0</v>
      </c>
      <c r="Q134" s="100">
        <v>0</v>
      </c>
      <c r="R134" s="98">
        <v>0</v>
      </c>
      <c r="S134" s="101">
        <f t="shared" si="145"/>
        <v>0</v>
      </c>
      <c r="T134" s="100">
        <v>0</v>
      </c>
      <c r="U134" s="98">
        <v>0</v>
      </c>
      <c r="V134" s="101">
        <f t="shared" ref="V134:V139" si="151">T134*U134</f>
        <v>0</v>
      </c>
      <c r="W134" s="100">
        <v>0</v>
      </c>
      <c r="X134" s="98">
        <v>0</v>
      </c>
      <c r="Y134" s="99">
        <f t="shared" si="146"/>
        <v>0</v>
      </c>
      <c r="Z134" s="101">
        <v>3</v>
      </c>
      <c r="AA134" s="100">
        <v>0</v>
      </c>
      <c r="AB134" s="98">
        <v>0</v>
      </c>
      <c r="AC134" s="99">
        <f t="shared" si="147"/>
        <v>0</v>
      </c>
      <c r="AD134" s="101">
        <v>1</v>
      </c>
      <c r="AE134" s="100">
        <v>0</v>
      </c>
      <c r="AF134" s="98">
        <v>0</v>
      </c>
      <c r="AG134" s="101">
        <f t="shared" si="148"/>
        <v>0</v>
      </c>
      <c r="AH134" s="100">
        <v>0</v>
      </c>
      <c r="AI134" s="98">
        <v>0</v>
      </c>
      <c r="AJ134" s="101">
        <f t="shared" si="149"/>
        <v>0</v>
      </c>
      <c r="AK134" s="100">
        <v>0</v>
      </c>
      <c r="AL134" s="98">
        <v>0</v>
      </c>
      <c r="AM134" s="101">
        <f t="shared" si="150"/>
        <v>0</v>
      </c>
      <c r="AN134" s="106"/>
    </row>
    <row r="135" spans="2:40" s="35" customFormat="1" ht="17.100000000000001" customHeight="1">
      <c r="B135" s="105"/>
      <c r="C135" s="54"/>
      <c r="D135" s="96"/>
      <c r="E135" s="111"/>
      <c r="F135" s="112"/>
      <c r="G135" s="113"/>
      <c r="H135" s="100">
        <v>0</v>
      </c>
      <c r="I135" s="98">
        <v>0</v>
      </c>
      <c r="J135" s="101">
        <f t="shared" si="142"/>
        <v>0</v>
      </c>
      <c r="K135" s="100">
        <v>0</v>
      </c>
      <c r="L135" s="98">
        <v>0</v>
      </c>
      <c r="M135" s="101">
        <f t="shared" si="143"/>
        <v>0</v>
      </c>
      <c r="N135" s="100">
        <v>0</v>
      </c>
      <c r="O135" s="98">
        <v>0</v>
      </c>
      <c r="P135" s="101">
        <f t="shared" si="144"/>
        <v>0</v>
      </c>
      <c r="Q135" s="100">
        <v>0</v>
      </c>
      <c r="R135" s="98">
        <v>0</v>
      </c>
      <c r="S135" s="101">
        <f t="shared" si="145"/>
        <v>0</v>
      </c>
      <c r="T135" s="100">
        <v>0</v>
      </c>
      <c r="U135" s="98">
        <v>0</v>
      </c>
      <c r="V135" s="101">
        <f t="shared" si="151"/>
        <v>0</v>
      </c>
      <c r="W135" s="100">
        <v>0</v>
      </c>
      <c r="X135" s="98">
        <v>0</v>
      </c>
      <c r="Y135" s="99">
        <f t="shared" si="146"/>
        <v>0</v>
      </c>
      <c r="Z135" s="101">
        <v>1</v>
      </c>
      <c r="AA135" s="100">
        <v>0</v>
      </c>
      <c r="AB135" s="98">
        <v>0</v>
      </c>
      <c r="AC135" s="99">
        <f t="shared" si="147"/>
        <v>0</v>
      </c>
      <c r="AD135" s="101">
        <v>1</v>
      </c>
      <c r="AE135" s="100">
        <v>0</v>
      </c>
      <c r="AF135" s="98">
        <v>0</v>
      </c>
      <c r="AG135" s="101">
        <f t="shared" si="148"/>
        <v>0</v>
      </c>
      <c r="AH135" s="100">
        <v>0</v>
      </c>
      <c r="AI135" s="98">
        <v>0</v>
      </c>
      <c r="AJ135" s="101">
        <f t="shared" si="149"/>
        <v>0</v>
      </c>
      <c r="AK135" s="100">
        <v>0</v>
      </c>
      <c r="AL135" s="98">
        <v>0</v>
      </c>
      <c r="AM135" s="101">
        <f t="shared" si="150"/>
        <v>0</v>
      </c>
      <c r="AN135" s="106"/>
    </row>
    <row r="136" spans="2:40" s="35" customFormat="1" ht="17.100000000000001" customHeight="1">
      <c r="B136" s="105"/>
      <c r="C136" s="54"/>
      <c r="D136" s="96"/>
      <c r="E136" s="111"/>
      <c r="F136" s="112"/>
      <c r="G136" s="113"/>
      <c r="H136" s="100">
        <v>0</v>
      </c>
      <c r="I136" s="98">
        <v>0</v>
      </c>
      <c r="J136" s="101">
        <f t="shared" si="142"/>
        <v>0</v>
      </c>
      <c r="K136" s="100">
        <v>0</v>
      </c>
      <c r="L136" s="98">
        <v>0</v>
      </c>
      <c r="M136" s="101">
        <f t="shared" si="143"/>
        <v>0</v>
      </c>
      <c r="N136" s="100">
        <v>0</v>
      </c>
      <c r="O136" s="98">
        <v>0</v>
      </c>
      <c r="P136" s="101">
        <f t="shared" si="144"/>
        <v>0</v>
      </c>
      <c r="Q136" s="100">
        <v>0</v>
      </c>
      <c r="R136" s="98">
        <v>0</v>
      </c>
      <c r="S136" s="101">
        <f t="shared" si="145"/>
        <v>0</v>
      </c>
      <c r="T136" s="100">
        <v>0</v>
      </c>
      <c r="U136" s="98">
        <v>0</v>
      </c>
      <c r="V136" s="101">
        <f t="shared" si="151"/>
        <v>0</v>
      </c>
      <c r="W136" s="100">
        <v>0</v>
      </c>
      <c r="X136" s="98">
        <v>0</v>
      </c>
      <c r="Y136" s="99">
        <f t="shared" si="146"/>
        <v>0</v>
      </c>
      <c r="Z136" s="101">
        <v>1</v>
      </c>
      <c r="AA136" s="100">
        <v>0</v>
      </c>
      <c r="AB136" s="98">
        <v>0</v>
      </c>
      <c r="AC136" s="99">
        <f t="shared" si="147"/>
        <v>0</v>
      </c>
      <c r="AD136" s="101">
        <v>1</v>
      </c>
      <c r="AE136" s="100">
        <v>0</v>
      </c>
      <c r="AF136" s="98">
        <v>0</v>
      </c>
      <c r="AG136" s="101">
        <f t="shared" si="148"/>
        <v>0</v>
      </c>
      <c r="AH136" s="100">
        <v>0</v>
      </c>
      <c r="AI136" s="98">
        <v>0</v>
      </c>
      <c r="AJ136" s="101">
        <f t="shared" si="149"/>
        <v>0</v>
      </c>
      <c r="AK136" s="100">
        <v>0</v>
      </c>
      <c r="AL136" s="98">
        <v>0</v>
      </c>
      <c r="AM136" s="101">
        <f t="shared" si="150"/>
        <v>0</v>
      </c>
      <c r="AN136" s="106"/>
    </row>
    <row r="137" spans="2:40" s="35" customFormat="1" ht="17.100000000000001" customHeight="1">
      <c r="B137" s="105"/>
      <c r="C137" s="54"/>
      <c r="D137" s="96"/>
      <c r="E137" s="111"/>
      <c r="F137" s="112"/>
      <c r="G137" s="113"/>
      <c r="H137" s="100">
        <v>0</v>
      </c>
      <c r="I137" s="98">
        <v>0</v>
      </c>
      <c r="J137" s="101">
        <f t="shared" si="142"/>
        <v>0</v>
      </c>
      <c r="K137" s="100">
        <v>0</v>
      </c>
      <c r="L137" s="98">
        <v>0</v>
      </c>
      <c r="M137" s="101">
        <f t="shared" si="143"/>
        <v>0</v>
      </c>
      <c r="N137" s="100">
        <v>0</v>
      </c>
      <c r="O137" s="98">
        <v>0</v>
      </c>
      <c r="P137" s="101">
        <f t="shared" si="144"/>
        <v>0</v>
      </c>
      <c r="Q137" s="100">
        <v>0</v>
      </c>
      <c r="R137" s="98">
        <v>0</v>
      </c>
      <c r="S137" s="101">
        <f t="shared" si="145"/>
        <v>0</v>
      </c>
      <c r="T137" s="100">
        <v>0</v>
      </c>
      <c r="U137" s="98">
        <v>0</v>
      </c>
      <c r="V137" s="101">
        <f t="shared" si="151"/>
        <v>0</v>
      </c>
      <c r="W137" s="100">
        <v>0</v>
      </c>
      <c r="X137" s="98">
        <v>0</v>
      </c>
      <c r="Y137" s="99">
        <f t="shared" si="146"/>
        <v>0</v>
      </c>
      <c r="Z137" s="101">
        <v>1</v>
      </c>
      <c r="AA137" s="100">
        <v>0</v>
      </c>
      <c r="AB137" s="98">
        <v>0</v>
      </c>
      <c r="AC137" s="99">
        <f t="shared" si="147"/>
        <v>0</v>
      </c>
      <c r="AD137" s="101">
        <v>1</v>
      </c>
      <c r="AE137" s="100">
        <v>0</v>
      </c>
      <c r="AF137" s="98">
        <v>0</v>
      </c>
      <c r="AG137" s="101">
        <f t="shared" si="148"/>
        <v>0</v>
      </c>
      <c r="AH137" s="100">
        <v>0</v>
      </c>
      <c r="AI137" s="98">
        <v>0</v>
      </c>
      <c r="AJ137" s="101">
        <f t="shared" si="149"/>
        <v>0</v>
      </c>
      <c r="AK137" s="100">
        <v>0</v>
      </c>
      <c r="AL137" s="98">
        <v>0</v>
      </c>
      <c r="AM137" s="101">
        <f t="shared" si="150"/>
        <v>0</v>
      </c>
      <c r="AN137" s="106"/>
    </row>
    <row r="138" spans="2:40" s="35" customFormat="1" ht="17.100000000000001" customHeight="1">
      <c r="B138" s="105"/>
      <c r="C138" s="54"/>
      <c r="D138" s="96"/>
      <c r="E138" s="111"/>
      <c r="F138" s="112"/>
      <c r="G138" s="113"/>
      <c r="H138" s="100">
        <v>0</v>
      </c>
      <c r="I138" s="98">
        <v>0</v>
      </c>
      <c r="J138" s="101">
        <f t="shared" si="142"/>
        <v>0</v>
      </c>
      <c r="K138" s="100">
        <v>0</v>
      </c>
      <c r="L138" s="98">
        <v>0</v>
      </c>
      <c r="M138" s="101">
        <f t="shared" si="143"/>
        <v>0</v>
      </c>
      <c r="N138" s="100">
        <v>0</v>
      </c>
      <c r="O138" s="98">
        <v>0</v>
      </c>
      <c r="P138" s="101">
        <f t="shared" si="144"/>
        <v>0</v>
      </c>
      <c r="Q138" s="100">
        <v>0</v>
      </c>
      <c r="R138" s="98">
        <v>0</v>
      </c>
      <c r="S138" s="101">
        <f t="shared" si="145"/>
        <v>0</v>
      </c>
      <c r="T138" s="100">
        <v>0</v>
      </c>
      <c r="U138" s="98">
        <v>0</v>
      </c>
      <c r="V138" s="101">
        <f t="shared" si="151"/>
        <v>0</v>
      </c>
      <c r="W138" s="100">
        <v>0</v>
      </c>
      <c r="X138" s="98">
        <v>0</v>
      </c>
      <c r="Y138" s="99">
        <f t="shared" si="146"/>
        <v>0</v>
      </c>
      <c r="Z138" s="101">
        <v>1</v>
      </c>
      <c r="AA138" s="100">
        <v>0</v>
      </c>
      <c r="AB138" s="98">
        <v>0</v>
      </c>
      <c r="AC138" s="99">
        <f t="shared" si="147"/>
        <v>0</v>
      </c>
      <c r="AD138" s="101">
        <v>1</v>
      </c>
      <c r="AE138" s="100">
        <v>0</v>
      </c>
      <c r="AF138" s="98">
        <v>0</v>
      </c>
      <c r="AG138" s="101">
        <f t="shared" si="148"/>
        <v>0</v>
      </c>
      <c r="AH138" s="100">
        <v>0</v>
      </c>
      <c r="AI138" s="98">
        <v>0</v>
      </c>
      <c r="AJ138" s="101">
        <f t="shared" si="149"/>
        <v>0</v>
      </c>
      <c r="AK138" s="100">
        <v>0</v>
      </c>
      <c r="AL138" s="98">
        <v>0</v>
      </c>
      <c r="AM138" s="101">
        <f t="shared" si="150"/>
        <v>0</v>
      </c>
      <c r="AN138" s="106"/>
    </row>
    <row r="139" spans="2:40" s="35" customFormat="1" ht="17.100000000000001" customHeight="1">
      <c r="B139" s="105"/>
      <c r="C139" s="54"/>
      <c r="D139" s="96"/>
      <c r="E139" s="111"/>
      <c r="F139" s="112"/>
      <c r="G139" s="113"/>
      <c r="H139" s="100">
        <v>0</v>
      </c>
      <c r="I139" s="98">
        <v>0</v>
      </c>
      <c r="J139" s="101">
        <f t="shared" si="142"/>
        <v>0</v>
      </c>
      <c r="K139" s="100">
        <v>0</v>
      </c>
      <c r="L139" s="98">
        <v>0</v>
      </c>
      <c r="M139" s="101">
        <f t="shared" si="143"/>
        <v>0</v>
      </c>
      <c r="N139" s="100">
        <v>0</v>
      </c>
      <c r="O139" s="98">
        <v>0</v>
      </c>
      <c r="P139" s="101">
        <f t="shared" si="144"/>
        <v>0</v>
      </c>
      <c r="Q139" s="100">
        <v>0</v>
      </c>
      <c r="R139" s="98">
        <v>0</v>
      </c>
      <c r="S139" s="101">
        <f t="shared" si="145"/>
        <v>0</v>
      </c>
      <c r="T139" s="100">
        <v>0</v>
      </c>
      <c r="U139" s="98">
        <v>0</v>
      </c>
      <c r="V139" s="101">
        <f t="shared" si="151"/>
        <v>0</v>
      </c>
      <c r="W139" s="100">
        <v>0</v>
      </c>
      <c r="X139" s="98">
        <v>0</v>
      </c>
      <c r="Y139" s="99">
        <f t="shared" si="146"/>
        <v>0</v>
      </c>
      <c r="Z139" s="101">
        <v>1</v>
      </c>
      <c r="AA139" s="100">
        <v>0</v>
      </c>
      <c r="AB139" s="98">
        <v>0</v>
      </c>
      <c r="AC139" s="99">
        <f t="shared" si="147"/>
        <v>0</v>
      </c>
      <c r="AD139" s="101">
        <v>1</v>
      </c>
      <c r="AE139" s="100">
        <v>0</v>
      </c>
      <c r="AF139" s="98">
        <v>0</v>
      </c>
      <c r="AG139" s="101">
        <f t="shared" si="148"/>
        <v>0</v>
      </c>
      <c r="AH139" s="100">
        <v>0</v>
      </c>
      <c r="AI139" s="98">
        <v>0</v>
      </c>
      <c r="AJ139" s="101">
        <f t="shared" si="149"/>
        <v>0</v>
      </c>
      <c r="AK139" s="100">
        <v>0</v>
      </c>
      <c r="AL139" s="98">
        <v>0</v>
      </c>
      <c r="AM139" s="101">
        <f t="shared" si="150"/>
        <v>0</v>
      </c>
      <c r="AN139" s="106"/>
    </row>
    <row r="140" spans="2:40" s="126" customFormat="1" ht="17.100000000000001" customHeight="1">
      <c r="B140" s="118"/>
      <c r="C140" s="119"/>
      <c r="D140" s="120"/>
      <c r="E140" s="121"/>
      <c r="F140" s="122"/>
      <c r="G140" s="123"/>
      <c r="H140" s="341" t="s">
        <v>201</v>
      </c>
      <c r="I140" s="342"/>
      <c r="J140" s="124">
        <f>SUM(J133:J139)</f>
        <v>0</v>
      </c>
      <c r="K140" s="341" t="s">
        <v>201</v>
      </c>
      <c r="L140" s="342"/>
      <c r="M140" s="124">
        <f>SUM(M133:M139)</f>
        <v>0</v>
      </c>
      <c r="N140" s="341" t="s">
        <v>201</v>
      </c>
      <c r="O140" s="342"/>
      <c r="P140" s="124">
        <f>SUM(P133:P139)</f>
        <v>450</v>
      </c>
      <c r="Q140" s="341" t="s">
        <v>201</v>
      </c>
      <c r="R140" s="342"/>
      <c r="S140" s="124">
        <f>SUM(S133:S139)</f>
        <v>0</v>
      </c>
      <c r="T140" s="341" t="s">
        <v>201</v>
      </c>
      <c r="U140" s="342"/>
      <c r="V140" s="124">
        <f>SUM(V133:V139)</f>
        <v>0</v>
      </c>
      <c r="W140" s="341" t="s">
        <v>201</v>
      </c>
      <c r="X140" s="342"/>
      <c r="Y140" s="127">
        <f>SUM(Y133:Y139)</f>
        <v>0</v>
      </c>
      <c r="Z140" s="101">
        <v>2</v>
      </c>
      <c r="AA140" s="341" t="s">
        <v>201</v>
      </c>
      <c r="AB140" s="342"/>
      <c r="AC140" s="127">
        <f>SUM(AC133:AC139)</f>
        <v>0</v>
      </c>
      <c r="AD140" s="101">
        <v>2</v>
      </c>
      <c r="AE140" s="341" t="s">
        <v>201</v>
      </c>
      <c r="AF140" s="342"/>
      <c r="AG140" s="124">
        <f>SUM(AG133:AG139)</f>
        <v>0</v>
      </c>
      <c r="AH140" s="341" t="s">
        <v>201</v>
      </c>
      <c r="AI140" s="342"/>
      <c r="AJ140" s="124">
        <f>SUM(AJ133:AJ139)</f>
        <v>0</v>
      </c>
      <c r="AK140" s="341" t="s">
        <v>201</v>
      </c>
      <c r="AL140" s="342"/>
      <c r="AM140" s="124">
        <f>SUM(AM133:AM139)</f>
        <v>0</v>
      </c>
      <c r="AN140" s="125"/>
    </row>
    <row r="141" spans="2:40" s="35" customFormat="1" ht="17.100000000000001" customHeight="1">
      <c r="B141" s="309"/>
      <c r="C141" s="305">
        <f>'1. Rekap Back Up Aspal'!C36</f>
        <v>24700</v>
      </c>
      <c r="D141" s="306">
        <f>'1. Rekap Back Up Aspal'!D36</f>
        <v>24800</v>
      </c>
      <c r="E141" s="307">
        <f>'1. Rekap Back Up Aspal'!E36</f>
        <v>4.5</v>
      </c>
      <c r="F141" s="112">
        <f>(100/((D141-C141)*E141))*((J148*0.5)+(M148*0.5)+(P148*4)+(S148*4)+(V148*1)+(Y148*2)+(AC148*1.5)+(AG148*1)+(AJ148*1)+(AM148*1))</f>
        <v>400</v>
      </c>
      <c r="G141" s="113" t="str">
        <f>IF(F141&lt;=25,"B",IF(F141&lt;=75,"S",IF(F141&lt;=100,"RR","RB")))</f>
        <v>RB</v>
      </c>
      <c r="H141" s="100">
        <v>0</v>
      </c>
      <c r="I141" s="98">
        <v>0</v>
      </c>
      <c r="J141" s="101">
        <f t="shared" ref="J141:J147" si="152">H141*I141</f>
        <v>0</v>
      </c>
      <c r="K141" s="100">
        <v>0</v>
      </c>
      <c r="L141" s="98">
        <v>3</v>
      </c>
      <c r="M141" s="101">
        <f t="shared" ref="M141:M147" si="153">K141*L141</f>
        <v>0</v>
      </c>
      <c r="N141" s="100">
        <v>100</v>
      </c>
      <c r="O141" s="98">
        <v>4.5</v>
      </c>
      <c r="P141" s="304">
        <f t="shared" ref="P141:P147" si="154">N141*O141</f>
        <v>450</v>
      </c>
      <c r="Q141" s="100">
        <v>0</v>
      </c>
      <c r="R141" s="98">
        <v>0</v>
      </c>
      <c r="S141" s="101">
        <f t="shared" ref="S141:S147" si="155">Q141*R141</f>
        <v>0</v>
      </c>
      <c r="T141" s="100">
        <v>0</v>
      </c>
      <c r="U141" s="98">
        <v>0</v>
      </c>
      <c r="V141" s="101">
        <f>T141*U141</f>
        <v>0</v>
      </c>
      <c r="W141" s="100">
        <v>0</v>
      </c>
      <c r="X141" s="98">
        <v>0</v>
      </c>
      <c r="Y141" s="99">
        <f t="shared" ref="Y141:Y147" si="156">W141*X141</f>
        <v>0</v>
      </c>
      <c r="Z141" s="101">
        <v>2</v>
      </c>
      <c r="AA141" s="100">
        <v>0</v>
      </c>
      <c r="AB141" s="98">
        <v>0</v>
      </c>
      <c r="AC141" s="99">
        <f t="shared" ref="AC141:AC147" si="157">AA141*AB141</f>
        <v>0</v>
      </c>
      <c r="AD141" s="101">
        <v>3</v>
      </c>
      <c r="AE141" s="100">
        <v>0</v>
      </c>
      <c r="AF141" s="98">
        <v>0</v>
      </c>
      <c r="AG141" s="101">
        <f t="shared" ref="AG141:AG147" si="158">AE141*AF141</f>
        <v>0</v>
      </c>
      <c r="AH141" s="100">
        <v>0</v>
      </c>
      <c r="AI141" s="98">
        <v>0</v>
      </c>
      <c r="AJ141" s="101">
        <f t="shared" ref="AJ141:AJ147" si="159">AH141*AI141</f>
        <v>0</v>
      </c>
      <c r="AK141" s="100">
        <v>0</v>
      </c>
      <c r="AL141" s="98">
        <v>0</v>
      </c>
      <c r="AM141" s="101">
        <f t="shared" ref="AM141:AM147" si="160">AK141*AL141</f>
        <v>0</v>
      </c>
      <c r="AN141" s="106"/>
    </row>
    <row r="142" spans="2:40" s="35" customFormat="1" ht="17.100000000000001" customHeight="1">
      <c r="B142" s="105"/>
      <c r="C142" s="54"/>
      <c r="D142" s="96"/>
      <c r="E142" s="111"/>
      <c r="F142" s="112"/>
      <c r="G142" s="113"/>
      <c r="H142" s="100">
        <v>0</v>
      </c>
      <c r="I142" s="98">
        <v>0</v>
      </c>
      <c r="J142" s="101">
        <f t="shared" si="152"/>
        <v>0</v>
      </c>
      <c r="K142" s="100">
        <v>0</v>
      </c>
      <c r="L142" s="98">
        <v>0</v>
      </c>
      <c r="M142" s="101">
        <f t="shared" si="153"/>
        <v>0</v>
      </c>
      <c r="N142" s="100">
        <v>0</v>
      </c>
      <c r="O142" s="98">
        <v>0</v>
      </c>
      <c r="P142" s="101">
        <f t="shared" si="154"/>
        <v>0</v>
      </c>
      <c r="Q142" s="100">
        <v>0</v>
      </c>
      <c r="R142" s="98">
        <v>0</v>
      </c>
      <c r="S142" s="101">
        <f t="shared" si="155"/>
        <v>0</v>
      </c>
      <c r="T142" s="100">
        <v>0</v>
      </c>
      <c r="U142" s="98">
        <v>0</v>
      </c>
      <c r="V142" s="101">
        <f t="shared" ref="V142:V147" si="161">T142*U142</f>
        <v>0</v>
      </c>
      <c r="W142" s="100">
        <v>0</v>
      </c>
      <c r="X142" s="98">
        <v>0</v>
      </c>
      <c r="Y142" s="99">
        <f t="shared" si="156"/>
        <v>0</v>
      </c>
      <c r="Z142" s="101">
        <v>3</v>
      </c>
      <c r="AA142" s="100">
        <v>0</v>
      </c>
      <c r="AB142" s="98">
        <v>0</v>
      </c>
      <c r="AC142" s="99">
        <f t="shared" si="157"/>
        <v>0</v>
      </c>
      <c r="AD142" s="101">
        <v>1</v>
      </c>
      <c r="AE142" s="100">
        <v>0</v>
      </c>
      <c r="AF142" s="98">
        <v>0</v>
      </c>
      <c r="AG142" s="101">
        <f t="shared" si="158"/>
        <v>0</v>
      </c>
      <c r="AH142" s="100">
        <v>0</v>
      </c>
      <c r="AI142" s="98">
        <v>0</v>
      </c>
      <c r="AJ142" s="101">
        <f t="shared" si="159"/>
        <v>0</v>
      </c>
      <c r="AK142" s="100">
        <v>0</v>
      </c>
      <c r="AL142" s="98">
        <v>0</v>
      </c>
      <c r="AM142" s="101">
        <f t="shared" si="160"/>
        <v>0</v>
      </c>
      <c r="AN142" s="106"/>
    </row>
    <row r="143" spans="2:40" s="35" customFormat="1" ht="17.100000000000001" customHeight="1">
      <c r="B143" s="105"/>
      <c r="C143" s="54"/>
      <c r="D143" s="96"/>
      <c r="E143" s="111"/>
      <c r="F143" s="112"/>
      <c r="G143" s="113"/>
      <c r="H143" s="100">
        <v>0</v>
      </c>
      <c r="I143" s="98">
        <v>0</v>
      </c>
      <c r="J143" s="101">
        <f t="shared" si="152"/>
        <v>0</v>
      </c>
      <c r="K143" s="100">
        <v>0</v>
      </c>
      <c r="L143" s="98">
        <v>0</v>
      </c>
      <c r="M143" s="101">
        <f t="shared" si="153"/>
        <v>0</v>
      </c>
      <c r="N143" s="100">
        <v>0</v>
      </c>
      <c r="O143" s="98">
        <v>0</v>
      </c>
      <c r="P143" s="101">
        <f t="shared" si="154"/>
        <v>0</v>
      </c>
      <c r="Q143" s="100">
        <v>0</v>
      </c>
      <c r="R143" s="98">
        <v>0</v>
      </c>
      <c r="S143" s="101">
        <f t="shared" si="155"/>
        <v>0</v>
      </c>
      <c r="T143" s="100">
        <v>0</v>
      </c>
      <c r="U143" s="98">
        <v>0</v>
      </c>
      <c r="V143" s="101">
        <f t="shared" si="161"/>
        <v>0</v>
      </c>
      <c r="W143" s="100">
        <v>0</v>
      </c>
      <c r="X143" s="98">
        <v>0</v>
      </c>
      <c r="Y143" s="99">
        <f t="shared" si="156"/>
        <v>0</v>
      </c>
      <c r="Z143" s="101">
        <v>1</v>
      </c>
      <c r="AA143" s="100">
        <v>0</v>
      </c>
      <c r="AB143" s="98">
        <v>0</v>
      </c>
      <c r="AC143" s="99">
        <f t="shared" si="157"/>
        <v>0</v>
      </c>
      <c r="AD143" s="101">
        <v>1</v>
      </c>
      <c r="AE143" s="100">
        <v>0</v>
      </c>
      <c r="AF143" s="98">
        <v>0</v>
      </c>
      <c r="AG143" s="101">
        <f t="shared" si="158"/>
        <v>0</v>
      </c>
      <c r="AH143" s="100">
        <v>0</v>
      </c>
      <c r="AI143" s="98">
        <v>0</v>
      </c>
      <c r="AJ143" s="101">
        <f t="shared" si="159"/>
        <v>0</v>
      </c>
      <c r="AK143" s="100">
        <v>0</v>
      </c>
      <c r="AL143" s="98">
        <v>0</v>
      </c>
      <c r="AM143" s="101">
        <f t="shared" si="160"/>
        <v>0</v>
      </c>
      <c r="AN143" s="106"/>
    </row>
    <row r="144" spans="2:40" s="35" customFormat="1" ht="17.100000000000001" customHeight="1">
      <c r="B144" s="105"/>
      <c r="C144" s="54"/>
      <c r="D144" s="96"/>
      <c r="E144" s="111"/>
      <c r="F144" s="112"/>
      <c r="G144" s="113"/>
      <c r="H144" s="100">
        <v>0</v>
      </c>
      <c r="I144" s="98">
        <v>0</v>
      </c>
      <c r="J144" s="101">
        <f t="shared" si="152"/>
        <v>0</v>
      </c>
      <c r="K144" s="100">
        <v>0</v>
      </c>
      <c r="L144" s="98">
        <v>0</v>
      </c>
      <c r="M144" s="101">
        <f t="shared" si="153"/>
        <v>0</v>
      </c>
      <c r="N144" s="100">
        <v>0</v>
      </c>
      <c r="O144" s="98">
        <v>0</v>
      </c>
      <c r="P144" s="101">
        <f t="shared" si="154"/>
        <v>0</v>
      </c>
      <c r="Q144" s="100">
        <v>0</v>
      </c>
      <c r="R144" s="98">
        <v>0</v>
      </c>
      <c r="S144" s="101">
        <f t="shared" si="155"/>
        <v>0</v>
      </c>
      <c r="T144" s="100">
        <v>0</v>
      </c>
      <c r="U144" s="98">
        <v>0</v>
      </c>
      <c r="V144" s="101">
        <f t="shared" si="161"/>
        <v>0</v>
      </c>
      <c r="W144" s="100">
        <v>0</v>
      </c>
      <c r="X144" s="98">
        <v>0</v>
      </c>
      <c r="Y144" s="99">
        <f t="shared" si="156"/>
        <v>0</v>
      </c>
      <c r="Z144" s="101">
        <v>1</v>
      </c>
      <c r="AA144" s="100">
        <v>0</v>
      </c>
      <c r="AB144" s="98">
        <v>0</v>
      </c>
      <c r="AC144" s="99">
        <f t="shared" si="157"/>
        <v>0</v>
      </c>
      <c r="AD144" s="101">
        <v>1</v>
      </c>
      <c r="AE144" s="100">
        <v>0</v>
      </c>
      <c r="AF144" s="98">
        <v>0</v>
      </c>
      <c r="AG144" s="101">
        <f t="shared" si="158"/>
        <v>0</v>
      </c>
      <c r="AH144" s="100">
        <v>0</v>
      </c>
      <c r="AI144" s="98">
        <v>0</v>
      </c>
      <c r="AJ144" s="101">
        <f t="shared" si="159"/>
        <v>0</v>
      </c>
      <c r="AK144" s="100">
        <v>0</v>
      </c>
      <c r="AL144" s="98">
        <v>0</v>
      </c>
      <c r="AM144" s="101">
        <f t="shared" si="160"/>
        <v>0</v>
      </c>
      <c r="AN144" s="106"/>
    </row>
    <row r="145" spans="1:40" s="35" customFormat="1" ht="17.100000000000001" customHeight="1">
      <c r="B145" s="105"/>
      <c r="C145" s="54"/>
      <c r="D145" s="96"/>
      <c r="E145" s="111"/>
      <c r="F145" s="112"/>
      <c r="G145" s="113"/>
      <c r="H145" s="100">
        <v>0</v>
      </c>
      <c r="I145" s="98">
        <v>0</v>
      </c>
      <c r="J145" s="101">
        <f t="shared" si="152"/>
        <v>0</v>
      </c>
      <c r="K145" s="100">
        <v>0</v>
      </c>
      <c r="L145" s="98">
        <v>0</v>
      </c>
      <c r="M145" s="101">
        <f t="shared" si="153"/>
        <v>0</v>
      </c>
      <c r="N145" s="100">
        <v>0</v>
      </c>
      <c r="O145" s="98">
        <v>0</v>
      </c>
      <c r="P145" s="101">
        <f t="shared" si="154"/>
        <v>0</v>
      </c>
      <c r="Q145" s="100">
        <v>0</v>
      </c>
      <c r="R145" s="98">
        <v>0</v>
      </c>
      <c r="S145" s="101">
        <f t="shared" si="155"/>
        <v>0</v>
      </c>
      <c r="T145" s="100">
        <v>0</v>
      </c>
      <c r="U145" s="98">
        <v>0</v>
      </c>
      <c r="V145" s="101">
        <f t="shared" si="161"/>
        <v>0</v>
      </c>
      <c r="W145" s="100">
        <v>0</v>
      </c>
      <c r="X145" s="98">
        <v>0</v>
      </c>
      <c r="Y145" s="99">
        <f t="shared" si="156"/>
        <v>0</v>
      </c>
      <c r="Z145" s="101">
        <v>1</v>
      </c>
      <c r="AA145" s="100">
        <v>0</v>
      </c>
      <c r="AB145" s="98">
        <v>0</v>
      </c>
      <c r="AC145" s="99">
        <f t="shared" si="157"/>
        <v>0</v>
      </c>
      <c r="AD145" s="101">
        <v>1</v>
      </c>
      <c r="AE145" s="100">
        <v>0</v>
      </c>
      <c r="AF145" s="98">
        <v>0</v>
      </c>
      <c r="AG145" s="101">
        <f t="shared" si="158"/>
        <v>0</v>
      </c>
      <c r="AH145" s="100">
        <v>0</v>
      </c>
      <c r="AI145" s="98">
        <v>0</v>
      </c>
      <c r="AJ145" s="101">
        <f t="shared" si="159"/>
        <v>0</v>
      </c>
      <c r="AK145" s="100">
        <v>0</v>
      </c>
      <c r="AL145" s="98">
        <v>0</v>
      </c>
      <c r="AM145" s="101">
        <f t="shared" si="160"/>
        <v>0</v>
      </c>
      <c r="AN145" s="106"/>
    </row>
    <row r="146" spans="1:40" s="35" customFormat="1" ht="17.100000000000001" customHeight="1">
      <c r="B146" s="105"/>
      <c r="C146" s="54"/>
      <c r="D146" s="96"/>
      <c r="E146" s="111"/>
      <c r="F146" s="112"/>
      <c r="G146" s="113"/>
      <c r="H146" s="100">
        <v>0</v>
      </c>
      <c r="I146" s="98">
        <v>0</v>
      </c>
      <c r="J146" s="101">
        <f t="shared" si="152"/>
        <v>0</v>
      </c>
      <c r="K146" s="100">
        <v>0</v>
      </c>
      <c r="L146" s="98">
        <v>0</v>
      </c>
      <c r="M146" s="101">
        <f t="shared" si="153"/>
        <v>0</v>
      </c>
      <c r="N146" s="100">
        <v>0</v>
      </c>
      <c r="O146" s="98">
        <v>0</v>
      </c>
      <c r="P146" s="101">
        <f t="shared" si="154"/>
        <v>0</v>
      </c>
      <c r="Q146" s="100">
        <v>0</v>
      </c>
      <c r="R146" s="98">
        <v>0</v>
      </c>
      <c r="S146" s="101">
        <f t="shared" si="155"/>
        <v>0</v>
      </c>
      <c r="T146" s="100">
        <v>0</v>
      </c>
      <c r="U146" s="98">
        <v>0</v>
      </c>
      <c r="V146" s="101">
        <f t="shared" si="161"/>
        <v>0</v>
      </c>
      <c r="W146" s="100">
        <v>0</v>
      </c>
      <c r="X146" s="98">
        <v>0</v>
      </c>
      <c r="Y146" s="99">
        <f t="shared" si="156"/>
        <v>0</v>
      </c>
      <c r="Z146" s="101">
        <v>1</v>
      </c>
      <c r="AA146" s="100">
        <v>0</v>
      </c>
      <c r="AB146" s="98">
        <v>0</v>
      </c>
      <c r="AC146" s="99">
        <f t="shared" si="157"/>
        <v>0</v>
      </c>
      <c r="AD146" s="101">
        <v>1</v>
      </c>
      <c r="AE146" s="100">
        <v>0</v>
      </c>
      <c r="AF146" s="98">
        <v>0</v>
      </c>
      <c r="AG146" s="101">
        <f t="shared" si="158"/>
        <v>0</v>
      </c>
      <c r="AH146" s="100">
        <v>0</v>
      </c>
      <c r="AI146" s="98">
        <v>0</v>
      </c>
      <c r="AJ146" s="101">
        <f t="shared" si="159"/>
        <v>0</v>
      </c>
      <c r="AK146" s="100">
        <v>0</v>
      </c>
      <c r="AL146" s="98">
        <v>0</v>
      </c>
      <c r="AM146" s="101">
        <f t="shared" si="160"/>
        <v>0</v>
      </c>
      <c r="AN146" s="106"/>
    </row>
    <row r="147" spans="1:40" s="35" customFormat="1" ht="17.100000000000001" customHeight="1">
      <c r="B147" s="105"/>
      <c r="C147" s="54"/>
      <c r="D147" s="96"/>
      <c r="E147" s="111"/>
      <c r="F147" s="112"/>
      <c r="G147" s="113"/>
      <c r="H147" s="100">
        <v>0</v>
      </c>
      <c r="I147" s="98">
        <v>0</v>
      </c>
      <c r="J147" s="101">
        <f t="shared" si="152"/>
        <v>0</v>
      </c>
      <c r="K147" s="100">
        <v>0</v>
      </c>
      <c r="L147" s="98">
        <v>0</v>
      </c>
      <c r="M147" s="101">
        <f t="shared" si="153"/>
        <v>0</v>
      </c>
      <c r="N147" s="100">
        <v>0</v>
      </c>
      <c r="O147" s="98">
        <v>0</v>
      </c>
      <c r="P147" s="101">
        <f t="shared" si="154"/>
        <v>0</v>
      </c>
      <c r="Q147" s="100">
        <v>0</v>
      </c>
      <c r="R147" s="98">
        <v>0</v>
      </c>
      <c r="S147" s="101">
        <f t="shared" si="155"/>
        <v>0</v>
      </c>
      <c r="T147" s="100">
        <v>0</v>
      </c>
      <c r="U147" s="98">
        <v>0</v>
      </c>
      <c r="V147" s="101">
        <f t="shared" si="161"/>
        <v>0</v>
      </c>
      <c r="W147" s="100">
        <v>0</v>
      </c>
      <c r="X147" s="98">
        <v>0</v>
      </c>
      <c r="Y147" s="99">
        <f t="shared" si="156"/>
        <v>0</v>
      </c>
      <c r="Z147" s="101">
        <v>1</v>
      </c>
      <c r="AA147" s="100">
        <v>0</v>
      </c>
      <c r="AB147" s="98">
        <v>0</v>
      </c>
      <c r="AC147" s="99">
        <f t="shared" si="157"/>
        <v>0</v>
      </c>
      <c r="AD147" s="101">
        <v>1</v>
      </c>
      <c r="AE147" s="100">
        <v>0</v>
      </c>
      <c r="AF147" s="98">
        <v>0</v>
      </c>
      <c r="AG147" s="101">
        <f t="shared" si="158"/>
        <v>0</v>
      </c>
      <c r="AH147" s="100">
        <v>0</v>
      </c>
      <c r="AI147" s="98">
        <v>0</v>
      </c>
      <c r="AJ147" s="101">
        <f t="shared" si="159"/>
        <v>0</v>
      </c>
      <c r="AK147" s="100">
        <v>0</v>
      </c>
      <c r="AL147" s="98">
        <v>0</v>
      </c>
      <c r="AM147" s="101">
        <f t="shared" si="160"/>
        <v>0</v>
      </c>
      <c r="AN147" s="106"/>
    </row>
    <row r="148" spans="1:40" s="126" customFormat="1" ht="17.100000000000001" customHeight="1">
      <c r="B148" s="118"/>
      <c r="C148" s="119"/>
      <c r="D148" s="120"/>
      <c r="E148" s="121"/>
      <c r="F148" s="122"/>
      <c r="G148" s="123"/>
      <c r="H148" s="341" t="s">
        <v>201</v>
      </c>
      <c r="I148" s="342"/>
      <c r="J148" s="124">
        <f>SUM(J141:J147)</f>
        <v>0</v>
      </c>
      <c r="K148" s="341" t="s">
        <v>201</v>
      </c>
      <c r="L148" s="342"/>
      <c r="M148" s="124">
        <f>SUM(M141:M147)</f>
        <v>0</v>
      </c>
      <c r="N148" s="341" t="s">
        <v>201</v>
      </c>
      <c r="O148" s="342"/>
      <c r="P148" s="124">
        <f>SUM(P141:P147)</f>
        <v>450</v>
      </c>
      <c r="Q148" s="341" t="s">
        <v>201</v>
      </c>
      <c r="R148" s="342"/>
      <c r="S148" s="124">
        <f>SUM(S141:S147)</f>
        <v>0</v>
      </c>
      <c r="T148" s="341" t="s">
        <v>201</v>
      </c>
      <c r="U148" s="342"/>
      <c r="V148" s="124">
        <f>SUM(V141:V147)</f>
        <v>0</v>
      </c>
      <c r="W148" s="341" t="s">
        <v>201</v>
      </c>
      <c r="X148" s="342"/>
      <c r="Y148" s="127">
        <f>SUM(Y141:Y147)</f>
        <v>0</v>
      </c>
      <c r="Z148" s="101">
        <v>2</v>
      </c>
      <c r="AA148" s="341" t="s">
        <v>201</v>
      </c>
      <c r="AB148" s="342"/>
      <c r="AC148" s="127">
        <f>SUM(AC141:AC147)</f>
        <v>0</v>
      </c>
      <c r="AD148" s="101">
        <v>2</v>
      </c>
      <c r="AE148" s="341" t="s">
        <v>201</v>
      </c>
      <c r="AF148" s="342"/>
      <c r="AG148" s="124">
        <f>SUM(AG141:AG147)</f>
        <v>0</v>
      </c>
      <c r="AH148" s="341" t="s">
        <v>201</v>
      </c>
      <c r="AI148" s="342"/>
      <c r="AJ148" s="124">
        <f>SUM(AJ141:AJ147)</f>
        <v>0</v>
      </c>
      <c r="AK148" s="341" t="s">
        <v>201</v>
      </c>
      <c r="AL148" s="342"/>
      <c r="AM148" s="124">
        <f>SUM(AM141:AM147)</f>
        <v>0</v>
      </c>
      <c r="AN148" s="125"/>
    </row>
    <row r="149" spans="1:40" s="35" customFormat="1" ht="17.100000000000001" customHeight="1">
      <c r="B149" s="309"/>
      <c r="C149" s="305">
        <f>'1. Rekap Back Up Aspal'!C37</f>
        <v>24800</v>
      </c>
      <c r="D149" s="306">
        <f>'1. Rekap Back Up Aspal'!D37</f>
        <v>24900</v>
      </c>
      <c r="E149" s="307">
        <f>'1. Rekap Back Up Aspal'!E37</f>
        <v>4.5</v>
      </c>
      <c r="F149" s="112">
        <f>(100/((D149-C149)*E149))*((J156*0.5)+(M156*0.5)+(P156*4)+(S156*4)+(V156*1)+(Y156*2)+(AC156*1.5)+(AG156*1)+(AJ156*1)+(AM156*1))</f>
        <v>400</v>
      </c>
      <c r="G149" s="113" t="str">
        <f>IF(F149&lt;=25,"B",IF(F149&lt;=75,"S",IF(F149&lt;=100,"RR","RB")))</f>
        <v>RB</v>
      </c>
      <c r="H149" s="100">
        <v>0</v>
      </c>
      <c r="I149" s="98">
        <v>0</v>
      </c>
      <c r="J149" s="101">
        <f t="shared" ref="J149:J155" si="162">H149*I149</f>
        <v>0</v>
      </c>
      <c r="K149" s="100">
        <v>0</v>
      </c>
      <c r="L149" s="98">
        <v>3</v>
      </c>
      <c r="M149" s="101">
        <f t="shared" ref="M149:M155" si="163">K149*L149</f>
        <v>0</v>
      </c>
      <c r="N149" s="100">
        <v>100</v>
      </c>
      <c r="O149" s="98">
        <v>4.5</v>
      </c>
      <c r="P149" s="304">
        <f t="shared" ref="P149:P155" si="164">N149*O149</f>
        <v>450</v>
      </c>
      <c r="Q149" s="100">
        <v>0</v>
      </c>
      <c r="R149" s="98">
        <v>0</v>
      </c>
      <c r="S149" s="101">
        <f t="shared" ref="S149:S155" si="165">Q149*R149</f>
        <v>0</v>
      </c>
      <c r="T149" s="100">
        <v>0</v>
      </c>
      <c r="U149" s="98">
        <v>0</v>
      </c>
      <c r="V149" s="101">
        <f>T149*U149</f>
        <v>0</v>
      </c>
      <c r="W149" s="100">
        <v>0</v>
      </c>
      <c r="X149" s="98">
        <v>0</v>
      </c>
      <c r="Y149" s="99">
        <f t="shared" ref="Y149:Y155" si="166">W149*X149</f>
        <v>0</v>
      </c>
      <c r="Z149" s="101">
        <v>2</v>
      </c>
      <c r="AA149" s="100">
        <v>0</v>
      </c>
      <c r="AB149" s="98">
        <v>0</v>
      </c>
      <c r="AC149" s="99">
        <f t="shared" ref="AC149:AC155" si="167">AA149*AB149</f>
        <v>0</v>
      </c>
      <c r="AD149" s="101">
        <v>3</v>
      </c>
      <c r="AE149" s="100">
        <v>0</v>
      </c>
      <c r="AF149" s="98">
        <v>0</v>
      </c>
      <c r="AG149" s="101">
        <f t="shared" ref="AG149:AG155" si="168">AE149*AF149</f>
        <v>0</v>
      </c>
      <c r="AH149" s="100">
        <v>0</v>
      </c>
      <c r="AI149" s="98">
        <v>0</v>
      </c>
      <c r="AJ149" s="101">
        <f t="shared" ref="AJ149:AJ155" si="169">AH149*AI149</f>
        <v>0</v>
      </c>
      <c r="AK149" s="100">
        <v>0</v>
      </c>
      <c r="AL149" s="98">
        <v>0</v>
      </c>
      <c r="AM149" s="101">
        <f t="shared" ref="AM149:AM155" si="170">AK149*AL149</f>
        <v>0</v>
      </c>
      <c r="AN149" s="106"/>
    </row>
    <row r="150" spans="1:40" s="35" customFormat="1" ht="17.100000000000001" customHeight="1">
      <c r="B150" s="105"/>
      <c r="C150" s="54"/>
      <c r="D150" s="96"/>
      <c r="E150" s="111"/>
      <c r="F150" s="112"/>
      <c r="G150" s="113"/>
      <c r="H150" s="100">
        <v>0</v>
      </c>
      <c r="I150" s="98">
        <v>0</v>
      </c>
      <c r="J150" s="101">
        <f t="shared" si="162"/>
        <v>0</v>
      </c>
      <c r="K150" s="100">
        <v>0</v>
      </c>
      <c r="L150" s="98">
        <v>0</v>
      </c>
      <c r="M150" s="101">
        <f t="shared" si="163"/>
        <v>0</v>
      </c>
      <c r="N150" s="100">
        <v>0</v>
      </c>
      <c r="O150" s="98">
        <v>0</v>
      </c>
      <c r="P150" s="101">
        <f t="shared" si="164"/>
        <v>0</v>
      </c>
      <c r="Q150" s="100">
        <v>0</v>
      </c>
      <c r="R150" s="98">
        <v>0</v>
      </c>
      <c r="S150" s="101">
        <f t="shared" si="165"/>
        <v>0</v>
      </c>
      <c r="T150" s="100">
        <v>0</v>
      </c>
      <c r="U150" s="98">
        <v>0</v>
      </c>
      <c r="V150" s="101">
        <f t="shared" ref="V150:V155" si="171">T150*U150</f>
        <v>0</v>
      </c>
      <c r="W150" s="100">
        <v>0</v>
      </c>
      <c r="X150" s="98">
        <v>0</v>
      </c>
      <c r="Y150" s="99">
        <f t="shared" si="166"/>
        <v>0</v>
      </c>
      <c r="Z150" s="101">
        <v>3</v>
      </c>
      <c r="AA150" s="100">
        <v>0</v>
      </c>
      <c r="AB150" s="98">
        <v>0</v>
      </c>
      <c r="AC150" s="99">
        <f t="shared" si="167"/>
        <v>0</v>
      </c>
      <c r="AD150" s="101">
        <v>1</v>
      </c>
      <c r="AE150" s="100">
        <v>0</v>
      </c>
      <c r="AF150" s="98">
        <v>0</v>
      </c>
      <c r="AG150" s="101">
        <f t="shared" si="168"/>
        <v>0</v>
      </c>
      <c r="AH150" s="100">
        <v>0</v>
      </c>
      <c r="AI150" s="98">
        <v>0</v>
      </c>
      <c r="AJ150" s="101">
        <f t="shared" si="169"/>
        <v>0</v>
      </c>
      <c r="AK150" s="100">
        <v>0</v>
      </c>
      <c r="AL150" s="98">
        <v>0</v>
      </c>
      <c r="AM150" s="101">
        <f t="shared" si="170"/>
        <v>0</v>
      </c>
      <c r="AN150" s="106"/>
    </row>
    <row r="151" spans="1:40" s="35" customFormat="1" ht="17.100000000000001" customHeight="1">
      <c r="B151" s="105"/>
      <c r="C151" s="54"/>
      <c r="D151" s="96"/>
      <c r="E151" s="111"/>
      <c r="F151" s="112"/>
      <c r="G151" s="113"/>
      <c r="H151" s="100">
        <v>0</v>
      </c>
      <c r="I151" s="98">
        <v>0</v>
      </c>
      <c r="J151" s="101">
        <f t="shared" si="162"/>
        <v>0</v>
      </c>
      <c r="K151" s="100">
        <v>0</v>
      </c>
      <c r="L151" s="98">
        <v>0</v>
      </c>
      <c r="M151" s="101">
        <f t="shared" si="163"/>
        <v>0</v>
      </c>
      <c r="N151" s="100">
        <v>0</v>
      </c>
      <c r="O151" s="98">
        <v>0</v>
      </c>
      <c r="P151" s="101">
        <f t="shared" si="164"/>
        <v>0</v>
      </c>
      <c r="Q151" s="100">
        <v>0</v>
      </c>
      <c r="R151" s="98">
        <v>0</v>
      </c>
      <c r="S151" s="101">
        <f t="shared" si="165"/>
        <v>0</v>
      </c>
      <c r="T151" s="100">
        <v>0</v>
      </c>
      <c r="U151" s="98">
        <v>0</v>
      </c>
      <c r="V151" s="101">
        <f t="shared" si="171"/>
        <v>0</v>
      </c>
      <c r="W151" s="100">
        <v>0</v>
      </c>
      <c r="X151" s="98">
        <v>0</v>
      </c>
      <c r="Y151" s="99">
        <f t="shared" si="166"/>
        <v>0</v>
      </c>
      <c r="Z151" s="101">
        <v>1</v>
      </c>
      <c r="AA151" s="100">
        <v>0</v>
      </c>
      <c r="AB151" s="98">
        <v>0</v>
      </c>
      <c r="AC151" s="99">
        <f t="shared" si="167"/>
        <v>0</v>
      </c>
      <c r="AD151" s="101">
        <v>1</v>
      </c>
      <c r="AE151" s="100">
        <v>0</v>
      </c>
      <c r="AF151" s="98">
        <v>0</v>
      </c>
      <c r="AG151" s="101">
        <f t="shared" si="168"/>
        <v>0</v>
      </c>
      <c r="AH151" s="100">
        <v>0</v>
      </c>
      <c r="AI151" s="98">
        <v>0</v>
      </c>
      <c r="AJ151" s="101">
        <f t="shared" si="169"/>
        <v>0</v>
      </c>
      <c r="AK151" s="100">
        <v>0</v>
      </c>
      <c r="AL151" s="98">
        <v>0</v>
      </c>
      <c r="AM151" s="101">
        <f t="shared" si="170"/>
        <v>0</v>
      </c>
      <c r="AN151" s="106"/>
    </row>
    <row r="152" spans="1:40" s="35" customFormat="1" ht="17.100000000000001" customHeight="1">
      <c r="B152" s="105"/>
      <c r="C152" s="54"/>
      <c r="D152" s="96"/>
      <c r="E152" s="111"/>
      <c r="F152" s="112"/>
      <c r="G152" s="113"/>
      <c r="H152" s="100">
        <v>0</v>
      </c>
      <c r="I152" s="98">
        <v>0</v>
      </c>
      <c r="J152" s="101">
        <f t="shared" si="162"/>
        <v>0</v>
      </c>
      <c r="K152" s="100">
        <v>0</v>
      </c>
      <c r="L152" s="98">
        <v>0</v>
      </c>
      <c r="M152" s="101">
        <f t="shared" si="163"/>
        <v>0</v>
      </c>
      <c r="N152" s="100">
        <v>0</v>
      </c>
      <c r="O152" s="98">
        <v>0</v>
      </c>
      <c r="P152" s="101">
        <f t="shared" si="164"/>
        <v>0</v>
      </c>
      <c r="Q152" s="100">
        <v>0</v>
      </c>
      <c r="R152" s="98">
        <v>0</v>
      </c>
      <c r="S152" s="101">
        <f t="shared" si="165"/>
        <v>0</v>
      </c>
      <c r="T152" s="100">
        <v>0</v>
      </c>
      <c r="U152" s="98">
        <v>0</v>
      </c>
      <c r="V152" s="101">
        <f t="shared" si="171"/>
        <v>0</v>
      </c>
      <c r="W152" s="100">
        <v>0</v>
      </c>
      <c r="X152" s="98">
        <v>0</v>
      </c>
      <c r="Y152" s="99">
        <f t="shared" si="166"/>
        <v>0</v>
      </c>
      <c r="Z152" s="101">
        <v>1</v>
      </c>
      <c r="AA152" s="100">
        <v>0</v>
      </c>
      <c r="AB152" s="98">
        <v>0</v>
      </c>
      <c r="AC152" s="99">
        <f t="shared" si="167"/>
        <v>0</v>
      </c>
      <c r="AD152" s="101">
        <v>1</v>
      </c>
      <c r="AE152" s="100">
        <v>0</v>
      </c>
      <c r="AF152" s="98">
        <v>0</v>
      </c>
      <c r="AG152" s="101">
        <f t="shared" si="168"/>
        <v>0</v>
      </c>
      <c r="AH152" s="100">
        <v>0</v>
      </c>
      <c r="AI152" s="98">
        <v>0</v>
      </c>
      <c r="AJ152" s="101">
        <f t="shared" si="169"/>
        <v>0</v>
      </c>
      <c r="AK152" s="100">
        <v>0</v>
      </c>
      <c r="AL152" s="98">
        <v>0</v>
      </c>
      <c r="AM152" s="101">
        <f t="shared" si="170"/>
        <v>0</v>
      </c>
      <c r="AN152" s="106"/>
    </row>
    <row r="153" spans="1:40" s="35" customFormat="1" ht="17.100000000000001" customHeight="1">
      <c r="B153" s="105"/>
      <c r="C153" s="54"/>
      <c r="D153" s="96"/>
      <c r="E153" s="111"/>
      <c r="F153" s="112"/>
      <c r="G153" s="113"/>
      <c r="H153" s="100">
        <v>0</v>
      </c>
      <c r="I153" s="98">
        <v>0</v>
      </c>
      <c r="J153" s="101">
        <f t="shared" si="162"/>
        <v>0</v>
      </c>
      <c r="K153" s="100">
        <v>0</v>
      </c>
      <c r="L153" s="98">
        <v>0</v>
      </c>
      <c r="M153" s="101">
        <f t="shared" si="163"/>
        <v>0</v>
      </c>
      <c r="N153" s="100">
        <v>0</v>
      </c>
      <c r="O153" s="98">
        <v>0</v>
      </c>
      <c r="P153" s="101">
        <f t="shared" si="164"/>
        <v>0</v>
      </c>
      <c r="Q153" s="100">
        <v>0</v>
      </c>
      <c r="R153" s="98">
        <v>0</v>
      </c>
      <c r="S153" s="101">
        <f t="shared" si="165"/>
        <v>0</v>
      </c>
      <c r="T153" s="100">
        <v>0</v>
      </c>
      <c r="U153" s="98">
        <v>0</v>
      </c>
      <c r="V153" s="101">
        <f t="shared" si="171"/>
        <v>0</v>
      </c>
      <c r="W153" s="100">
        <v>0</v>
      </c>
      <c r="X153" s="98">
        <v>0</v>
      </c>
      <c r="Y153" s="99">
        <f t="shared" si="166"/>
        <v>0</v>
      </c>
      <c r="Z153" s="101">
        <v>1</v>
      </c>
      <c r="AA153" s="100">
        <v>0</v>
      </c>
      <c r="AB153" s="98">
        <v>0</v>
      </c>
      <c r="AC153" s="99">
        <f t="shared" si="167"/>
        <v>0</v>
      </c>
      <c r="AD153" s="101">
        <v>1</v>
      </c>
      <c r="AE153" s="100">
        <v>0</v>
      </c>
      <c r="AF153" s="98">
        <v>0</v>
      </c>
      <c r="AG153" s="101">
        <f t="shared" si="168"/>
        <v>0</v>
      </c>
      <c r="AH153" s="100">
        <v>0</v>
      </c>
      <c r="AI153" s="98">
        <v>0</v>
      </c>
      <c r="AJ153" s="101">
        <f t="shared" si="169"/>
        <v>0</v>
      </c>
      <c r="AK153" s="100">
        <v>0</v>
      </c>
      <c r="AL153" s="98">
        <v>0</v>
      </c>
      <c r="AM153" s="101">
        <f t="shared" si="170"/>
        <v>0</v>
      </c>
      <c r="AN153" s="106"/>
    </row>
    <row r="154" spans="1:40" s="35" customFormat="1" ht="17.100000000000001" customHeight="1">
      <c r="B154" s="105"/>
      <c r="C154" s="54"/>
      <c r="D154" s="96"/>
      <c r="E154" s="111"/>
      <c r="F154" s="112"/>
      <c r="G154" s="113"/>
      <c r="H154" s="100">
        <v>0</v>
      </c>
      <c r="I154" s="98">
        <v>0</v>
      </c>
      <c r="J154" s="101">
        <f t="shared" si="162"/>
        <v>0</v>
      </c>
      <c r="K154" s="100">
        <v>0</v>
      </c>
      <c r="L154" s="98">
        <v>0</v>
      </c>
      <c r="M154" s="101">
        <f t="shared" si="163"/>
        <v>0</v>
      </c>
      <c r="N154" s="100">
        <v>0</v>
      </c>
      <c r="O154" s="98">
        <v>0</v>
      </c>
      <c r="P154" s="101">
        <f t="shared" si="164"/>
        <v>0</v>
      </c>
      <c r="Q154" s="100">
        <v>0</v>
      </c>
      <c r="R154" s="98">
        <v>0</v>
      </c>
      <c r="S154" s="101">
        <f t="shared" si="165"/>
        <v>0</v>
      </c>
      <c r="T154" s="100">
        <v>0</v>
      </c>
      <c r="U154" s="98">
        <v>0</v>
      </c>
      <c r="V154" s="101">
        <f t="shared" si="171"/>
        <v>0</v>
      </c>
      <c r="W154" s="100">
        <v>0</v>
      </c>
      <c r="X154" s="98">
        <v>0</v>
      </c>
      <c r="Y154" s="99">
        <f t="shared" si="166"/>
        <v>0</v>
      </c>
      <c r="Z154" s="101">
        <v>1</v>
      </c>
      <c r="AA154" s="100">
        <v>0</v>
      </c>
      <c r="AB154" s="98">
        <v>0</v>
      </c>
      <c r="AC154" s="99">
        <f t="shared" si="167"/>
        <v>0</v>
      </c>
      <c r="AD154" s="101">
        <v>1</v>
      </c>
      <c r="AE154" s="100">
        <v>0</v>
      </c>
      <c r="AF154" s="98">
        <v>0</v>
      </c>
      <c r="AG154" s="101">
        <f t="shared" si="168"/>
        <v>0</v>
      </c>
      <c r="AH154" s="100">
        <v>0</v>
      </c>
      <c r="AI154" s="98">
        <v>0</v>
      </c>
      <c r="AJ154" s="101">
        <f t="shared" si="169"/>
        <v>0</v>
      </c>
      <c r="AK154" s="100">
        <v>0</v>
      </c>
      <c r="AL154" s="98">
        <v>0</v>
      </c>
      <c r="AM154" s="101">
        <f t="shared" si="170"/>
        <v>0</v>
      </c>
      <c r="AN154" s="106"/>
    </row>
    <row r="155" spans="1:40" s="35" customFormat="1" ht="17.100000000000001" customHeight="1">
      <c r="B155" s="105"/>
      <c r="C155" s="54"/>
      <c r="D155" s="96"/>
      <c r="E155" s="111"/>
      <c r="F155" s="112"/>
      <c r="G155" s="113"/>
      <c r="H155" s="100">
        <v>0</v>
      </c>
      <c r="I155" s="98">
        <v>0</v>
      </c>
      <c r="J155" s="101">
        <f t="shared" si="162"/>
        <v>0</v>
      </c>
      <c r="K155" s="100">
        <v>0</v>
      </c>
      <c r="L155" s="98">
        <v>0</v>
      </c>
      <c r="M155" s="101">
        <f t="shared" si="163"/>
        <v>0</v>
      </c>
      <c r="N155" s="100">
        <v>0</v>
      </c>
      <c r="O155" s="98">
        <v>0</v>
      </c>
      <c r="P155" s="101">
        <f t="shared" si="164"/>
        <v>0</v>
      </c>
      <c r="Q155" s="100">
        <v>0</v>
      </c>
      <c r="R155" s="98">
        <v>0</v>
      </c>
      <c r="S155" s="101">
        <f t="shared" si="165"/>
        <v>0</v>
      </c>
      <c r="T155" s="100">
        <v>0</v>
      </c>
      <c r="U155" s="98">
        <v>0</v>
      </c>
      <c r="V155" s="101">
        <f t="shared" si="171"/>
        <v>0</v>
      </c>
      <c r="W155" s="100">
        <v>0</v>
      </c>
      <c r="X155" s="98">
        <v>0</v>
      </c>
      <c r="Y155" s="99">
        <f t="shared" si="166"/>
        <v>0</v>
      </c>
      <c r="Z155" s="101">
        <v>1</v>
      </c>
      <c r="AA155" s="100">
        <v>0</v>
      </c>
      <c r="AB155" s="98">
        <v>0</v>
      </c>
      <c r="AC155" s="99">
        <f t="shared" si="167"/>
        <v>0</v>
      </c>
      <c r="AD155" s="101">
        <v>1</v>
      </c>
      <c r="AE155" s="100">
        <v>0</v>
      </c>
      <c r="AF155" s="98">
        <v>0</v>
      </c>
      <c r="AG155" s="101">
        <f t="shared" si="168"/>
        <v>0</v>
      </c>
      <c r="AH155" s="100">
        <v>0</v>
      </c>
      <c r="AI155" s="98">
        <v>0</v>
      </c>
      <c r="AJ155" s="101">
        <f t="shared" si="169"/>
        <v>0</v>
      </c>
      <c r="AK155" s="100">
        <v>0</v>
      </c>
      <c r="AL155" s="98">
        <v>0</v>
      </c>
      <c r="AM155" s="101">
        <f t="shared" si="170"/>
        <v>0</v>
      </c>
      <c r="AN155" s="106"/>
    </row>
    <row r="156" spans="1:40" s="126" customFormat="1" ht="17.100000000000001" customHeight="1">
      <c r="B156" s="118"/>
      <c r="C156" s="119"/>
      <c r="D156" s="120"/>
      <c r="E156" s="121"/>
      <c r="F156" s="122"/>
      <c r="G156" s="123"/>
      <c r="H156" s="341" t="s">
        <v>201</v>
      </c>
      <c r="I156" s="342"/>
      <c r="J156" s="124">
        <f>SUM(J149:J155)</f>
        <v>0</v>
      </c>
      <c r="K156" s="341" t="s">
        <v>201</v>
      </c>
      <c r="L156" s="342"/>
      <c r="M156" s="124">
        <f>SUM(M149:M155)</f>
        <v>0</v>
      </c>
      <c r="N156" s="341" t="s">
        <v>201</v>
      </c>
      <c r="O156" s="342"/>
      <c r="P156" s="124">
        <f>SUM(P149:P155)</f>
        <v>450</v>
      </c>
      <c r="Q156" s="341" t="s">
        <v>201</v>
      </c>
      <c r="R156" s="342"/>
      <c r="S156" s="124">
        <f>SUM(S149:S155)</f>
        <v>0</v>
      </c>
      <c r="T156" s="341" t="s">
        <v>201</v>
      </c>
      <c r="U156" s="342"/>
      <c r="V156" s="124">
        <f>SUM(V149:V155)</f>
        <v>0</v>
      </c>
      <c r="W156" s="341" t="s">
        <v>201</v>
      </c>
      <c r="X156" s="342"/>
      <c r="Y156" s="127">
        <f>SUM(Y149:Y155)</f>
        <v>0</v>
      </c>
      <c r="Z156" s="101">
        <v>2</v>
      </c>
      <c r="AA156" s="341" t="s">
        <v>201</v>
      </c>
      <c r="AB156" s="342"/>
      <c r="AC156" s="127">
        <f>SUM(AC149:AC155)</f>
        <v>0</v>
      </c>
      <c r="AD156" s="101">
        <v>2</v>
      </c>
      <c r="AE156" s="341" t="s">
        <v>201</v>
      </c>
      <c r="AF156" s="342"/>
      <c r="AG156" s="124">
        <f>SUM(AG149:AG155)</f>
        <v>0</v>
      </c>
      <c r="AH156" s="341" t="s">
        <v>201</v>
      </c>
      <c r="AI156" s="342"/>
      <c r="AJ156" s="124">
        <f>SUM(AJ149:AJ155)</f>
        <v>0</v>
      </c>
      <c r="AK156" s="341" t="s">
        <v>201</v>
      </c>
      <c r="AL156" s="342"/>
      <c r="AM156" s="124">
        <f>SUM(AM149:AM155)</f>
        <v>0</v>
      </c>
      <c r="AN156" s="125"/>
    </row>
    <row r="157" spans="1:40" s="35" customFormat="1" ht="17.100000000000001" customHeight="1">
      <c r="A157" s="310"/>
      <c r="B157" s="309"/>
      <c r="C157" s="305">
        <f>'1. Rekap Back Up Aspal'!C38</f>
        <v>24900</v>
      </c>
      <c r="D157" s="306">
        <f>'1. Rekap Back Up Aspal'!D38</f>
        <v>25000</v>
      </c>
      <c r="E157" s="307">
        <f>'1. Rekap Back Up Aspal'!E38</f>
        <v>4.5</v>
      </c>
      <c r="F157" s="112">
        <f>(100/((D157-C157)*E157))*((J164*0.5)+(M164*0.5)+(P164*4)+(S164*4)+(V164*1)+(Y164*2)+(AC164*1.5)+(AG164*1)+(AJ164*1)+(AM164*1))</f>
        <v>400</v>
      </c>
      <c r="G157" s="113" t="str">
        <f>IF(F157&lt;=25,"B",IF(F157&lt;=75,"S",IF(F157&lt;=100,"RR","RB")))</f>
        <v>RB</v>
      </c>
      <c r="H157" s="100">
        <v>0</v>
      </c>
      <c r="I157" s="98">
        <v>0</v>
      </c>
      <c r="J157" s="101">
        <f t="shared" ref="J157:J163" si="172">H157*I157</f>
        <v>0</v>
      </c>
      <c r="K157" s="100">
        <v>0</v>
      </c>
      <c r="L157" s="98">
        <v>3</v>
      </c>
      <c r="M157" s="101">
        <f t="shared" ref="M157:M163" si="173">K157*L157</f>
        <v>0</v>
      </c>
      <c r="N157" s="100">
        <v>100</v>
      </c>
      <c r="O157" s="98">
        <v>4.5</v>
      </c>
      <c r="P157" s="304">
        <f t="shared" ref="P157:P163" si="174">N157*O157</f>
        <v>450</v>
      </c>
      <c r="Q157" s="100">
        <v>0</v>
      </c>
      <c r="R157" s="98">
        <v>0</v>
      </c>
      <c r="S157" s="101">
        <f t="shared" ref="S157:S163" si="175">Q157*R157</f>
        <v>0</v>
      </c>
      <c r="T157" s="100">
        <v>0</v>
      </c>
      <c r="U157" s="98">
        <v>0</v>
      </c>
      <c r="V157" s="101">
        <f>T157*U157</f>
        <v>0</v>
      </c>
      <c r="W157" s="100">
        <v>0</v>
      </c>
      <c r="X157" s="98">
        <v>0</v>
      </c>
      <c r="Y157" s="99">
        <f t="shared" ref="Y157:Y163" si="176">W157*X157</f>
        <v>0</v>
      </c>
      <c r="Z157" s="101">
        <v>2</v>
      </c>
      <c r="AA157" s="100">
        <v>0</v>
      </c>
      <c r="AB157" s="98">
        <v>0</v>
      </c>
      <c r="AC157" s="99">
        <f t="shared" ref="AC157:AC163" si="177">AA157*AB157</f>
        <v>0</v>
      </c>
      <c r="AD157" s="101">
        <v>3</v>
      </c>
      <c r="AE157" s="100">
        <v>0</v>
      </c>
      <c r="AF157" s="98">
        <v>0</v>
      </c>
      <c r="AG157" s="101">
        <f t="shared" ref="AG157:AG163" si="178">AE157*AF157</f>
        <v>0</v>
      </c>
      <c r="AH157" s="100">
        <v>0</v>
      </c>
      <c r="AI157" s="98">
        <v>0</v>
      </c>
      <c r="AJ157" s="101">
        <f t="shared" ref="AJ157:AJ163" si="179">AH157*AI157</f>
        <v>0</v>
      </c>
      <c r="AK157" s="100">
        <v>0</v>
      </c>
      <c r="AL157" s="98">
        <v>0</v>
      </c>
      <c r="AM157" s="101">
        <f t="shared" ref="AM157:AM163" si="180">AK157*AL157</f>
        <v>0</v>
      </c>
      <c r="AN157" s="106"/>
    </row>
    <row r="158" spans="1:40" s="35" customFormat="1" ht="17.100000000000001" customHeight="1">
      <c r="B158" s="105"/>
      <c r="C158" s="54"/>
      <c r="D158" s="96"/>
      <c r="E158" s="111"/>
      <c r="F158" s="112"/>
      <c r="G158" s="113"/>
      <c r="H158" s="100">
        <v>0</v>
      </c>
      <c r="I158" s="98">
        <v>0</v>
      </c>
      <c r="J158" s="101">
        <f t="shared" si="172"/>
        <v>0</v>
      </c>
      <c r="K158" s="100">
        <v>0</v>
      </c>
      <c r="L158" s="98">
        <v>0</v>
      </c>
      <c r="M158" s="101">
        <f t="shared" si="173"/>
        <v>0</v>
      </c>
      <c r="N158" s="100">
        <v>0</v>
      </c>
      <c r="O158" s="98">
        <v>0</v>
      </c>
      <c r="P158" s="101">
        <f t="shared" si="174"/>
        <v>0</v>
      </c>
      <c r="Q158" s="100">
        <v>0</v>
      </c>
      <c r="R158" s="98">
        <v>0</v>
      </c>
      <c r="S158" s="101">
        <f t="shared" si="175"/>
        <v>0</v>
      </c>
      <c r="T158" s="100">
        <v>0</v>
      </c>
      <c r="U158" s="98">
        <v>0</v>
      </c>
      <c r="V158" s="101">
        <f t="shared" ref="V158:V163" si="181">T158*U158</f>
        <v>0</v>
      </c>
      <c r="W158" s="100">
        <v>0</v>
      </c>
      <c r="X158" s="98">
        <v>0</v>
      </c>
      <c r="Y158" s="99">
        <f t="shared" si="176"/>
        <v>0</v>
      </c>
      <c r="Z158" s="101">
        <v>3</v>
      </c>
      <c r="AA158" s="100">
        <v>0</v>
      </c>
      <c r="AB158" s="98">
        <v>0</v>
      </c>
      <c r="AC158" s="99">
        <f t="shared" si="177"/>
        <v>0</v>
      </c>
      <c r="AD158" s="101">
        <v>1</v>
      </c>
      <c r="AE158" s="100">
        <v>0</v>
      </c>
      <c r="AF158" s="98">
        <v>0</v>
      </c>
      <c r="AG158" s="101">
        <f t="shared" si="178"/>
        <v>0</v>
      </c>
      <c r="AH158" s="100">
        <v>0</v>
      </c>
      <c r="AI158" s="98">
        <v>0</v>
      </c>
      <c r="AJ158" s="101">
        <f t="shared" si="179"/>
        <v>0</v>
      </c>
      <c r="AK158" s="100">
        <v>0</v>
      </c>
      <c r="AL158" s="98">
        <v>0</v>
      </c>
      <c r="AM158" s="101">
        <f t="shared" si="180"/>
        <v>0</v>
      </c>
      <c r="AN158" s="106"/>
    </row>
    <row r="159" spans="1:40" s="35" customFormat="1" ht="17.100000000000001" customHeight="1">
      <c r="B159" s="105"/>
      <c r="C159" s="54"/>
      <c r="D159" s="96"/>
      <c r="E159" s="111"/>
      <c r="F159" s="112"/>
      <c r="G159" s="113"/>
      <c r="H159" s="100">
        <v>0</v>
      </c>
      <c r="I159" s="98">
        <v>0</v>
      </c>
      <c r="J159" s="101">
        <f t="shared" si="172"/>
        <v>0</v>
      </c>
      <c r="K159" s="100">
        <v>0</v>
      </c>
      <c r="L159" s="98">
        <v>0</v>
      </c>
      <c r="M159" s="101">
        <f t="shared" si="173"/>
        <v>0</v>
      </c>
      <c r="N159" s="100">
        <v>0</v>
      </c>
      <c r="O159" s="98">
        <v>0</v>
      </c>
      <c r="P159" s="101">
        <f t="shared" si="174"/>
        <v>0</v>
      </c>
      <c r="Q159" s="100">
        <v>0</v>
      </c>
      <c r="R159" s="98">
        <v>0</v>
      </c>
      <c r="S159" s="101">
        <f t="shared" si="175"/>
        <v>0</v>
      </c>
      <c r="T159" s="100">
        <v>0</v>
      </c>
      <c r="U159" s="98">
        <v>0</v>
      </c>
      <c r="V159" s="101">
        <f t="shared" si="181"/>
        <v>0</v>
      </c>
      <c r="W159" s="100">
        <v>0</v>
      </c>
      <c r="X159" s="98">
        <v>0</v>
      </c>
      <c r="Y159" s="99">
        <f t="shared" si="176"/>
        <v>0</v>
      </c>
      <c r="Z159" s="101">
        <v>1</v>
      </c>
      <c r="AA159" s="100">
        <v>0</v>
      </c>
      <c r="AB159" s="98">
        <v>0</v>
      </c>
      <c r="AC159" s="99">
        <f t="shared" si="177"/>
        <v>0</v>
      </c>
      <c r="AD159" s="101">
        <v>1</v>
      </c>
      <c r="AE159" s="100">
        <v>0</v>
      </c>
      <c r="AF159" s="98">
        <v>0</v>
      </c>
      <c r="AG159" s="101">
        <f t="shared" si="178"/>
        <v>0</v>
      </c>
      <c r="AH159" s="100">
        <v>0</v>
      </c>
      <c r="AI159" s="98">
        <v>0</v>
      </c>
      <c r="AJ159" s="101">
        <f t="shared" si="179"/>
        <v>0</v>
      </c>
      <c r="AK159" s="100">
        <v>0</v>
      </c>
      <c r="AL159" s="98">
        <v>0</v>
      </c>
      <c r="AM159" s="101">
        <f t="shared" si="180"/>
        <v>0</v>
      </c>
      <c r="AN159" s="106"/>
    </row>
    <row r="160" spans="1:40" s="35" customFormat="1" ht="17.100000000000001" customHeight="1">
      <c r="B160" s="105"/>
      <c r="C160" s="54"/>
      <c r="D160" s="96"/>
      <c r="E160" s="111"/>
      <c r="F160" s="112"/>
      <c r="G160" s="113"/>
      <c r="H160" s="100">
        <v>0</v>
      </c>
      <c r="I160" s="98">
        <v>0</v>
      </c>
      <c r="J160" s="101">
        <f t="shared" si="172"/>
        <v>0</v>
      </c>
      <c r="K160" s="100">
        <v>0</v>
      </c>
      <c r="L160" s="98">
        <v>0</v>
      </c>
      <c r="M160" s="101">
        <f t="shared" si="173"/>
        <v>0</v>
      </c>
      <c r="N160" s="100">
        <v>0</v>
      </c>
      <c r="O160" s="98">
        <v>0</v>
      </c>
      <c r="P160" s="101">
        <f t="shared" si="174"/>
        <v>0</v>
      </c>
      <c r="Q160" s="100">
        <v>0</v>
      </c>
      <c r="R160" s="98">
        <v>0</v>
      </c>
      <c r="S160" s="101">
        <f t="shared" si="175"/>
        <v>0</v>
      </c>
      <c r="T160" s="100">
        <v>0</v>
      </c>
      <c r="U160" s="98">
        <v>0</v>
      </c>
      <c r="V160" s="101">
        <f t="shared" si="181"/>
        <v>0</v>
      </c>
      <c r="W160" s="100">
        <v>0</v>
      </c>
      <c r="X160" s="98">
        <v>0</v>
      </c>
      <c r="Y160" s="99">
        <f t="shared" si="176"/>
        <v>0</v>
      </c>
      <c r="Z160" s="101">
        <v>1</v>
      </c>
      <c r="AA160" s="100">
        <v>0</v>
      </c>
      <c r="AB160" s="98">
        <v>0</v>
      </c>
      <c r="AC160" s="99">
        <f t="shared" si="177"/>
        <v>0</v>
      </c>
      <c r="AD160" s="101">
        <v>1</v>
      </c>
      <c r="AE160" s="100">
        <v>0</v>
      </c>
      <c r="AF160" s="98">
        <v>0</v>
      </c>
      <c r="AG160" s="101">
        <f t="shared" si="178"/>
        <v>0</v>
      </c>
      <c r="AH160" s="100">
        <v>0</v>
      </c>
      <c r="AI160" s="98">
        <v>0</v>
      </c>
      <c r="AJ160" s="101">
        <f t="shared" si="179"/>
        <v>0</v>
      </c>
      <c r="AK160" s="100">
        <v>0</v>
      </c>
      <c r="AL160" s="98">
        <v>0</v>
      </c>
      <c r="AM160" s="101">
        <f t="shared" si="180"/>
        <v>0</v>
      </c>
      <c r="AN160" s="106"/>
    </row>
    <row r="161" spans="2:40" s="35" customFormat="1" ht="17.100000000000001" customHeight="1">
      <c r="B161" s="105"/>
      <c r="C161" s="54"/>
      <c r="D161" s="96"/>
      <c r="E161" s="111"/>
      <c r="F161" s="112"/>
      <c r="G161" s="113"/>
      <c r="H161" s="100">
        <v>0</v>
      </c>
      <c r="I161" s="98">
        <v>0</v>
      </c>
      <c r="J161" s="101">
        <f t="shared" si="172"/>
        <v>0</v>
      </c>
      <c r="K161" s="100">
        <v>0</v>
      </c>
      <c r="L161" s="98">
        <v>0</v>
      </c>
      <c r="M161" s="101">
        <f t="shared" si="173"/>
        <v>0</v>
      </c>
      <c r="N161" s="100">
        <v>0</v>
      </c>
      <c r="O161" s="98">
        <v>0</v>
      </c>
      <c r="P161" s="101">
        <f t="shared" si="174"/>
        <v>0</v>
      </c>
      <c r="Q161" s="100">
        <v>0</v>
      </c>
      <c r="R161" s="98">
        <v>0</v>
      </c>
      <c r="S161" s="101">
        <f t="shared" si="175"/>
        <v>0</v>
      </c>
      <c r="T161" s="100">
        <v>0</v>
      </c>
      <c r="U161" s="98">
        <v>0</v>
      </c>
      <c r="V161" s="101">
        <f t="shared" si="181"/>
        <v>0</v>
      </c>
      <c r="W161" s="100">
        <v>0</v>
      </c>
      <c r="X161" s="98">
        <v>0</v>
      </c>
      <c r="Y161" s="99">
        <f t="shared" si="176"/>
        <v>0</v>
      </c>
      <c r="Z161" s="101">
        <v>1</v>
      </c>
      <c r="AA161" s="100">
        <v>0</v>
      </c>
      <c r="AB161" s="98">
        <v>0</v>
      </c>
      <c r="AC161" s="99">
        <f t="shared" si="177"/>
        <v>0</v>
      </c>
      <c r="AD161" s="101">
        <v>1</v>
      </c>
      <c r="AE161" s="100">
        <v>0</v>
      </c>
      <c r="AF161" s="98">
        <v>0</v>
      </c>
      <c r="AG161" s="101">
        <f t="shared" si="178"/>
        <v>0</v>
      </c>
      <c r="AH161" s="100">
        <v>0</v>
      </c>
      <c r="AI161" s="98">
        <v>0</v>
      </c>
      <c r="AJ161" s="101">
        <f t="shared" si="179"/>
        <v>0</v>
      </c>
      <c r="AK161" s="100">
        <v>0</v>
      </c>
      <c r="AL161" s="98">
        <v>0</v>
      </c>
      <c r="AM161" s="101">
        <f t="shared" si="180"/>
        <v>0</v>
      </c>
      <c r="AN161" s="106"/>
    </row>
    <row r="162" spans="2:40" s="35" customFormat="1" ht="17.100000000000001" customHeight="1">
      <c r="B162" s="105"/>
      <c r="C162" s="54"/>
      <c r="D162" s="96"/>
      <c r="E162" s="111"/>
      <c r="F162" s="112"/>
      <c r="G162" s="113"/>
      <c r="H162" s="100">
        <v>0</v>
      </c>
      <c r="I162" s="98">
        <v>0</v>
      </c>
      <c r="J162" s="101">
        <f t="shared" si="172"/>
        <v>0</v>
      </c>
      <c r="K162" s="100">
        <v>0</v>
      </c>
      <c r="L162" s="98">
        <v>0</v>
      </c>
      <c r="M162" s="101">
        <f t="shared" si="173"/>
        <v>0</v>
      </c>
      <c r="N162" s="100">
        <v>0</v>
      </c>
      <c r="O162" s="98">
        <v>0</v>
      </c>
      <c r="P162" s="101">
        <f t="shared" si="174"/>
        <v>0</v>
      </c>
      <c r="Q162" s="100">
        <v>0</v>
      </c>
      <c r="R162" s="98">
        <v>0</v>
      </c>
      <c r="S162" s="101">
        <f t="shared" si="175"/>
        <v>0</v>
      </c>
      <c r="T162" s="100">
        <v>0</v>
      </c>
      <c r="U162" s="98">
        <v>0</v>
      </c>
      <c r="V162" s="101">
        <f t="shared" si="181"/>
        <v>0</v>
      </c>
      <c r="W162" s="100">
        <v>0</v>
      </c>
      <c r="X162" s="98">
        <v>0</v>
      </c>
      <c r="Y162" s="99">
        <f t="shared" si="176"/>
        <v>0</v>
      </c>
      <c r="Z162" s="101">
        <v>1</v>
      </c>
      <c r="AA162" s="100">
        <v>0</v>
      </c>
      <c r="AB162" s="98">
        <v>0</v>
      </c>
      <c r="AC162" s="99">
        <f t="shared" si="177"/>
        <v>0</v>
      </c>
      <c r="AD162" s="101">
        <v>1</v>
      </c>
      <c r="AE162" s="100">
        <v>0</v>
      </c>
      <c r="AF162" s="98">
        <v>0</v>
      </c>
      <c r="AG162" s="101">
        <f t="shared" si="178"/>
        <v>0</v>
      </c>
      <c r="AH162" s="100">
        <v>0</v>
      </c>
      <c r="AI162" s="98">
        <v>0</v>
      </c>
      <c r="AJ162" s="101">
        <f t="shared" si="179"/>
        <v>0</v>
      </c>
      <c r="AK162" s="100">
        <v>0</v>
      </c>
      <c r="AL162" s="98">
        <v>0</v>
      </c>
      <c r="AM162" s="101">
        <f t="shared" si="180"/>
        <v>0</v>
      </c>
      <c r="AN162" s="106"/>
    </row>
    <row r="163" spans="2:40" s="35" customFormat="1" ht="17.100000000000001" customHeight="1">
      <c r="B163" s="105"/>
      <c r="C163" s="54"/>
      <c r="D163" s="96"/>
      <c r="E163" s="111"/>
      <c r="F163" s="112"/>
      <c r="G163" s="113"/>
      <c r="H163" s="100">
        <v>0</v>
      </c>
      <c r="I163" s="98">
        <v>0</v>
      </c>
      <c r="J163" s="101">
        <f t="shared" si="172"/>
        <v>0</v>
      </c>
      <c r="K163" s="100">
        <v>0</v>
      </c>
      <c r="L163" s="98">
        <v>0</v>
      </c>
      <c r="M163" s="101">
        <f t="shared" si="173"/>
        <v>0</v>
      </c>
      <c r="N163" s="100">
        <v>0</v>
      </c>
      <c r="O163" s="98">
        <v>0</v>
      </c>
      <c r="P163" s="101">
        <f t="shared" si="174"/>
        <v>0</v>
      </c>
      <c r="Q163" s="100">
        <v>0</v>
      </c>
      <c r="R163" s="98">
        <v>0</v>
      </c>
      <c r="S163" s="101">
        <f t="shared" si="175"/>
        <v>0</v>
      </c>
      <c r="T163" s="100">
        <v>0</v>
      </c>
      <c r="U163" s="98">
        <v>0</v>
      </c>
      <c r="V163" s="101">
        <f t="shared" si="181"/>
        <v>0</v>
      </c>
      <c r="W163" s="100">
        <v>0</v>
      </c>
      <c r="X163" s="98">
        <v>0</v>
      </c>
      <c r="Y163" s="99">
        <f t="shared" si="176"/>
        <v>0</v>
      </c>
      <c r="Z163" s="101">
        <v>1</v>
      </c>
      <c r="AA163" s="100">
        <v>0</v>
      </c>
      <c r="AB163" s="98">
        <v>0</v>
      </c>
      <c r="AC163" s="99">
        <f t="shared" si="177"/>
        <v>0</v>
      </c>
      <c r="AD163" s="101">
        <v>1</v>
      </c>
      <c r="AE163" s="100">
        <v>0</v>
      </c>
      <c r="AF163" s="98">
        <v>0</v>
      </c>
      <c r="AG163" s="101">
        <f t="shared" si="178"/>
        <v>0</v>
      </c>
      <c r="AH163" s="100">
        <v>0</v>
      </c>
      <c r="AI163" s="98">
        <v>0</v>
      </c>
      <c r="AJ163" s="101">
        <f t="shared" si="179"/>
        <v>0</v>
      </c>
      <c r="AK163" s="100">
        <v>0</v>
      </c>
      <c r="AL163" s="98">
        <v>0</v>
      </c>
      <c r="AM163" s="101">
        <f t="shared" si="180"/>
        <v>0</v>
      </c>
      <c r="AN163" s="106"/>
    </row>
    <row r="164" spans="2:40" s="126" customFormat="1" ht="17.100000000000001" customHeight="1">
      <c r="B164" s="118"/>
      <c r="C164" s="119"/>
      <c r="D164" s="120"/>
      <c r="E164" s="121"/>
      <c r="F164" s="122"/>
      <c r="G164" s="123"/>
      <c r="H164" s="341" t="s">
        <v>201</v>
      </c>
      <c r="I164" s="342"/>
      <c r="J164" s="124">
        <f>SUM(J157:J163)</f>
        <v>0</v>
      </c>
      <c r="K164" s="341" t="s">
        <v>201</v>
      </c>
      <c r="L164" s="342"/>
      <c r="M164" s="124">
        <f>SUM(M157:M163)</f>
        <v>0</v>
      </c>
      <c r="N164" s="341" t="s">
        <v>201</v>
      </c>
      <c r="O164" s="342"/>
      <c r="P164" s="124">
        <f>SUM(P157:P163)</f>
        <v>450</v>
      </c>
      <c r="Q164" s="341" t="s">
        <v>201</v>
      </c>
      <c r="R164" s="342"/>
      <c r="S164" s="124">
        <f>SUM(S157:S163)</f>
        <v>0</v>
      </c>
      <c r="T164" s="341" t="s">
        <v>201</v>
      </c>
      <c r="U164" s="342"/>
      <c r="V164" s="124">
        <f>SUM(V157:V163)</f>
        <v>0</v>
      </c>
      <c r="W164" s="341" t="s">
        <v>201</v>
      </c>
      <c r="X164" s="342"/>
      <c r="Y164" s="127">
        <f>SUM(Y157:Y163)</f>
        <v>0</v>
      </c>
      <c r="Z164" s="101">
        <v>2</v>
      </c>
      <c r="AA164" s="341" t="s">
        <v>201</v>
      </c>
      <c r="AB164" s="342"/>
      <c r="AC164" s="127">
        <f>SUM(AC157:AC163)</f>
        <v>0</v>
      </c>
      <c r="AD164" s="101">
        <v>2</v>
      </c>
      <c r="AE164" s="341" t="s">
        <v>201</v>
      </c>
      <c r="AF164" s="342"/>
      <c r="AG164" s="124">
        <f>SUM(AG157:AG163)</f>
        <v>0</v>
      </c>
      <c r="AH164" s="341" t="s">
        <v>201</v>
      </c>
      <c r="AI164" s="342"/>
      <c r="AJ164" s="124">
        <f>SUM(AJ157:AJ163)</f>
        <v>0</v>
      </c>
      <c r="AK164" s="341" t="s">
        <v>201</v>
      </c>
      <c r="AL164" s="342"/>
      <c r="AM164" s="124">
        <f>SUM(AM157:AM163)</f>
        <v>0</v>
      </c>
      <c r="AN164" s="125"/>
    </row>
    <row r="165" spans="2:40" s="35" customFormat="1" ht="17.100000000000001" customHeight="1">
      <c r="B165" s="309"/>
      <c r="C165" s="305">
        <f>'1. Rekap Back Up Aspal'!C39</f>
        <v>25000</v>
      </c>
      <c r="D165" s="306">
        <f>'1. Rekap Back Up Aspal'!D39</f>
        <v>25100</v>
      </c>
      <c r="E165" s="307">
        <f>'1. Rekap Back Up Aspal'!E39</f>
        <v>4.5</v>
      </c>
      <c r="F165" s="112">
        <f>(100/((D165-C165)*E165))*((J172*0.5)+(M172*0.5)+(P172*4)+(S172*4)+(V172*1)+(Y172*2)+(AC172*1.5)+(AG172*1)+(AJ172*1)+(AM172*1))</f>
        <v>400</v>
      </c>
      <c r="G165" s="113" t="str">
        <f>IF(F165&lt;=25,"B",IF(F165&lt;=75,"S",IF(F165&lt;=100,"RR","RB")))</f>
        <v>RB</v>
      </c>
      <c r="H165" s="100">
        <v>0</v>
      </c>
      <c r="I165" s="98">
        <v>0</v>
      </c>
      <c r="J165" s="101">
        <f t="shared" ref="J165:J171" si="182">H165*I165</f>
        <v>0</v>
      </c>
      <c r="K165" s="100">
        <v>0</v>
      </c>
      <c r="L165" s="98">
        <v>3</v>
      </c>
      <c r="M165" s="101">
        <f t="shared" ref="M165:M171" si="183">K165*L165</f>
        <v>0</v>
      </c>
      <c r="N165" s="100">
        <v>100</v>
      </c>
      <c r="O165" s="98">
        <v>4.5</v>
      </c>
      <c r="P165" s="304">
        <f t="shared" ref="P165:P171" si="184">N165*O165</f>
        <v>450</v>
      </c>
      <c r="Q165" s="100">
        <v>0</v>
      </c>
      <c r="R165" s="98">
        <v>0</v>
      </c>
      <c r="S165" s="101">
        <f t="shared" ref="S165:S171" si="185">Q165*R165</f>
        <v>0</v>
      </c>
      <c r="T165" s="100">
        <v>0</v>
      </c>
      <c r="U165" s="98">
        <v>0</v>
      </c>
      <c r="V165" s="101">
        <f>T165*U165</f>
        <v>0</v>
      </c>
      <c r="W165" s="100">
        <v>0</v>
      </c>
      <c r="X165" s="98">
        <v>0</v>
      </c>
      <c r="Y165" s="99">
        <f t="shared" ref="Y165:Y171" si="186">W165*X165</f>
        <v>0</v>
      </c>
      <c r="Z165" s="101">
        <v>2</v>
      </c>
      <c r="AA165" s="100">
        <v>0</v>
      </c>
      <c r="AB165" s="98">
        <v>0</v>
      </c>
      <c r="AC165" s="99">
        <f t="shared" ref="AC165:AC171" si="187">AA165*AB165</f>
        <v>0</v>
      </c>
      <c r="AD165" s="101">
        <v>3</v>
      </c>
      <c r="AE165" s="100">
        <v>0</v>
      </c>
      <c r="AF165" s="98">
        <v>0</v>
      </c>
      <c r="AG165" s="101">
        <f t="shared" ref="AG165:AG171" si="188">AE165*AF165</f>
        <v>0</v>
      </c>
      <c r="AH165" s="100">
        <v>0</v>
      </c>
      <c r="AI165" s="98">
        <v>0</v>
      </c>
      <c r="AJ165" s="101">
        <f t="shared" ref="AJ165:AJ171" si="189">AH165*AI165</f>
        <v>0</v>
      </c>
      <c r="AK165" s="100">
        <v>0</v>
      </c>
      <c r="AL165" s="98">
        <v>0</v>
      </c>
      <c r="AM165" s="101">
        <f t="shared" ref="AM165:AM171" si="190">AK165*AL165</f>
        <v>0</v>
      </c>
      <c r="AN165" s="106"/>
    </row>
    <row r="166" spans="2:40" s="35" customFormat="1" ht="17.100000000000001" customHeight="1">
      <c r="B166" s="105"/>
      <c r="C166" s="54"/>
      <c r="D166" s="96"/>
      <c r="E166" s="111"/>
      <c r="F166" s="112"/>
      <c r="G166" s="113"/>
      <c r="H166" s="100">
        <v>0</v>
      </c>
      <c r="I166" s="98">
        <v>0</v>
      </c>
      <c r="J166" s="101">
        <f t="shared" si="182"/>
        <v>0</v>
      </c>
      <c r="K166" s="100">
        <v>0</v>
      </c>
      <c r="L166" s="98">
        <v>0</v>
      </c>
      <c r="M166" s="101">
        <f t="shared" si="183"/>
        <v>0</v>
      </c>
      <c r="N166" s="100">
        <v>0</v>
      </c>
      <c r="O166" s="98">
        <v>0</v>
      </c>
      <c r="P166" s="101">
        <f t="shared" si="184"/>
        <v>0</v>
      </c>
      <c r="Q166" s="100">
        <v>0</v>
      </c>
      <c r="R166" s="98">
        <v>0</v>
      </c>
      <c r="S166" s="101">
        <f t="shared" si="185"/>
        <v>0</v>
      </c>
      <c r="T166" s="100">
        <v>0</v>
      </c>
      <c r="U166" s="98">
        <v>0</v>
      </c>
      <c r="V166" s="101">
        <f t="shared" ref="V166:V171" si="191">T166*U166</f>
        <v>0</v>
      </c>
      <c r="W166" s="100">
        <v>0</v>
      </c>
      <c r="X166" s="98">
        <v>0</v>
      </c>
      <c r="Y166" s="99">
        <f t="shared" si="186"/>
        <v>0</v>
      </c>
      <c r="Z166" s="101">
        <v>3</v>
      </c>
      <c r="AA166" s="100">
        <v>0</v>
      </c>
      <c r="AB166" s="98">
        <v>0</v>
      </c>
      <c r="AC166" s="99">
        <f t="shared" si="187"/>
        <v>0</v>
      </c>
      <c r="AD166" s="101">
        <v>1</v>
      </c>
      <c r="AE166" s="100">
        <v>0</v>
      </c>
      <c r="AF166" s="98">
        <v>0</v>
      </c>
      <c r="AG166" s="101">
        <f t="shared" si="188"/>
        <v>0</v>
      </c>
      <c r="AH166" s="100">
        <v>0</v>
      </c>
      <c r="AI166" s="98">
        <v>0</v>
      </c>
      <c r="AJ166" s="101">
        <f t="shared" si="189"/>
        <v>0</v>
      </c>
      <c r="AK166" s="100">
        <v>0</v>
      </c>
      <c r="AL166" s="98">
        <v>0</v>
      </c>
      <c r="AM166" s="101">
        <f t="shared" si="190"/>
        <v>0</v>
      </c>
      <c r="AN166" s="106"/>
    </row>
    <row r="167" spans="2:40" s="35" customFormat="1" ht="17.100000000000001" customHeight="1">
      <c r="B167" s="105"/>
      <c r="C167" s="54"/>
      <c r="D167" s="96"/>
      <c r="E167" s="111"/>
      <c r="F167" s="112"/>
      <c r="G167" s="113"/>
      <c r="H167" s="100">
        <v>0</v>
      </c>
      <c r="I167" s="98">
        <v>0</v>
      </c>
      <c r="J167" s="101">
        <f t="shared" si="182"/>
        <v>0</v>
      </c>
      <c r="K167" s="100">
        <v>0</v>
      </c>
      <c r="L167" s="98">
        <v>0</v>
      </c>
      <c r="M167" s="101">
        <f t="shared" si="183"/>
        <v>0</v>
      </c>
      <c r="N167" s="100">
        <v>0</v>
      </c>
      <c r="O167" s="98">
        <v>0</v>
      </c>
      <c r="P167" s="101">
        <f t="shared" si="184"/>
        <v>0</v>
      </c>
      <c r="Q167" s="100">
        <v>0</v>
      </c>
      <c r="R167" s="98">
        <v>0</v>
      </c>
      <c r="S167" s="101">
        <f t="shared" si="185"/>
        <v>0</v>
      </c>
      <c r="T167" s="100">
        <v>0</v>
      </c>
      <c r="U167" s="98">
        <v>0</v>
      </c>
      <c r="V167" s="101">
        <f t="shared" si="191"/>
        <v>0</v>
      </c>
      <c r="W167" s="100">
        <v>0</v>
      </c>
      <c r="X167" s="98">
        <v>0</v>
      </c>
      <c r="Y167" s="99">
        <f t="shared" si="186"/>
        <v>0</v>
      </c>
      <c r="Z167" s="101">
        <v>1</v>
      </c>
      <c r="AA167" s="100">
        <v>0</v>
      </c>
      <c r="AB167" s="98">
        <v>0</v>
      </c>
      <c r="AC167" s="99">
        <f t="shared" si="187"/>
        <v>0</v>
      </c>
      <c r="AD167" s="101">
        <v>1</v>
      </c>
      <c r="AE167" s="100">
        <v>0</v>
      </c>
      <c r="AF167" s="98">
        <v>0</v>
      </c>
      <c r="AG167" s="101">
        <f t="shared" si="188"/>
        <v>0</v>
      </c>
      <c r="AH167" s="100">
        <v>0</v>
      </c>
      <c r="AI167" s="98">
        <v>0</v>
      </c>
      <c r="AJ167" s="101">
        <f t="shared" si="189"/>
        <v>0</v>
      </c>
      <c r="AK167" s="100">
        <v>0</v>
      </c>
      <c r="AL167" s="98">
        <v>0</v>
      </c>
      <c r="AM167" s="101">
        <f t="shared" si="190"/>
        <v>0</v>
      </c>
      <c r="AN167" s="106"/>
    </row>
    <row r="168" spans="2:40" s="35" customFormat="1" ht="17.100000000000001" customHeight="1">
      <c r="B168" s="105"/>
      <c r="C168" s="54"/>
      <c r="D168" s="96"/>
      <c r="E168" s="111"/>
      <c r="F168" s="112"/>
      <c r="G168" s="113"/>
      <c r="H168" s="100">
        <v>0</v>
      </c>
      <c r="I168" s="98">
        <v>0</v>
      </c>
      <c r="J168" s="101">
        <f t="shared" si="182"/>
        <v>0</v>
      </c>
      <c r="K168" s="100">
        <v>0</v>
      </c>
      <c r="L168" s="98">
        <v>0</v>
      </c>
      <c r="M168" s="101">
        <f t="shared" si="183"/>
        <v>0</v>
      </c>
      <c r="N168" s="100">
        <v>0</v>
      </c>
      <c r="O168" s="98">
        <v>0</v>
      </c>
      <c r="P168" s="101">
        <f t="shared" si="184"/>
        <v>0</v>
      </c>
      <c r="Q168" s="100">
        <v>0</v>
      </c>
      <c r="R168" s="98">
        <v>0</v>
      </c>
      <c r="S168" s="101">
        <f t="shared" si="185"/>
        <v>0</v>
      </c>
      <c r="T168" s="100">
        <v>0</v>
      </c>
      <c r="U168" s="98">
        <v>0</v>
      </c>
      <c r="V168" s="101">
        <f t="shared" si="191"/>
        <v>0</v>
      </c>
      <c r="W168" s="100">
        <v>0</v>
      </c>
      <c r="X168" s="98">
        <v>0</v>
      </c>
      <c r="Y168" s="99">
        <f t="shared" si="186"/>
        <v>0</v>
      </c>
      <c r="Z168" s="101">
        <v>1</v>
      </c>
      <c r="AA168" s="100">
        <v>0</v>
      </c>
      <c r="AB168" s="98">
        <v>0</v>
      </c>
      <c r="AC168" s="99">
        <f t="shared" si="187"/>
        <v>0</v>
      </c>
      <c r="AD168" s="101">
        <v>1</v>
      </c>
      <c r="AE168" s="100">
        <v>0</v>
      </c>
      <c r="AF168" s="98">
        <v>0</v>
      </c>
      <c r="AG168" s="101">
        <f t="shared" si="188"/>
        <v>0</v>
      </c>
      <c r="AH168" s="100">
        <v>0</v>
      </c>
      <c r="AI168" s="98">
        <v>0</v>
      </c>
      <c r="AJ168" s="101">
        <f t="shared" si="189"/>
        <v>0</v>
      </c>
      <c r="AK168" s="100">
        <v>0</v>
      </c>
      <c r="AL168" s="98">
        <v>0</v>
      </c>
      <c r="AM168" s="101">
        <f t="shared" si="190"/>
        <v>0</v>
      </c>
      <c r="AN168" s="106"/>
    </row>
    <row r="169" spans="2:40" s="35" customFormat="1" ht="17.100000000000001" customHeight="1">
      <c r="B169" s="105"/>
      <c r="C169" s="54"/>
      <c r="D169" s="96"/>
      <c r="E169" s="111"/>
      <c r="F169" s="112"/>
      <c r="G169" s="113"/>
      <c r="H169" s="100">
        <v>0</v>
      </c>
      <c r="I169" s="98">
        <v>0</v>
      </c>
      <c r="J169" s="101">
        <f t="shared" si="182"/>
        <v>0</v>
      </c>
      <c r="K169" s="100">
        <v>0</v>
      </c>
      <c r="L169" s="98">
        <v>0</v>
      </c>
      <c r="M169" s="101">
        <f t="shared" si="183"/>
        <v>0</v>
      </c>
      <c r="N169" s="100">
        <v>0</v>
      </c>
      <c r="O169" s="98">
        <v>0</v>
      </c>
      <c r="P169" s="101">
        <f t="shared" si="184"/>
        <v>0</v>
      </c>
      <c r="Q169" s="100">
        <v>0</v>
      </c>
      <c r="R169" s="98">
        <v>0</v>
      </c>
      <c r="S169" s="101">
        <f t="shared" si="185"/>
        <v>0</v>
      </c>
      <c r="T169" s="100">
        <v>0</v>
      </c>
      <c r="U169" s="98">
        <v>0</v>
      </c>
      <c r="V169" s="101">
        <f t="shared" si="191"/>
        <v>0</v>
      </c>
      <c r="W169" s="100">
        <v>0</v>
      </c>
      <c r="X169" s="98">
        <v>0</v>
      </c>
      <c r="Y169" s="99">
        <f t="shared" si="186"/>
        <v>0</v>
      </c>
      <c r="Z169" s="101">
        <v>1</v>
      </c>
      <c r="AA169" s="100">
        <v>0</v>
      </c>
      <c r="AB169" s="98">
        <v>0</v>
      </c>
      <c r="AC169" s="99">
        <f t="shared" si="187"/>
        <v>0</v>
      </c>
      <c r="AD169" s="101">
        <v>1</v>
      </c>
      <c r="AE169" s="100">
        <v>0</v>
      </c>
      <c r="AF169" s="98">
        <v>0</v>
      </c>
      <c r="AG169" s="101">
        <f t="shared" si="188"/>
        <v>0</v>
      </c>
      <c r="AH169" s="100">
        <v>0</v>
      </c>
      <c r="AI169" s="98">
        <v>0</v>
      </c>
      <c r="AJ169" s="101">
        <f t="shared" si="189"/>
        <v>0</v>
      </c>
      <c r="AK169" s="100">
        <v>0</v>
      </c>
      <c r="AL169" s="98">
        <v>0</v>
      </c>
      <c r="AM169" s="101">
        <f t="shared" si="190"/>
        <v>0</v>
      </c>
      <c r="AN169" s="106"/>
    </row>
    <row r="170" spans="2:40" s="35" customFormat="1" ht="17.100000000000001" customHeight="1">
      <c r="B170" s="105"/>
      <c r="C170" s="54"/>
      <c r="D170" s="96"/>
      <c r="E170" s="111"/>
      <c r="F170" s="112"/>
      <c r="G170" s="113"/>
      <c r="H170" s="100">
        <v>0</v>
      </c>
      <c r="I170" s="98">
        <v>0</v>
      </c>
      <c r="J170" s="101">
        <f t="shared" si="182"/>
        <v>0</v>
      </c>
      <c r="K170" s="100">
        <v>0</v>
      </c>
      <c r="L170" s="98">
        <v>0</v>
      </c>
      <c r="M170" s="101">
        <f t="shared" si="183"/>
        <v>0</v>
      </c>
      <c r="N170" s="100">
        <v>0</v>
      </c>
      <c r="O170" s="98">
        <v>0</v>
      </c>
      <c r="P170" s="101">
        <f t="shared" si="184"/>
        <v>0</v>
      </c>
      <c r="Q170" s="100">
        <v>0</v>
      </c>
      <c r="R170" s="98">
        <v>0</v>
      </c>
      <c r="S170" s="101">
        <f t="shared" si="185"/>
        <v>0</v>
      </c>
      <c r="T170" s="100">
        <v>0</v>
      </c>
      <c r="U170" s="98">
        <v>0</v>
      </c>
      <c r="V170" s="101">
        <f t="shared" si="191"/>
        <v>0</v>
      </c>
      <c r="W170" s="100">
        <v>0</v>
      </c>
      <c r="X170" s="98">
        <v>0</v>
      </c>
      <c r="Y170" s="99">
        <f t="shared" si="186"/>
        <v>0</v>
      </c>
      <c r="Z170" s="101">
        <v>1</v>
      </c>
      <c r="AA170" s="100">
        <v>0</v>
      </c>
      <c r="AB170" s="98">
        <v>0</v>
      </c>
      <c r="AC170" s="99">
        <f t="shared" si="187"/>
        <v>0</v>
      </c>
      <c r="AD170" s="101">
        <v>1</v>
      </c>
      <c r="AE170" s="100">
        <v>0</v>
      </c>
      <c r="AF170" s="98">
        <v>0</v>
      </c>
      <c r="AG170" s="101">
        <f t="shared" si="188"/>
        <v>0</v>
      </c>
      <c r="AH170" s="100">
        <v>0</v>
      </c>
      <c r="AI170" s="98">
        <v>0</v>
      </c>
      <c r="AJ170" s="101">
        <f t="shared" si="189"/>
        <v>0</v>
      </c>
      <c r="AK170" s="100">
        <v>0</v>
      </c>
      <c r="AL170" s="98">
        <v>0</v>
      </c>
      <c r="AM170" s="101">
        <f t="shared" si="190"/>
        <v>0</v>
      </c>
      <c r="AN170" s="106"/>
    </row>
    <row r="171" spans="2:40" s="35" customFormat="1" ht="17.100000000000001" customHeight="1">
      <c r="B171" s="105"/>
      <c r="C171" s="54"/>
      <c r="D171" s="96"/>
      <c r="E171" s="111"/>
      <c r="F171" s="112"/>
      <c r="G171" s="113"/>
      <c r="H171" s="100">
        <v>0</v>
      </c>
      <c r="I171" s="98">
        <v>0</v>
      </c>
      <c r="J171" s="101">
        <f t="shared" si="182"/>
        <v>0</v>
      </c>
      <c r="K171" s="100">
        <v>0</v>
      </c>
      <c r="L171" s="98">
        <v>0</v>
      </c>
      <c r="M171" s="101">
        <f t="shared" si="183"/>
        <v>0</v>
      </c>
      <c r="N171" s="100">
        <v>0</v>
      </c>
      <c r="O171" s="98">
        <v>0</v>
      </c>
      <c r="P171" s="101">
        <f t="shared" si="184"/>
        <v>0</v>
      </c>
      <c r="Q171" s="100">
        <v>0</v>
      </c>
      <c r="R171" s="98">
        <v>0</v>
      </c>
      <c r="S171" s="101">
        <f t="shared" si="185"/>
        <v>0</v>
      </c>
      <c r="T171" s="100">
        <v>0</v>
      </c>
      <c r="U171" s="98">
        <v>0</v>
      </c>
      <c r="V171" s="101">
        <f t="shared" si="191"/>
        <v>0</v>
      </c>
      <c r="W171" s="100">
        <v>0</v>
      </c>
      <c r="X171" s="98">
        <v>0</v>
      </c>
      <c r="Y171" s="99">
        <f t="shared" si="186"/>
        <v>0</v>
      </c>
      <c r="Z171" s="101">
        <v>1</v>
      </c>
      <c r="AA171" s="100">
        <v>0</v>
      </c>
      <c r="AB171" s="98">
        <v>0</v>
      </c>
      <c r="AC171" s="99">
        <f t="shared" si="187"/>
        <v>0</v>
      </c>
      <c r="AD171" s="101">
        <v>1</v>
      </c>
      <c r="AE171" s="100">
        <v>0</v>
      </c>
      <c r="AF171" s="98">
        <v>0</v>
      </c>
      <c r="AG171" s="101">
        <f t="shared" si="188"/>
        <v>0</v>
      </c>
      <c r="AH171" s="100">
        <v>0</v>
      </c>
      <c r="AI171" s="98">
        <v>0</v>
      </c>
      <c r="AJ171" s="101">
        <f t="shared" si="189"/>
        <v>0</v>
      </c>
      <c r="AK171" s="100">
        <v>0</v>
      </c>
      <c r="AL171" s="98">
        <v>0</v>
      </c>
      <c r="AM171" s="101">
        <f t="shared" si="190"/>
        <v>0</v>
      </c>
      <c r="AN171" s="106"/>
    </row>
    <row r="172" spans="2:40" s="126" customFormat="1" ht="17.100000000000001" customHeight="1">
      <c r="B172" s="118"/>
      <c r="C172" s="119"/>
      <c r="D172" s="120"/>
      <c r="E172" s="121"/>
      <c r="F172" s="122"/>
      <c r="G172" s="123"/>
      <c r="H172" s="341" t="s">
        <v>201</v>
      </c>
      <c r="I172" s="342"/>
      <c r="J172" s="124">
        <f>SUM(J165:J171)</f>
        <v>0</v>
      </c>
      <c r="K172" s="341" t="s">
        <v>201</v>
      </c>
      <c r="L172" s="342"/>
      <c r="M172" s="124">
        <f>SUM(M165:M171)</f>
        <v>0</v>
      </c>
      <c r="N172" s="341" t="s">
        <v>201</v>
      </c>
      <c r="O172" s="342"/>
      <c r="P172" s="124">
        <f>SUM(P165:P171)</f>
        <v>450</v>
      </c>
      <c r="Q172" s="341" t="s">
        <v>201</v>
      </c>
      <c r="R172" s="342"/>
      <c r="S172" s="124">
        <f>SUM(S165:S171)</f>
        <v>0</v>
      </c>
      <c r="T172" s="341" t="s">
        <v>201</v>
      </c>
      <c r="U172" s="342"/>
      <c r="V172" s="124">
        <f>SUM(V165:V171)</f>
        <v>0</v>
      </c>
      <c r="W172" s="341" t="s">
        <v>201</v>
      </c>
      <c r="X172" s="342"/>
      <c r="Y172" s="127">
        <f>SUM(Y165:Y171)</f>
        <v>0</v>
      </c>
      <c r="Z172" s="101">
        <v>2</v>
      </c>
      <c r="AA172" s="341" t="s">
        <v>201</v>
      </c>
      <c r="AB172" s="342"/>
      <c r="AC172" s="127">
        <f>SUM(AC165:AC171)</f>
        <v>0</v>
      </c>
      <c r="AD172" s="101">
        <v>2</v>
      </c>
      <c r="AE172" s="341" t="s">
        <v>201</v>
      </c>
      <c r="AF172" s="342"/>
      <c r="AG172" s="124">
        <f>SUM(AG165:AG171)</f>
        <v>0</v>
      </c>
      <c r="AH172" s="341" t="s">
        <v>201</v>
      </c>
      <c r="AI172" s="342"/>
      <c r="AJ172" s="124">
        <f>SUM(AJ165:AJ171)</f>
        <v>0</v>
      </c>
      <c r="AK172" s="341" t="s">
        <v>201</v>
      </c>
      <c r="AL172" s="342"/>
      <c r="AM172" s="124">
        <f>SUM(AM165:AM171)</f>
        <v>0</v>
      </c>
      <c r="AN172" s="125"/>
    </row>
    <row r="173" spans="2:40" s="35" customFormat="1" ht="17.100000000000001" customHeight="1">
      <c r="B173" s="248"/>
      <c r="C173" s="249">
        <f>'1. Rekap Back Up Aspal'!C40</f>
        <v>25100</v>
      </c>
      <c r="D173" s="250">
        <f>'1. Rekap Back Up Aspal'!D40</f>
        <v>25157</v>
      </c>
      <c r="E173" s="251">
        <f>'1. Rekap Back Up Aspal'!E40</f>
        <v>4.5</v>
      </c>
      <c r="F173" s="112">
        <f>(100/((D173-C173)*E173))*((J180*0.5)+(M180*0.5)+(P180*4)+(S180*4)+(V180*1)+(Y180*2)+(AC180*1.5)+(AG180*1)+(AJ180*1)+(AM180*1))</f>
        <v>400</v>
      </c>
      <c r="G173" s="113" t="str">
        <f>IF(F173&lt;=25,"B",IF(F173&lt;=75,"S",IF(F173&lt;=100,"RR","RB")))</f>
        <v>RB</v>
      </c>
      <c r="H173" s="100">
        <v>0</v>
      </c>
      <c r="I173" s="98">
        <v>0</v>
      </c>
      <c r="J173" s="101">
        <f t="shared" ref="J173:J179" si="192">H173*I173</f>
        <v>0</v>
      </c>
      <c r="K173" s="100">
        <v>0</v>
      </c>
      <c r="L173" s="98">
        <v>3</v>
      </c>
      <c r="M173" s="101">
        <f t="shared" ref="M173:M179" si="193">K173*L173</f>
        <v>0</v>
      </c>
      <c r="N173" s="100">
        <v>57</v>
      </c>
      <c r="O173" s="98">
        <v>4.5</v>
      </c>
      <c r="P173" s="304">
        <f t="shared" ref="P173:P179" si="194">N173*O173</f>
        <v>256.5</v>
      </c>
      <c r="Q173" s="100">
        <v>0</v>
      </c>
      <c r="R173" s="98">
        <v>0</v>
      </c>
      <c r="S173" s="101">
        <f t="shared" ref="S173:S179" si="195">Q173*R173</f>
        <v>0</v>
      </c>
      <c r="T173" s="100">
        <v>0</v>
      </c>
      <c r="U173" s="98">
        <v>0</v>
      </c>
      <c r="V173" s="101">
        <f>T173*U173</f>
        <v>0</v>
      </c>
      <c r="W173" s="100">
        <v>0</v>
      </c>
      <c r="X173" s="98">
        <v>0</v>
      </c>
      <c r="Y173" s="99">
        <f t="shared" ref="Y173:Y179" si="196">W173*X173</f>
        <v>0</v>
      </c>
      <c r="Z173" s="101">
        <v>2</v>
      </c>
      <c r="AA173" s="100">
        <v>0</v>
      </c>
      <c r="AB173" s="98">
        <v>0</v>
      </c>
      <c r="AC173" s="99">
        <f t="shared" ref="AC173:AC179" si="197">AA173*AB173</f>
        <v>0</v>
      </c>
      <c r="AD173" s="101">
        <v>3</v>
      </c>
      <c r="AE173" s="100">
        <v>0</v>
      </c>
      <c r="AF173" s="98">
        <v>0</v>
      </c>
      <c r="AG173" s="101">
        <f t="shared" ref="AG173:AG179" si="198">AE173*AF173</f>
        <v>0</v>
      </c>
      <c r="AH173" s="100">
        <v>0</v>
      </c>
      <c r="AI173" s="98">
        <v>0</v>
      </c>
      <c r="AJ173" s="101">
        <f t="shared" ref="AJ173:AJ179" si="199">AH173*AI173</f>
        <v>0</v>
      </c>
      <c r="AK173" s="100">
        <v>0</v>
      </c>
      <c r="AL173" s="98">
        <v>0</v>
      </c>
      <c r="AM173" s="101">
        <f t="shared" ref="AM173:AM179" si="200">AK173*AL173</f>
        <v>0</v>
      </c>
      <c r="AN173" s="106"/>
    </row>
    <row r="174" spans="2:40" s="35" customFormat="1" ht="17.100000000000001" customHeight="1">
      <c r="B174" s="105"/>
      <c r="C174" s="54"/>
      <c r="D174" s="96"/>
      <c r="E174" s="111"/>
      <c r="F174" s="112"/>
      <c r="G174" s="113"/>
      <c r="H174" s="100">
        <v>0</v>
      </c>
      <c r="I174" s="98">
        <v>0</v>
      </c>
      <c r="J174" s="101">
        <f t="shared" si="192"/>
        <v>0</v>
      </c>
      <c r="K174" s="100">
        <v>0</v>
      </c>
      <c r="L174" s="98">
        <v>0</v>
      </c>
      <c r="M174" s="101">
        <f t="shared" si="193"/>
        <v>0</v>
      </c>
      <c r="N174" s="100">
        <v>0</v>
      </c>
      <c r="O174" s="98">
        <v>0</v>
      </c>
      <c r="P174" s="101">
        <f t="shared" si="194"/>
        <v>0</v>
      </c>
      <c r="Q174" s="100">
        <v>0</v>
      </c>
      <c r="R174" s="98">
        <v>0</v>
      </c>
      <c r="S174" s="101">
        <f t="shared" si="195"/>
        <v>0</v>
      </c>
      <c r="T174" s="100">
        <v>0</v>
      </c>
      <c r="U174" s="98">
        <v>0</v>
      </c>
      <c r="V174" s="101">
        <f t="shared" ref="V174:V179" si="201">T174*U174</f>
        <v>0</v>
      </c>
      <c r="W174" s="100">
        <v>0</v>
      </c>
      <c r="X174" s="98">
        <v>0</v>
      </c>
      <c r="Y174" s="99">
        <f t="shared" si="196"/>
        <v>0</v>
      </c>
      <c r="Z174" s="101">
        <v>3</v>
      </c>
      <c r="AA174" s="100">
        <v>0</v>
      </c>
      <c r="AB174" s="98">
        <v>0</v>
      </c>
      <c r="AC174" s="99">
        <f t="shared" si="197"/>
        <v>0</v>
      </c>
      <c r="AD174" s="101">
        <v>1</v>
      </c>
      <c r="AE174" s="100">
        <v>0</v>
      </c>
      <c r="AF174" s="98">
        <v>0</v>
      </c>
      <c r="AG174" s="101">
        <f t="shared" si="198"/>
        <v>0</v>
      </c>
      <c r="AH174" s="100">
        <v>0</v>
      </c>
      <c r="AI174" s="98">
        <v>0</v>
      </c>
      <c r="AJ174" s="101">
        <f t="shared" si="199"/>
        <v>0</v>
      </c>
      <c r="AK174" s="100">
        <v>0</v>
      </c>
      <c r="AL174" s="98">
        <v>0</v>
      </c>
      <c r="AM174" s="101">
        <f t="shared" si="200"/>
        <v>0</v>
      </c>
      <c r="AN174" s="106"/>
    </row>
    <row r="175" spans="2:40" s="35" customFormat="1" ht="17.100000000000001" customHeight="1">
      <c r="B175" s="105"/>
      <c r="C175" s="54"/>
      <c r="D175" s="96"/>
      <c r="E175" s="111"/>
      <c r="F175" s="112"/>
      <c r="G175" s="113"/>
      <c r="H175" s="100">
        <v>0</v>
      </c>
      <c r="I175" s="98">
        <v>0</v>
      </c>
      <c r="J175" s="101">
        <f t="shared" si="192"/>
        <v>0</v>
      </c>
      <c r="K175" s="100">
        <v>0</v>
      </c>
      <c r="L175" s="98">
        <v>0</v>
      </c>
      <c r="M175" s="101">
        <f t="shared" si="193"/>
        <v>0</v>
      </c>
      <c r="N175" s="100">
        <v>0</v>
      </c>
      <c r="O175" s="98">
        <v>0</v>
      </c>
      <c r="P175" s="101">
        <f t="shared" si="194"/>
        <v>0</v>
      </c>
      <c r="Q175" s="100">
        <v>0</v>
      </c>
      <c r="R175" s="98">
        <v>0</v>
      </c>
      <c r="S175" s="101">
        <f t="shared" si="195"/>
        <v>0</v>
      </c>
      <c r="T175" s="100">
        <v>0</v>
      </c>
      <c r="U175" s="98">
        <v>0</v>
      </c>
      <c r="V175" s="101">
        <f t="shared" si="201"/>
        <v>0</v>
      </c>
      <c r="W175" s="100">
        <v>0</v>
      </c>
      <c r="X175" s="98">
        <v>0</v>
      </c>
      <c r="Y175" s="99">
        <f t="shared" si="196"/>
        <v>0</v>
      </c>
      <c r="Z175" s="101">
        <v>1</v>
      </c>
      <c r="AA175" s="100">
        <v>0</v>
      </c>
      <c r="AB175" s="98">
        <v>0</v>
      </c>
      <c r="AC175" s="99">
        <f t="shared" si="197"/>
        <v>0</v>
      </c>
      <c r="AD175" s="101">
        <v>1</v>
      </c>
      <c r="AE175" s="100">
        <v>0</v>
      </c>
      <c r="AF175" s="98">
        <v>0</v>
      </c>
      <c r="AG175" s="101">
        <f t="shared" si="198"/>
        <v>0</v>
      </c>
      <c r="AH175" s="100">
        <v>0</v>
      </c>
      <c r="AI175" s="98">
        <v>0</v>
      </c>
      <c r="AJ175" s="101">
        <f t="shared" si="199"/>
        <v>0</v>
      </c>
      <c r="AK175" s="100">
        <v>0</v>
      </c>
      <c r="AL175" s="98">
        <v>0</v>
      </c>
      <c r="AM175" s="101">
        <f t="shared" si="200"/>
        <v>0</v>
      </c>
      <c r="AN175" s="106"/>
    </row>
    <row r="176" spans="2:40" s="35" customFormat="1" ht="17.100000000000001" customHeight="1">
      <c r="B176" s="105"/>
      <c r="C176" s="54"/>
      <c r="D176" s="96"/>
      <c r="E176" s="111"/>
      <c r="F176" s="112"/>
      <c r="G176" s="113"/>
      <c r="H176" s="100">
        <v>0</v>
      </c>
      <c r="I176" s="98">
        <v>0</v>
      </c>
      <c r="J176" s="101">
        <f t="shared" si="192"/>
        <v>0</v>
      </c>
      <c r="K176" s="100">
        <v>0</v>
      </c>
      <c r="L176" s="98">
        <v>0</v>
      </c>
      <c r="M176" s="101">
        <f t="shared" si="193"/>
        <v>0</v>
      </c>
      <c r="N176" s="100">
        <v>0</v>
      </c>
      <c r="O176" s="98">
        <v>0</v>
      </c>
      <c r="P176" s="101">
        <f t="shared" si="194"/>
        <v>0</v>
      </c>
      <c r="Q176" s="100">
        <v>0</v>
      </c>
      <c r="R176" s="98">
        <v>0</v>
      </c>
      <c r="S176" s="101">
        <f t="shared" si="195"/>
        <v>0</v>
      </c>
      <c r="T176" s="100">
        <v>0</v>
      </c>
      <c r="U176" s="98">
        <v>0</v>
      </c>
      <c r="V176" s="101">
        <f t="shared" si="201"/>
        <v>0</v>
      </c>
      <c r="W176" s="100">
        <v>0</v>
      </c>
      <c r="X176" s="98">
        <v>0</v>
      </c>
      <c r="Y176" s="99">
        <f t="shared" si="196"/>
        <v>0</v>
      </c>
      <c r="Z176" s="101">
        <v>1</v>
      </c>
      <c r="AA176" s="100">
        <v>0</v>
      </c>
      <c r="AB176" s="98">
        <v>0</v>
      </c>
      <c r="AC176" s="99">
        <f t="shared" si="197"/>
        <v>0</v>
      </c>
      <c r="AD176" s="101">
        <v>1</v>
      </c>
      <c r="AE176" s="100">
        <v>0</v>
      </c>
      <c r="AF176" s="98">
        <v>0</v>
      </c>
      <c r="AG176" s="101">
        <f t="shared" si="198"/>
        <v>0</v>
      </c>
      <c r="AH176" s="100">
        <v>0</v>
      </c>
      <c r="AI176" s="98">
        <v>0</v>
      </c>
      <c r="AJ176" s="101">
        <f t="shared" si="199"/>
        <v>0</v>
      </c>
      <c r="AK176" s="100">
        <v>0</v>
      </c>
      <c r="AL176" s="98">
        <v>0</v>
      </c>
      <c r="AM176" s="101">
        <f t="shared" si="200"/>
        <v>0</v>
      </c>
      <c r="AN176" s="106"/>
    </row>
    <row r="177" spans="2:40" s="35" customFormat="1" ht="17.100000000000001" customHeight="1">
      <c r="B177" s="105"/>
      <c r="C177" s="54"/>
      <c r="D177" s="96"/>
      <c r="E177" s="111"/>
      <c r="F177" s="112"/>
      <c r="G177" s="113"/>
      <c r="H177" s="100">
        <v>0</v>
      </c>
      <c r="I177" s="98">
        <v>0</v>
      </c>
      <c r="J177" s="101">
        <f t="shared" si="192"/>
        <v>0</v>
      </c>
      <c r="K177" s="100">
        <v>0</v>
      </c>
      <c r="L177" s="98">
        <v>0</v>
      </c>
      <c r="M177" s="101">
        <f t="shared" si="193"/>
        <v>0</v>
      </c>
      <c r="N177" s="100">
        <v>0</v>
      </c>
      <c r="O177" s="98">
        <v>0</v>
      </c>
      <c r="P177" s="101">
        <f t="shared" si="194"/>
        <v>0</v>
      </c>
      <c r="Q177" s="100">
        <v>0</v>
      </c>
      <c r="R177" s="98">
        <v>0</v>
      </c>
      <c r="S177" s="101">
        <f t="shared" si="195"/>
        <v>0</v>
      </c>
      <c r="T177" s="100">
        <v>0</v>
      </c>
      <c r="U177" s="98">
        <v>0</v>
      </c>
      <c r="V177" s="101">
        <f t="shared" si="201"/>
        <v>0</v>
      </c>
      <c r="W177" s="100">
        <v>0</v>
      </c>
      <c r="X177" s="98">
        <v>0</v>
      </c>
      <c r="Y177" s="99">
        <f t="shared" si="196"/>
        <v>0</v>
      </c>
      <c r="Z177" s="101">
        <v>1</v>
      </c>
      <c r="AA177" s="100">
        <v>0</v>
      </c>
      <c r="AB177" s="98">
        <v>0</v>
      </c>
      <c r="AC177" s="99">
        <f t="shared" si="197"/>
        <v>0</v>
      </c>
      <c r="AD177" s="101">
        <v>1</v>
      </c>
      <c r="AE177" s="100">
        <v>0</v>
      </c>
      <c r="AF177" s="98">
        <v>0</v>
      </c>
      <c r="AG177" s="101">
        <f t="shared" si="198"/>
        <v>0</v>
      </c>
      <c r="AH177" s="100">
        <v>0</v>
      </c>
      <c r="AI177" s="98">
        <v>0</v>
      </c>
      <c r="AJ177" s="101">
        <f t="shared" si="199"/>
        <v>0</v>
      </c>
      <c r="AK177" s="100">
        <v>0</v>
      </c>
      <c r="AL177" s="98">
        <v>0</v>
      </c>
      <c r="AM177" s="101">
        <f t="shared" si="200"/>
        <v>0</v>
      </c>
      <c r="AN177" s="106"/>
    </row>
    <row r="178" spans="2:40" s="35" customFormat="1" ht="17.100000000000001" customHeight="1">
      <c r="B178" s="105"/>
      <c r="C178" s="54"/>
      <c r="D178" s="96"/>
      <c r="E178" s="111"/>
      <c r="F178" s="112"/>
      <c r="G178" s="113"/>
      <c r="H178" s="100">
        <v>0</v>
      </c>
      <c r="I178" s="98">
        <v>0</v>
      </c>
      <c r="J178" s="101">
        <f t="shared" si="192"/>
        <v>0</v>
      </c>
      <c r="K178" s="100">
        <v>0</v>
      </c>
      <c r="L178" s="98">
        <v>0</v>
      </c>
      <c r="M178" s="101">
        <f t="shared" si="193"/>
        <v>0</v>
      </c>
      <c r="N178" s="100">
        <v>0</v>
      </c>
      <c r="O178" s="98">
        <v>0</v>
      </c>
      <c r="P178" s="101">
        <f t="shared" si="194"/>
        <v>0</v>
      </c>
      <c r="Q178" s="100">
        <v>0</v>
      </c>
      <c r="R178" s="98">
        <v>0</v>
      </c>
      <c r="S178" s="101">
        <f t="shared" si="195"/>
        <v>0</v>
      </c>
      <c r="T178" s="100">
        <v>0</v>
      </c>
      <c r="U178" s="98">
        <v>0</v>
      </c>
      <c r="V178" s="101">
        <f t="shared" si="201"/>
        <v>0</v>
      </c>
      <c r="W178" s="100">
        <v>0</v>
      </c>
      <c r="X178" s="98">
        <v>0</v>
      </c>
      <c r="Y178" s="99">
        <f t="shared" si="196"/>
        <v>0</v>
      </c>
      <c r="Z178" s="101">
        <v>1</v>
      </c>
      <c r="AA178" s="100">
        <v>0</v>
      </c>
      <c r="AB178" s="98">
        <v>0</v>
      </c>
      <c r="AC178" s="99">
        <f t="shared" si="197"/>
        <v>0</v>
      </c>
      <c r="AD178" s="101">
        <v>1</v>
      </c>
      <c r="AE178" s="100">
        <v>0</v>
      </c>
      <c r="AF178" s="98">
        <v>0</v>
      </c>
      <c r="AG178" s="101">
        <f t="shared" si="198"/>
        <v>0</v>
      </c>
      <c r="AH178" s="100">
        <v>0</v>
      </c>
      <c r="AI178" s="98">
        <v>0</v>
      </c>
      <c r="AJ178" s="101">
        <f t="shared" si="199"/>
        <v>0</v>
      </c>
      <c r="AK178" s="100">
        <v>0</v>
      </c>
      <c r="AL178" s="98">
        <v>0</v>
      </c>
      <c r="AM178" s="101">
        <f t="shared" si="200"/>
        <v>0</v>
      </c>
      <c r="AN178" s="106"/>
    </row>
    <row r="179" spans="2:40" s="35" customFormat="1" ht="17.100000000000001" customHeight="1">
      <c r="B179" s="105"/>
      <c r="C179" s="54"/>
      <c r="D179" s="96"/>
      <c r="E179" s="111"/>
      <c r="F179" s="112"/>
      <c r="G179" s="113"/>
      <c r="H179" s="100">
        <v>0</v>
      </c>
      <c r="I179" s="98">
        <v>0</v>
      </c>
      <c r="J179" s="101">
        <f t="shared" si="192"/>
        <v>0</v>
      </c>
      <c r="K179" s="100">
        <v>0</v>
      </c>
      <c r="L179" s="98">
        <v>0</v>
      </c>
      <c r="M179" s="101">
        <f t="shared" si="193"/>
        <v>0</v>
      </c>
      <c r="N179" s="100">
        <v>0</v>
      </c>
      <c r="O179" s="98">
        <v>0</v>
      </c>
      <c r="P179" s="101">
        <f t="shared" si="194"/>
        <v>0</v>
      </c>
      <c r="Q179" s="100">
        <v>0</v>
      </c>
      <c r="R179" s="98">
        <v>0</v>
      </c>
      <c r="S179" s="101">
        <f t="shared" si="195"/>
        <v>0</v>
      </c>
      <c r="T179" s="100">
        <v>0</v>
      </c>
      <c r="U179" s="98">
        <v>0</v>
      </c>
      <c r="V179" s="101">
        <f t="shared" si="201"/>
        <v>0</v>
      </c>
      <c r="W179" s="100">
        <v>0</v>
      </c>
      <c r="X179" s="98">
        <v>0</v>
      </c>
      <c r="Y179" s="99">
        <f t="shared" si="196"/>
        <v>0</v>
      </c>
      <c r="Z179" s="101">
        <v>1</v>
      </c>
      <c r="AA179" s="100">
        <v>0</v>
      </c>
      <c r="AB179" s="98">
        <v>0</v>
      </c>
      <c r="AC179" s="99">
        <f t="shared" si="197"/>
        <v>0</v>
      </c>
      <c r="AD179" s="101">
        <v>1</v>
      </c>
      <c r="AE179" s="100">
        <v>0</v>
      </c>
      <c r="AF179" s="98">
        <v>0</v>
      </c>
      <c r="AG179" s="101">
        <f t="shared" si="198"/>
        <v>0</v>
      </c>
      <c r="AH179" s="100">
        <v>0</v>
      </c>
      <c r="AI179" s="98">
        <v>0</v>
      </c>
      <c r="AJ179" s="101">
        <f t="shared" si="199"/>
        <v>0</v>
      </c>
      <c r="AK179" s="100">
        <v>0</v>
      </c>
      <c r="AL179" s="98">
        <v>0</v>
      </c>
      <c r="AM179" s="101">
        <f t="shared" si="200"/>
        <v>0</v>
      </c>
      <c r="AN179" s="106"/>
    </row>
    <row r="180" spans="2:40" s="126" customFormat="1" ht="17.100000000000001" customHeight="1">
      <c r="B180" s="118"/>
      <c r="C180" s="119"/>
      <c r="D180" s="120"/>
      <c r="E180" s="121"/>
      <c r="F180" s="122"/>
      <c r="G180" s="123"/>
      <c r="H180" s="341" t="s">
        <v>201</v>
      </c>
      <c r="I180" s="342"/>
      <c r="J180" s="124">
        <f>SUM(J173:J179)</f>
        <v>0</v>
      </c>
      <c r="K180" s="341" t="s">
        <v>201</v>
      </c>
      <c r="L180" s="342"/>
      <c r="M180" s="124">
        <f>SUM(M173:M179)</f>
        <v>0</v>
      </c>
      <c r="N180" s="341" t="s">
        <v>201</v>
      </c>
      <c r="O180" s="342"/>
      <c r="P180" s="124">
        <f>SUM(P173:P179)</f>
        <v>256.5</v>
      </c>
      <c r="Q180" s="341" t="s">
        <v>201</v>
      </c>
      <c r="R180" s="342"/>
      <c r="S180" s="124">
        <f>SUM(S173:S179)</f>
        <v>0</v>
      </c>
      <c r="T180" s="341" t="s">
        <v>201</v>
      </c>
      <c r="U180" s="342"/>
      <c r="V180" s="124">
        <f>SUM(V173:V179)</f>
        <v>0</v>
      </c>
      <c r="W180" s="341" t="s">
        <v>201</v>
      </c>
      <c r="X180" s="342"/>
      <c r="Y180" s="127">
        <f>SUM(Y173:Y179)</f>
        <v>0</v>
      </c>
      <c r="Z180" s="101">
        <v>2</v>
      </c>
      <c r="AA180" s="341" t="s">
        <v>201</v>
      </c>
      <c r="AB180" s="342"/>
      <c r="AC180" s="127">
        <f>SUM(AC173:AC179)</f>
        <v>0</v>
      </c>
      <c r="AD180" s="101">
        <v>2</v>
      </c>
      <c r="AE180" s="341" t="s">
        <v>201</v>
      </c>
      <c r="AF180" s="342"/>
      <c r="AG180" s="124">
        <f>SUM(AG173:AG179)</f>
        <v>0</v>
      </c>
      <c r="AH180" s="341" t="s">
        <v>201</v>
      </c>
      <c r="AI180" s="342"/>
      <c r="AJ180" s="124">
        <f>SUM(AJ173:AJ179)</f>
        <v>0</v>
      </c>
      <c r="AK180" s="341" t="s">
        <v>201</v>
      </c>
      <c r="AL180" s="342"/>
      <c r="AM180" s="124">
        <f>SUM(AM173:AM179)</f>
        <v>0</v>
      </c>
      <c r="AN180" s="125"/>
    </row>
    <row r="181" spans="2:40" s="35" customFormat="1" ht="17.100000000000001" customHeight="1">
      <c r="B181" s="258"/>
      <c r="C181" s="49"/>
      <c r="D181" s="49"/>
      <c r="E181" s="259"/>
      <c r="F181" s="260"/>
      <c r="G181" s="259"/>
      <c r="H181" s="281"/>
      <c r="I181" s="281"/>
      <c r="J181" s="261"/>
      <c r="K181" s="281"/>
      <c r="L181" s="281"/>
      <c r="M181" s="261"/>
      <c r="N181" s="281"/>
      <c r="O181" s="281"/>
      <c r="P181" s="261"/>
      <c r="Q181" s="281"/>
      <c r="R181" s="281"/>
      <c r="S181" s="261"/>
      <c r="T181" s="281"/>
      <c r="U181" s="281"/>
      <c r="V181" s="261"/>
      <c r="W181" s="281"/>
      <c r="X181" s="281"/>
      <c r="Y181" s="261"/>
      <c r="Z181" s="261"/>
      <c r="AA181" s="281"/>
      <c r="AB181" s="281"/>
      <c r="AC181" s="261"/>
      <c r="AD181" s="261"/>
      <c r="AE181" s="281"/>
      <c r="AF181" s="281"/>
      <c r="AG181" s="261"/>
      <c r="AH181" s="281"/>
      <c r="AI181" s="281"/>
      <c r="AJ181" s="261"/>
      <c r="AK181" s="281"/>
      <c r="AL181" s="281"/>
      <c r="AM181" s="261"/>
      <c r="AN181" s="262"/>
    </row>
    <row r="182" spans="2:40" s="35" customFormat="1" ht="17.100000000000001" customHeight="1">
      <c r="B182" s="258"/>
      <c r="C182" s="49"/>
      <c r="D182" s="49"/>
      <c r="E182" s="259"/>
      <c r="F182" s="260"/>
      <c r="G182" s="259"/>
      <c r="H182" s="281"/>
      <c r="I182" s="281"/>
      <c r="J182" s="261"/>
      <c r="K182" s="281"/>
      <c r="L182" s="281"/>
      <c r="M182" s="261"/>
      <c r="N182" s="281"/>
      <c r="O182" s="281"/>
      <c r="P182" s="261"/>
      <c r="Q182" s="281"/>
      <c r="R182" s="281"/>
      <c r="S182" s="261"/>
      <c r="T182" s="281"/>
      <c r="U182" s="281"/>
      <c r="V182" s="261"/>
      <c r="W182" s="281"/>
      <c r="X182" s="281"/>
      <c r="Y182" s="261"/>
      <c r="Z182" s="261"/>
      <c r="AA182" s="281"/>
      <c r="AB182" s="281"/>
      <c r="AC182" s="261"/>
      <c r="AD182" s="261"/>
      <c r="AE182" s="281"/>
      <c r="AF182" s="281"/>
      <c r="AG182" s="261"/>
      <c r="AH182" s="281"/>
      <c r="AI182" s="281"/>
      <c r="AJ182" s="261"/>
      <c r="AK182" s="281"/>
      <c r="AL182" s="281"/>
      <c r="AM182" s="261"/>
      <c r="AN182" s="262"/>
    </row>
    <row r="183" spans="2:40" s="35" customFormat="1" ht="17.100000000000001" customHeight="1">
      <c r="B183" s="258"/>
      <c r="C183" s="49"/>
      <c r="D183" s="49"/>
      <c r="E183" s="259"/>
      <c r="F183" s="260"/>
      <c r="G183" s="259"/>
      <c r="H183" s="281"/>
      <c r="I183" s="281"/>
      <c r="J183" s="261"/>
      <c r="K183" s="281"/>
      <c r="L183" s="281"/>
      <c r="M183" s="261"/>
      <c r="N183" s="281"/>
      <c r="O183" s="281"/>
      <c r="P183" s="261"/>
      <c r="Q183" s="281"/>
      <c r="R183" s="281"/>
      <c r="S183" s="261"/>
      <c r="T183" s="281"/>
      <c r="U183" s="281"/>
      <c r="V183" s="261"/>
      <c r="W183" s="281"/>
      <c r="X183" s="281"/>
      <c r="Y183" s="261"/>
      <c r="Z183" s="261"/>
      <c r="AA183" s="281"/>
      <c r="AB183" s="281"/>
      <c r="AC183" s="261"/>
      <c r="AD183" s="261"/>
      <c r="AE183" s="281"/>
      <c r="AF183" s="281"/>
      <c r="AG183" s="261"/>
      <c r="AH183" s="281"/>
      <c r="AI183" s="281"/>
      <c r="AJ183" s="261"/>
      <c r="AK183" s="281"/>
      <c r="AL183" s="281"/>
      <c r="AM183" s="261"/>
      <c r="AN183" s="262"/>
    </row>
    <row r="184" spans="2:40" s="35" customFormat="1" ht="17.100000000000001" customHeight="1">
      <c r="B184" s="258"/>
      <c r="C184" s="49"/>
      <c r="D184" s="49"/>
      <c r="E184" s="259"/>
      <c r="F184" s="260"/>
      <c r="G184" s="259"/>
      <c r="H184" s="281"/>
      <c r="I184" s="281"/>
      <c r="J184" s="261"/>
      <c r="K184" s="281"/>
      <c r="L184" s="281"/>
      <c r="M184" s="261"/>
      <c r="N184" s="281"/>
      <c r="O184" s="281"/>
      <c r="P184" s="261"/>
      <c r="Q184" s="281"/>
      <c r="R184" s="281"/>
      <c r="S184" s="261"/>
      <c r="T184" s="281"/>
      <c r="U184" s="281"/>
      <c r="V184" s="261"/>
      <c r="W184" s="281"/>
      <c r="X184" s="281"/>
      <c r="Y184" s="261"/>
      <c r="Z184" s="261"/>
      <c r="AA184" s="281"/>
      <c r="AB184" s="281"/>
      <c r="AC184" s="261"/>
      <c r="AD184" s="261"/>
      <c r="AE184" s="281"/>
      <c r="AF184" s="281"/>
      <c r="AG184" s="261"/>
      <c r="AH184" s="281"/>
      <c r="AI184" s="281"/>
      <c r="AJ184" s="261"/>
      <c r="AK184" s="281"/>
      <c r="AL184" s="281"/>
      <c r="AM184" s="261"/>
      <c r="AN184" s="262"/>
    </row>
    <row r="185" spans="2:40" s="35" customFormat="1" ht="17.100000000000001" customHeight="1">
      <c r="B185" s="258"/>
      <c r="C185" s="49"/>
      <c r="D185" s="49"/>
      <c r="E185" s="259"/>
      <c r="F185" s="260"/>
      <c r="G185" s="259"/>
      <c r="H185" s="281"/>
      <c r="I185" s="281"/>
      <c r="J185" s="261"/>
      <c r="K185" s="281"/>
      <c r="L185" s="281"/>
      <c r="M185" s="261"/>
      <c r="N185" s="281"/>
      <c r="O185" s="281"/>
      <c r="P185" s="261"/>
      <c r="Q185" s="281"/>
      <c r="R185" s="281"/>
      <c r="S185" s="261"/>
      <c r="T185" s="281"/>
      <c r="U185" s="281"/>
      <c r="V185" s="261"/>
      <c r="W185" s="281"/>
      <c r="X185" s="281"/>
      <c r="Y185" s="261"/>
      <c r="Z185" s="261"/>
      <c r="AA185" s="281"/>
      <c r="AB185" s="281"/>
      <c r="AC185" s="261"/>
      <c r="AD185" s="261"/>
      <c r="AE185" s="281"/>
      <c r="AF185" s="281"/>
      <c r="AG185" s="261"/>
      <c r="AH185" s="281"/>
      <c r="AI185" s="281"/>
      <c r="AJ185" s="261"/>
      <c r="AK185" s="281"/>
      <c r="AL185" s="281"/>
      <c r="AM185" s="261"/>
      <c r="AN185" s="262"/>
    </row>
    <row r="186" spans="2:40" s="35" customFormat="1" ht="17.100000000000001" customHeight="1">
      <c r="B186" s="258"/>
      <c r="C186" s="49"/>
      <c r="D186" s="49"/>
      <c r="E186" s="259"/>
      <c r="F186" s="260"/>
      <c r="G186" s="259"/>
      <c r="H186" s="281"/>
      <c r="I186" s="281"/>
      <c r="J186" s="261"/>
      <c r="K186" s="281"/>
      <c r="L186" s="281"/>
      <c r="M186" s="261"/>
      <c r="N186" s="281"/>
      <c r="O186" s="281"/>
      <c r="P186" s="261"/>
      <c r="Q186" s="281"/>
      <c r="R186" s="281"/>
      <c r="S186" s="261"/>
      <c r="T186" s="281"/>
      <c r="U186" s="281"/>
      <c r="V186" s="261"/>
      <c r="W186" s="281"/>
      <c r="X186" s="281"/>
      <c r="Y186" s="261"/>
      <c r="Z186" s="261"/>
      <c r="AA186" s="281"/>
      <c r="AB186" s="281"/>
      <c r="AC186" s="261"/>
      <c r="AD186" s="261"/>
      <c r="AE186" s="281"/>
      <c r="AF186" s="281"/>
      <c r="AG186" s="261"/>
      <c r="AH186" s="281"/>
      <c r="AI186" s="281"/>
      <c r="AJ186" s="261"/>
      <c r="AK186" s="281"/>
      <c r="AL186" s="281"/>
      <c r="AM186" s="261"/>
      <c r="AN186" s="262"/>
    </row>
    <row r="187" spans="2:40" s="35" customFormat="1" ht="17.100000000000001" customHeight="1">
      <c r="B187" s="258"/>
      <c r="C187" s="49"/>
      <c r="D187" s="49"/>
      <c r="E187" s="259"/>
      <c r="F187" s="260"/>
      <c r="G187" s="259"/>
      <c r="H187" s="281"/>
      <c r="I187" s="281"/>
      <c r="J187" s="261"/>
      <c r="K187" s="281"/>
      <c r="L187" s="281"/>
      <c r="M187" s="261"/>
      <c r="N187" s="281"/>
      <c r="O187" s="281"/>
      <c r="P187" s="261"/>
      <c r="Q187" s="281"/>
      <c r="R187" s="281"/>
      <c r="S187" s="261"/>
      <c r="T187" s="281"/>
      <c r="U187" s="281"/>
      <c r="V187" s="261"/>
      <c r="W187" s="281"/>
      <c r="X187" s="281"/>
      <c r="Y187" s="261"/>
      <c r="Z187" s="261"/>
      <c r="AA187" s="281"/>
      <c r="AB187" s="281"/>
      <c r="AC187" s="261"/>
      <c r="AD187" s="261"/>
      <c r="AE187" s="281"/>
      <c r="AF187" s="281"/>
      <c r="AG187" s="261"/>
      <c r="AH187" s="281"/>
      <c r="AI187" s="281"/>
      <c r="AJ187" s="261"/>
      <c r="AK187" s="281"/>
      <c r="AL187" s="281"/>
      <c r="AM187" s="261"/>
      <c r="AN187" s="262"/>
    </row>
    <row r="188" spans="2:40" s="126" customFormat="1" ht="17.100000000000001" customHeight="1">
      <c r="B188" s="282"/>
      <c r="C188" s="283"/>
      <c r="D188" s="283"/>
      <c r="E188" s="284"/>
      <c r="F188" s="285"/>
      <c r="G188" s="284"/>
      <c r="H188" s="343"/>
      <c r="I188" s="343"/>
      <c r="J188" s="286"/>
      <c r="K188" s="343"/>
      <c r="L188" s="343"/>
      <c r="M188" s="286"/>
      <c r="N188" s="343"/>
      <c r="O188" s="343"/>
      <c r="P188" s="286"/>
      <c r="Q188" s="343"/>
      <c r="R188" s="343"/>
      <c r="S188" s="286"/>
      <c r="T188" s="343"/>
      <c r="U188" s="343"/>
      <c r="V188" s="286"/>
      <c r="W188" s="343"/>
      <c r="X188" s="343"/>
      <c r="Y188" s="286"/>
      <c r="Z188" s="267"/>
      <c r="AA188" s="343"/>
      <c r="AB188" s="343"/>
      <c r="AC188" s="286"/>
      <c r="AD188" s="267"/>
      <c r="AE188" s="343"/>
      <c r="AF188" s="343"/>
      <c r="AG188" s="286"/>
      <c r="AH188" s="343"/>
      <c r="AI188" s="343"/>
      <c r="AJ188" s="286"/>
      <c r="AK188" s="343"/>
      <c r="AL188" s="343"/>
      <c r="AM188" s="286"/>
      <c r="AN188" s="104"/>
    </row>
    <row r="189" spans="2:40" s="57" customFormat="1" ht="10.199999999999999" customHeight="1" thickBot="1">
      <c r="B189" s="271"/>
      <c r="C189" s="277"/>
      <c r="D189" s="277"/>
      <c r="E189" s="277"/>
      <c r="F189" s="277"/>
      <c r="G189" s="277"/>
      <c r="H189" s="278"/>
      <c r="I189" s="278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  <c r="AC189" s="278"/>
      <c r="AD189" s="278"/>
      <c r="AE189" s="278"/>
      <c r="AF189" s="278"/>
      <c r="AG189" s="278"/>
      <c r="AH189" s="278"/>
      <c r="AI189" s="278"/>
      <c r="AJ189" s="278"/>
      <c r="AK189" s="278"/>
      <c r="AL189" s="278"/>
      <c r="AM189" s="278"/>
      <c r="AN189" s="279"/>
    </row>
    <row r="190" spans="2:40" s="57" customFormat="1" ht="5.25" customHeight="1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spans="2:40" s="57" customFormat="1" ht="12" customHeight="1">
      <c r="B191" s="65" t="s">
        <v>39</v>
      </c>
      <c r="C191" s="14"/>
      <c r="D191" s="14"/>
      <c r="E191" s="14"/>
      <c r="F191" s="14"/>
      <c r="G191" s="14"/>
      <c r="H191" s="66"/>
      <c r="I191" s="66"/>
      <c r="K191" s="66"/>
      <c r="L191" s="66"/>
      <c r="Q191" s="66"/>
      <c r="R191" s="66"/>
      <c r="T191" s="66"/>
      <c r="U191" s="66"/>
      <c r="W191" s="66"/>
      <c r="X191" s="66"/>
      <c r="AA191" s="66"/>
      <c r="AB191" s="66"/>
      <c r="AE191" s="66"/>
      <c r="AF191" s="66"/>
      <c r="AH191" s="66"/>
      <c r="AI191" s="66"/>
      <c r="AK191" s="66"/>
      <c r="AL191" s="66"/>
      <c r="AN191" s="66"/>
    </row>
    <row r="192" spans="2:40" s="57" customFormat="1" ht="3" customHeight="1">
      <c r="B192" s="65"/>
      <c r="C192" s="14"/>
      <c r="D192" s="14"/>
      <c r="E192" s="14"/>
      <c r="F192" s="14"/>
      <c r="G192" s="14"/>
      <c r="H192" s="66"/>
      <c r="I192" s="66"/>
      <c r="K192" s="66"/>
      <c r="L192" s="66"/>
      <c r="Q192" s="66"/>
      <c r="R192" s="66"/>
      <c r="T192" s="66"/>
      <c r="U192" s="66"/>
      <c r="W192" s="66"/>
      <c r="X192" s="66"/>
      <c r="AA192" s="66"/>
      <c r="AB192" s="66"/>
      <c r="AE192" s="66"/>
      <c r="AF192" s="66"/>
      <c r="AH192" s="66"/>
      <c r="AI192" s="66"/>
      <c r="AK192" s="66"/>
      <c r="AL192" s="66"/>
      <c r="AN192" s="66"/>
    </row>
    <row r="193" spans="2:40" s="57" customFormat="1" ht="15" customHeight="1">
      <c r="B193" s="65" t="s">
        <v>41</v>
      </c>
      <c r="D193" s="14"/>
      <c r="E193" s="14"/>
      <c r="F193" s="14"/>
      <c r="G193" s="14"/>
      <c r="J193" s="57" t="s">
        <v>179</v>
      </c>
      <c r="L193" s="67"/>
      <c r="AN193" s="14"/>
    </row>
    <row r="194" spans="2:40" s="67" customFormat="1" ht="15" customHeight="1">
      <c r="B194" s="68" t="s">
        <v>42</v>
      </c>
      <c r="C194" s="69" t="s">
        <v>43</v>
      </c>
      <c r="D194" s="70"/>
      <c r="E194" s="70"/>
      <c r="F194" s="70"/>
      <c r="G194" s="70"/>
      <c r="J194" s="70">
        <v>1</v>
      </c>
      <c r="K194" s="67" t="s">
        <v>181</v>
      </c>
      <c r="AN194" s="69"/>
    </row>
    <row r="195" spans="2:40" s="67" customFormat="1" ht="15" customHeight="1">
      <c r="B195" s="68" t="s">
        <v>44</v>
      </c>
      <c r="C195" s="69" t="s">
        <v>45</v>
      </c>
      <c r="D195" s="70"/>
      <c r="E195" s="70"/>
      <c r="F195" s="70"/>
      <c r="G195" s="70"/>
      <c r="J195" s="70">
        <v>2</v>
      </c>
      <c r="K195" s="67" t="s">
        <v>182</v>
      </c>
      <c r="AN195" s="69"/>
    </row>
    <row r="196" spans="2:40" s="67" customFormat="1" ht="15" customHeight="1">
      <c r="B196" s="68" t="s">
        <v>46</v>
      </c>
      <c r="C196" s="69" t="s">
        <v>47</v>
      </c>
      <c r="D196" s="70"/>
      <c r="E196" s="70"/>
      <c r="F196" s="70"/>
      <c r="G196" s="70"/>
      <c r="J196" s="70">
        <v>3</v>
      </c>
      <c r="K196" s="67" t="s">
        <v>183</v>
      </c>
      <c r="AN196" s="69"/>
    </row>
    <row r="197" spans="2:40" s="67" customFormat="1" ht="15" customHeight="1">
      <c r="B197" s="68" t="s">
        <v>48</v>
      </c>
      <c r="C197" s="69" t="s">
        <v>49</v>
      </c>
      <c r="D197" s="70"/>
      <c r="E197" s="70"/>
      <c r="F197" s="70"/>
      <c r="G197" s="70"/>
      <c r="J197" s="70">
        <v>4</v>
      </c>
      <c r="K197" s="67" t="s">
        <v>184</v>
      </c>
      <c r="AN197" s="69"/>
    </row>
    <row r="198" spans="2:40" s="67" customFormat="1" ht="15" customHeight="1">
      <c r="B198" s="68" t="s">
        <v>50</v>
      </c>
      <c r="C198" s="69" t="s">
        <v>51</v>
      </c>
      <c r="D198" s="70"/>
      <c r="E198" s="70"/>
      <c r="F198" s="70"/>
      <c r="G198" s="70"/>
      <c r="AN198" s="68"/>
    </row>
    <row r="199" spans="2:40" s="67" customFormat="1" ht="15" customHeight="1">
      <c r="B199" s="68" t="s">
        <v>52</v>
      </c>
      <c r="C199" s="69" t="s">
        <v>53</v>
      </c>
      <c r="D199" s="70"/>
      <c r="E199" s="70"/>
      <c r="F199" s="70"/>
      <c r="G199" s="70"/>
      <c r="I199" s="70"/>
      <c r="J199" s="67" t="s">
        <v>185</v>
      </c>
      <c r="K199" s="70"/>
      <c r="R199" s="70"/>
      <c r="U199" s="70"/>
      <c r="X199" s="70"/>
      <c r="AB199" s="70"/>
      <c r="AF199" s="70"/>
      <c r="AI199" s="70"/>
      <c r="AL199" s="70"/>
    </row>
    <row r="200" spans="2:40" s="67" customFormat="1" ht="15" customHeight="1">
      <c r="B200" s="68" t="s">
        <v>54</v>
      </c>
      <c r="C200" s="69" t="s">
        <v>55</v>
      </c>
      <c r="D200" s="70"/>
      <c r="E200" s="70"/>
      <c r="F200" s="70"/>
      <c r="G200" s="70"/>
      <c r="I200" s="70"/>
      <c r="J200" s="70">
        <v>1</v>
      </c>
      <c r="K200" s="69" t="s">
        <v>181</v>
      </c>
      <c r="R200" s="70"/>
      <c r="U200" s="70"/>
      <c r="X200" s="70"/>
      <c r="AB200" s="70"/>
      <c r="AF200" s="70"/>
      <c r="AI200" s="70"/>
      <c r="AL200" s="70"/>
      <c r="AN200" s="69"/>
    </row>
    <row r="201" spans="2:40" s="67" customFormat="1" ht="15" customHeight="1">
      <c r="B201" s="68" t="s">
        <v>56</v>
      </c>
      <c r="C201" s="69" t="s">
        <v>57</v>
      </c>
      <c r="D201" s="70"/>
      <c r="E201" s="70"/>
      <c r="F201" s="70"/>
      <c r="G201" s="70"/>
      <c r="I201" s="70"/>
      <c r="J201" s="70">
        <v>2</v>
      </c>
      <c r="K201" s="69" t="s">
        <v>186</v>
      </c>
      <c r="R201" s="70"/>
      <c r="U201" s="70"/>
      <c r="X201" s="70"/>
      <c r="AB201" s="70"/>
      <c r="AF201" s="70"/>
      <c r="AI201" s="70"/>
      <c r="AL201" s="70"/>
      <c r="AN201" s="69"/>
    </row>
    <row r="202" spans="2:40" s="71" customFormat="1" ht="15" customHeight="1">
      <c r="B202" s="68" t="s">
        <v>58</v>
      </c>
      <c r="C202" s="69" t="s">
        <v>59</v>
      </c>
      <c r="D202" s="70"/>
      <c r="E202" s="70"/>
      <c r="F202" s="70"/>
      <c r="G202" s="70"/>
      <c r="I202" s="70"/>
      <c r="J202" s="70">
        <v>3</v>
      </c>
      <c r="K202" s="69" t="s">
        <v>187</v>
      </c>
      <c r="L202" s="67"/>
      <c r="R202" s="70"/>
      <c r="U202" s="70"/>
      <c r="X202" s="70"/>
      <c r="AB202" s="70"/>
      <c r="AF202" s="70"/>
      <c r="AI202" s="70"/>
      <c r="AL202" s="70"/>
    </row>
    <row r="203" spans="2:40" s="72" customFormat="1" ht="15" customHeight="1">
      <c r="B203" s="68" t="s">
        <v>60</v>
      </c>
      <c r="C203" s="69" t="s">
        <v>61</v>
      </c>
      <c r="D203" s="70"/>
      <c r="E203" s="70"/>
      <c r="F203" s="70"/>
      <c r="G203" s="70"/>
      <c r="I203" s="70"/>
      <c r="J203" s="70">
        <v>4</v>
      </c>
      <c r="K203" s="69" t="s">
        <v>188</v>
      </c>
      <c r="L203" s="67"/>
      <c r="R203" s="70"/>
      <c r="U203" s="70"/>
      <c r="X203" s="70"/>
      <c r="AB203" s="70"/>
      <c r="AF203" s="70"/>
      <c r="AI203" s="70"/>
      <c r="AL203" s="70"/>
      <c r="AN203" s="73"/>
    </row>
    <row r="204" spans="2:40" ht="10.199999999999999" customHeight="1">
      <c r="B204" s="68"/>
      <c r="C204" s="70"/>
      <c r="D204" s="70"/>
      <c r="E204" s="70"/>
      <c r="F204" s="70"/>
      <c r="G204" s="70"/>
      <c r="I204" s="70"/>
      <c r="K204" s="70"/>
      <c r="L204" s="69"/>
      <c r="R204" s="70"/>
      <c r="U204" s="70"/>
      <c r="X204" s="70"/>
      <c r="AB204" s="70"/>
      <c r="AF204" s="70"/>
      <c r="AI204" s="70"/>
      <c r="AL204" s="70"/>
    </row>
    <row r="205" spans="2:40">
      <c r="B205" s="65" t="s">
        <v>62</v>
      </c>
      <c r="D205" s="70"/>
      <c r="E205" s="70"/>
      <c r="F205" s="70"/>
      <c r="G205" s="70"/>
      <c r="I205" s="70"/>
      <c r="J205" s="1" t="s">
        <v>189</v>
      </c>
      <c r="K205" s="70"/>
      <c r="L205" s="69"/>
      <c r="R205" s="70"/>
      <c r="U205" s="70"/>
      <c r="X205" s="70"/>
      <c r="AB205" s="70"/>
      <c r="AF205" s="70"/>
      <c r="AI205" s="70"/>
      <c r="AL205" s="70"/>
    </row>
    <row r="206" spans="2:40">
      <c r="B206" s="68" t="s">
        <v>42</v>
      </c>
      <c r="C206" s="74" t="s">
        <v>63</v>
      </c>
      <c r="D206" s="70"/>
      <c r="E206" s="70"/>
      <c r="F206" s="70"/>
      <c r="G206" s="70"/>
      <c r="I206" s="70"/>
      <c r="J206" s="70">
        <v>1</v>
      </c>
      <c r="K206" s="69" t="s">
        <v>181</v>
      </c>
      <c r="L206" s="69"/>
      <c r="R206" s="70"/>
      <c r="U206" s="70"/>
      <c r="X206" s="70"/>
      <c r="AB206" s="70"/>
      <c r="AF206" s="70"/>
      <c r="AI206" s="70"/>
      <c r="AL206" s="70"/>
    </row>
    <row r="207" spans="2:40">
      <c r="B207" s="68" t="s">
        <v>44</v>
      </c>
      <c r="C207" s="74" t="s">
        <v>64</v>
      </c>
      <c r="D207" s="70"/>
      <c r="E207" s="70"/>
      <c r="F207" s="70"/>
      <c r="G207" s="70"/>
      <c r="I207" s="67"/>
      <c r="J207" s="70">
        <v>2</v>
      </c>
      <c r="K207" s="69" t="s">
        <v>194</v>
      </c>
      <c r="L207" s="69"/>
      <c r="R207" s="67"/>
      <c r="U207" s="67"/>
      <c r="X207" s="67"/>
      <c r="AB207" s="67"/>
      <c r="AF207" s="67"/>
      <c r="AI207" s="67"/>
      <c r="AL207" s="67"/>
    </row>
    <row r="208" spans="2:40">
      <c r="B208" s="68" t="s">
        <v>46</v>
      </c>
      <c r="C208" s="74" t="s">
        <v>65</v>
      </c>
      <c r="D208" s="75"/>
      <c r="E208" s="75"/>
      <c r="F208" s="75"/>
      <c r="G208" s="75"/>
      <c r="I208" s="76"/>
      <c r="J208" s="70">
        <v>3</v>
      </c>
      <c r="K208" s="69" t="s">
        <v>195</v>
      </c>
      <c r="L208" s="69"/>
      <c r="R208" s="76"/>
      <c r="U208" s="76"/>
      <c r="X208" s="76"/>
      <c r="AB208" s="76"/>
      <c r="AF208" s="76"/>
      <c r="AI208" s="76"/>
      <c r="AL208" s="76"/>
    </row>
    <row r="209" spans="2:39">
      <c r="B209" s="77" t="s">
        <v>66</v>
      </c>
      <c r="C209" s="74" t="s">
        <v>67</v>
      </c>
      <c r="J209" s="70">
        <v>4</v>
      </c>
      <c r="K209" s="69" t="s">
        <v>196</v>
      </c>
    </row>
    <row r="210" spans="2:39">
      <c r="B210" s="77" t="s">
        <v>50</v>
      </c>
      <c r="C210" s="74" t="s">
        <v>68</v>
      </c>
      <c r="J210" s="2">
        <v>5</v>
      </c>
      <c r="K210" s="69" t="s">
        <v>197</v>
      </c>
    </row>
    <row r="211" spans="2:39">
      <c r="B211" s="77" t="s">
        <v>52</v>
      </c>
      <c r="C211" s="74" t="s">
        <v>69</v>
      </c>
    </row>
    <row r="212" spans="2:39" ht="10.199999999999999" customHeight="1">
      <c r="B212" s="68"/>
      <c r="C212" s="70"/>
      <c r="D212" s="70"/>
      <c r="E212" s="70"/>
      <c r="F212" s="70"/>
      <c r="G212" s="70"/>
      <c r="I212" s="70"/>
      <c r="K212" s="70"/>
      <c r="L212" s="69"/>
      <c r="R212" s="70"/>
      <c r="U212" s="70"/>
      <c r="X212" s="70"/>
      <c r="AB212" s="70"/>
      <c r="AF212" s="70"/>
      <c r="AI212" s="70"/>
      <c r="AL212" s="70"/>
    </row>
    <row r="213" spans="2:39">
      <c r="B213" s="65" t="s">
        <v>70</v>
      </c>
    </row>
    <row r="214" spans="2:39">
      <c r="B214" s="68" t="s">
        <v>42</v>
      </c>
      <c r="C214" s="78" t="s">
        <v>43</v>
      </c>
    </row>
    <row r="215" spans="2:39">
      <c r="B215" s="68" t="s">
        <v>44</v>
      </c>
      <c r="C215" s="78" t="s">
        <v>71</v>
      </c>
    </row>
    <row r="216" spans="2:39">
      <c r="B216" s="68" t="s">
        <v>46</v>
      </c>
      <c r="C216" s="78" t="s">
        <v>72</v>
      </c>
    </row>
    <row r="217" spans="2:39">
      <c r="B217" s="68" t="s">
        <v>48</v>
      </c>
      <c r="C217" s="78" t="s">
        <v>73</v>
      </c>
    </row>
    <row r="218" spans="2:39">
      <c r="B218" s="68" t="s">
        <v>50</v>
      </c>
      <c r="C218" s="78" t="s">
        <v>74</v>
      </c>
    </row>
    <row r="219" spans="2:39">
      <c r="B219" s="68" t="s">
        <v>52</v>
      </c>
      <c r="C219" s="78" t="s">
        <v>75</v>
      </c>
    </row>
    <row r="220" spans="2:39">
      <c r="B220" s="68" t="s">
        <v>54</v>
      </c>
      <c r="C220" s="78" t="s">
        <v>76</v>
      </c>
      <c r="J220" s="78"/>
      <c r="M220" s="78"/>
      <c r="P220" s="78"/>
      <c r="S220" s="78"/>
      <c r="V220" s="78"/>
      <c r="Y220" s="78"/>
      <c r="Z220" s="78"/>
      <c r="AC220" s="78"/>
      <c r="AD220" s="78"/>
      <c r="AG220" s="78"/>
      <c r="AJ220" s="78"/>
      <c r="AM220" s="78"/>
    </row>
    <row r="221" spans="2:39">
      <c r="B221" s="68" t="s">
        <v>56</v>
      </c>
      <c r="C221" s="78" t="s">
        <v>77</v>
      </c>
    </row>
    <row r="223" spans="2:39">
      <c r="B223" s="65" t="s">
        <v>161</v>
      </c>
    </row>
    <row r="224" spans="2:39">
      <c r="B224" s="68" t="s">
        <v>42</v>
      </c>
      <c r="C224" s="78" t="s">
        <v>162</v>
      </c>
    </row>
    <row r="225" spans="2:39">
      <c r="B225" s="68" t="s">
        <v>44</v>
      </c>
      <c r="C225" s="78" t="s">
        <v>163</v>
      </c>
    </row>
    <row r="226" spans="2:39">
      <c r="B226" s="68" t="s">
        <v>46</v>
      </c>
      <c r="C226" s="78" t="s">
        <v>164</v>
      </c>
    </row>
    <row r="227" spans="2:39">
      <c r="B227" s="68" t="s">
        <v>48</v>
      </c>
      <c r="C227" s="78" t="s">
        <v>165</v>
      </c>
    </row>
    <row r="228" spans="2:39">
      <c r="B228" s="68" t="s">
        <v>50</v>
      </c>
      <c r="C228" s="78" t="s">
        <v>166</v>
      </c>
    </row>
    <row r="229" spans="2:39">
      <c r="B229" s="68" t="s">
        <v>52</v>
      </c>
      <c r="C229" s="78" t="s">
        <v>167</v>
      </c>
    </row>
    <row r="230" spans="2:39">
      <c r="B230" s="68" t="s">
        <v>54</v>
      </c>
      <c r="C230" s="78" t="s">
        <v>168</v>
      </c>
      <c r="J230" s="78"/>
      <c r="M230" s="78"/>
      <c r="P230" s="78"/>
      <c r="S230" s="78"/>
      <c r="V230" s="78"/>
      <c r="Y230" s="78"/>
      <c r="Z230" s="78"/>
      <c r="AC230" s="78"/>
      <c r="AD230" s="78"/>
      <c r="AG230" s="78"/>
      <c r="AJ230" s="78"/>
      <c r="AM230" s="78"/>
    </row>
  </sheetData>
  <mergeCells count="227">
    <mergeCell ref="AK28:AL28"/>
    <mergeCell ref="H28:I28"/>
    <mergeCell ref="K28:L28"/>
    <mergeCell ref="N28:O28"/>
    <mergeCell ref="Q28:R28"/>
    <mergeCell ref="T28:U28"/>
    <mergeCell ref="W28:X28"/>
    <mergeCell ref="AA28:AB28"/>
    <mergeCell ref="AE28:AF28"/>
    <mergeCell ref="AH28:AI28"/>
    <mergeCell ref="B20:G20"/>
    <mergeCell ref="H20:J20"/>
    <mergeCell ref="K20:M20"/>
    <mergeCell ref="N20:P20"/>
    <mergeCell ref="AN18:AN19"/>
    <mergeCell ref="C18:E18"/>
    <mergeCell ref="F18:F19"/>
    <mergeCell ref="G18:G19"/>
    <mergeCell ref="H18:AM18"/>
    <mergeCell ref="AH20:AJ20"/>
    <mergeCell ref="AK20:AM20"/>
    <mergeCell ref="Q20:S20"/>
    <mergeCell ref="T20:V20"/>
    <mergeCell ref="W20:Z20"/>
    <mergeCell ref="AA20:AD20"/>
    <mergeCell ref="AE20:AG20"/>
    <mergeCell ref="W44:X44"/>
    <mergeCell ref="AA44:AB44"/>
    <mergeCell ref="AE44:AF44"/>
    <mergeCell ref="AH44:AI44"/>
    <mergeCell ref="AK44:AL44"/>
    <mergeCell ref="H44:I44"/>
    <mergeCell ref="K44:L44"/>
    <mergeCell ref="N44:O44"/>
    <mergeCell ref="Q44:R44"/>
    <mergeCell ref="T44:U44"/>
    <mergeCell ref="W36:X36"/>
    <mergeCell ref="AA36:AB36"/>
    <mergeCell ref="AE36:AF36"/>
    <mergeCell ref="AH36:AI36"/>
    <mergeCell ref="AK36:AL36"/>
    <mergeCell ref="H36:I36"/>
    <mergeCell ref="K36:L36"/>
    <mergeCell ref="N36:O36"/>
    <mergeCell ref="Q36:R36"/>
    <mergeCell ref="T36:U36"/>
    <mergeCell ref="W60:X60"/>
    <mergeCell ref="AA60:AB60"/>
    <mergeCell ref="AE60:AF60"/>
    <mergeCell ref="AH60:AI60"/>
    <mergeCell ref="AK60:AL60"/>
    <mergeCell ref="H60:I60"/>
    <mergeCell ref="K60:L60"/>
    <mergeCell ref="N60:O60"/>
    <mergeCell ref="Q60:R60"/>
    <mergeCell ref="T60:U60"/>
    <mergeCell ref="W68:X68"/>
    <mergeCell ref="AA68:AB68"/>
    <mergeCell ref="AE68:AF68"/>
    <mergeCell ref="AH68:AI68"/>
    <mergeCell ref="AK68:AL68"/>
    <mergeCell ref="H68:I68"/>
    <mergeCell ref="K68:L68"/>
    <mergeCell ref="N68:O68"/>
    <mergeCell ref="Q68:R68"/>
    <mergeCell ref="T68:U68"/>
    <mergeCell ref="W76:X76"/>
    <mergeCell ref="AA76:AB76"/>
    <mergeCell ref="AE76:AF76"/>
    <mergeCell ref="AH76:AI76"/>
    <mergeCell ref="AK76:AL76"/>
    <mergeCell ref="H76:I76"/>
    <mergeCell ref="K76:L76"/>
    <mergeCell ref="N76:O76"/>
    <mergeCell ref="Q76:R76"/>
    <mergeCell ref="T76:U76"/>
    <mergeCell ref="W84:X84"/>
    <mergeCell ref="AA84:AB84"/>
    <mergeCell ref="AE84:AF84"/>
    <mergeCell ref="AH84:AI84"/>
    <mergeCell ref="AK84:AL84"/>
    <mergeCell ref="H84:I84"/>
    <mergeCell ref="K84:L84"/>
    <mergeCell ref="N84:O84"/>
    <mergeCell ref="Q84:R84"/>
    <mergeCell ref="T84:U84"/>
    <mergeCell ref="W92:X92"/>
    <mergeCell ref="AA92:AB92"/>
    <mergeCell ref="AE92:AF92"/>
    <mergeCell ref="AH92:AI92"/>
    <mergeCell ref="AK92:AL92"/>
    <mergeCell ref="H92:I92"/>
    <mergeCell ref="K92:L92"/>
    <mergeCell ref="N92:O92"/>
    <mergeCell ref="Q92:R92"/>
    <mergeCell ref="T92:U92"/>
    <mergeCell ref="W100:X100"/>
    <mergeCell ref="AA100:AB100"/>
    <mergeCell ref="AE100:AF100"/>
    <mergeCell ref="AH100:AI100"/>
    <mergeCell ref="AK100:AL100"/>
    <mergeCell ref="H100:I100"/>
    <mergeCell ref="K100:L100"/>
    <mergeCell ref="N100:O100"/>
    <mergeCell ref="Q100:R100"/>
    <mergeCell ref="T100:U100"/>
    <mergeCell ref="W108:X108"/>
    <mergeCell ref="AA108:AB108"/>
    <mergeCell ref="AE108:AF108"/>
    <mergeCell ref="AH108:AI108"/>
    <mergeCell ref="AK108:AL108"/>
    <mergeCell ref="H108:I108"/>
    <mergeCell ref="K108:L108"/>
    <mergeCell ref="N108:O108"/>
    <mergeCell ref="Q108:R108"/>
    <mergeCell ref="T108:U108"/>
    <mergeCell ref="W116:X116"/>
    <mergeCell ref="AA116:AB116"/>
    <mergeCell ref="AE116:AF116"/>
    <mergeCell ref="AH116:AI116"/>
    <mergeCell ref="AK116:AL116"/>
    <mergeCell ref="H116:I116"/>
    <mergeCell ref="K116:L116"/>
    <mergeCell ref="N116:O116"/>
    <mergeCell ref="Q116:R116"/>
    <mergeCell ref="T116:U116"/>
    <mergeCell ref="W124:X124"/>
    <mergeCell ref="AA124:AB124"/>
    <mergeCell ref="AE124:AF124"/>
    <mergeCell ref="AH124:AI124"/>
    <mergeCell ref="AK124:AL124"/>
    <mergeCell ref="H124:I124"/>
    <mergeCell ref="K124:L124"/>
    <mergeCell ref="N124:O124"/>
    <mergeCell ref="Q124:R124"/>
    <mergeCell ref="T124:U124"/>
    <mergeCell ref="W132:X132"/>
    <mergeCell ref="AA132:AB132"/>
    <mergeCell ref="AE132:AF132"/>
    <mergeCell ref="AH132:AI132"/>
    <mergeCell ref="AK132:AL132"/>
    <mergeCell ref="H132:I132"/>
    <mergeCell ref="K132:L132"/>
    <mergeCell ref="N132:O132"/>
    <mergeCell ref="Q132:R132"/>
    <mergeCell ref="T132:U132"/>
    <mergeCell ref="W140:X140"/>
    <mergeCell ref="AA140:AB140"/>
    <mergeCell ref="AE140:AF140"/>
    <mergeCell ref="AH140:AI140"/>
    <mergeCell ref="AK140:AL140"/>
    <mergeCell ref="H140:I140"/>
    <mergeCell ref="K140:L140"/>
    <mergeCell ref="N140:O140"/>
    <mergeCell ref="Q140:R140"/>
    <mergeCell ref="T140:U140"/>
    <mergeCell ref="W148:X148"/>
    <mergeCell ref="AA148:AB148"/>
    <mergeCell ref="AE148:AF148"/>
    <mergeCell ref="AH148:AI148"/>
    <mergeCell ref="AK148:AL148"/>
    <mergeCell ref="H148:I148"/>
    <mergeCell ref="K148:L148"/>
    <mergeCell ref="N148:O148"/>
    <mergeCell ref="Q148:R148"/>
    <mergeCell ref="T148:U148"/>
    <mergeCell ref="W156:X156"/>
    <mergeCell ref="AA156:AB156"/>
    <mergeCell ref="AE156:AF156"/>
    <mergeCell ref="AH156:AI156"/>
    <mergeCell ref="AK156:AL156"/>
    <mergeCell ref="H156:I156"/>
    <mergeCell ref="K156:L156"/>
    <mergeCell ref="N156:O156"/>
    <mergeCell ref="Q156:R156"/>
    <mergeCell ref="T156:U156"/>
    <mergeCell ref="AH172:AI172"/>
    <mergeCell ref="AK172:AL172"/>
    <mergeCell ref="H172:I172"/>
    <mergeCell ref="K172:L172"/>
    <mergeCell ref="N172:O172"/>
    <mergeCell ref="Q172:R172"/>
    <mergeCell ref="T172:U172"/>
    <mergeCell ref="W164:X164"/>
    <mergeCell ref="AA164:AB164"/>
    <mergeCell ref="AE164:AF164"/>
    <mergeCell ref="AH164:AI164"/>
    <mergeCell ref="AK164:AL164"/>
    <mergeCell ref="H164:I164"/>
    <mergeCell ref="K164:L164"/>
    <mergeCell ref="N164:O164"/>
    <mergeCell ref="Q164:R164"/>
    <mergeCell ref="T164:U164"/>
    <mergeCell ref="B6:AN6"/>
    <mergeCell ref="W188:X188"/>
    <mergeCell ref="AA188:AB188"/>
    <mergeCell ref="AE188:AF188"/>
    <mergeCell ref="AH188:AI188"/>
    <mergeCell ref="AK188:AL188"/>
    <mergeCell ref="H188:I188"/>
    <mergeCell ref="K188:L188"/>
    <mergeCell ref="N188:O188"/>
    <mergeCell ref="Q188:R188"/>
    <mergeCell ref="T188:U188"/>
    <mergeCell ref="W180:X180"/>
    <mergeCell ref="AA180:AB180"/>
    <mergeCell ref="AE180:AF180"/>
    <mergeCell ref="AH180:AI180"/>
    <mergeCell ref="AK180:AL180"/>
    <mergeCell ref="H180:I180"/>
    <mergeCell ref="K180:L180"/>
    <mergeCell ref="N180:O180"/>
    <mergeCell ref="Q180:R180"/>
    <mergeCell ref="T180:U180"/>
    <mergeCell ref="W172:X172"/>
    <mergeCell ref="AA172:AB172"/>
    <mergeCell ref="AE172:AF172"/>
    <mergeCell ref="AK52:AL52"/>
    <mergeCell ref="H52:I52"/>
    <mergeCell ref="K52:L52"/>
    <mergeCell ref="N52:O52"/>
    <mergeCell ref="Q52:R52"/>
    <mergeCell ref="T52:U52"/>
    <mergeCell ref="W52:X52"/>
    <mergeCell ref="AA52:AB52"/>
    <mergeCell ref="AE52:AF52"/>
    <mergeCell ref="AH52:AI52"/>
  </mergeCells>
  <conditionalFormatting sqref="G21:G44 G53:G148 G181:G188">
    <cfRule type="cellIs" dxfId="155" priority="21" stopIfTrue="1" operator="equal">
      <formula>"RB"</formula>
    </cfRule>
    <cfRule type="cellIs" dxfId="154" priority="22" stopIfTrue="1" operator="equal">
      <formula>"RR"</formula>
    </cfRule>
    <cfRule type="cellIs" dxfId="153" priority="23" stopIfTrue="1" operator="equal">
      <formula>"B"</formula>
    </cfRule>
    <cfRule type="cellIs" dxfId="152" priority="24" stopIfTrue="1" operator="equal">
      <formula>"S"</formula>
    </cfRule>
  </conditionalFormatting>
  <conditionalFormatting sqref="G45:G52">
    <cfRule type="cellIs" dxfId="151" priority="17" stopIfTrue="1" operator="equal">
      <formula>"RB"</formula>
    </cfRule>
    <cfRule type="cellIs" dxfId="150" priority="18" stopIfTrue="1" operator="equal">
      <formula>"RR"</formula>
    </cfRule>
    <cfRule type="cellIs" dxfId="149" priority="19" stopIfTrue="1" operator="equal">
      <formula>"B"</formula>
    </cfRule>
    <cfRule type="cellIs" dxfId="148" priority="20" stopIfTrue="1" operator="equal">
      <formula>"S"</formula>
    </cfRule>
  </conditionalFormatting>
  <conditionalFormatting sqref="G149:G156">
    <cfRule type="cellIs" dxfId="147" priority="13" stopIfTrue="1" operator="equal">
      <formula>"RB"</formula>
    </cfRule>
    <cfRule type="cellIs" dxfId="146" priority="14" stopIfTrue="1" operator="equal">
      <formula>"RR"</formula>
    </cfRule>
    <cfRule type="cellIs" dxfId="145" priority="15" stopIfTrue="1" operator="equal">
      <formula>"B"</formula>
    </cfRule>
    <cfRule type="cellIs" dxfId="144" priority="16" stopIfTrue="1" operator="equal">
      <formula>"S"</formula>
    </cfRule>
  </conditionalFormatting>
  <conditionalFormatting sqref="G157:G164">
    <cfRule type="cellIs" dxfId="143" priority="9" stopIfTrue="1" operator="equal">
      <formula>"RB"</formula>
    </cfRule>
    <cfRule type="cellIs" dxfId="142" priority="10" stopIfTrue="1" operator="equal">
      <formula>"RR"</formula>
    </cfRule>
    <cfRule type="cellIs" dxfId="141" priority="11" stopIfTrue="1" operator="equal">
      <formula>"B"</formula>
    </cfRule>
    <cfRule type="cellIs" dxfId="140" priority="12" stopIfTrue="1" operator="equal">
      <formula>"S"</formula>
    </cfRule>
  </conditionalFormatting>
  <conditionalFormatting sqref="G165:G172">
    <cfRule type="cellIs" dxfId="139" priority="5" stopIfTrue="1" operator="equal">
      <formula>"RB"</formula>
    </cfRule>
    <cfRule type="cellIs" dxfId="138" priority="6" stopIfTrue="1" operator="equal">
      <formula>"RR"</formula>
    </cfRule>
    <cfRule type="cellIs" dxfId="137" priority="7" stopIfTrue="1" operator="equal">
      <formula>"B"</formula>
    </cfRule>
    <cfRule type="cellIs" dxfId="136" priority="8" stopIfTrue="1" operator="equal">
      <formula>"S"</formula>
    </cfRule>
  </conditionalFormatting>
  <conditionalFormatting sqref="G173:G180">
    <cfRule type="cellIs" dxfId="135" priority="1" stopIfTrue="1" operator="equal">
      <formula>"RB"</formula>
    </cfRule>
    <cfRule type="cellIs" dxfId="134" priority="2" stopIfTrue="1" operator="equal">
      <formula>"RR"</formula>
    </cfRule>
    <cfRule type="cellIs" dxfId="133" priority="3" stopIfTrue="1" operator="equal">
      <formula>"B"</formula>
    </cfRule>
    <cfRule type="cellIs" dxfId="132" priority="4" stopIfTrue="1" operator="equal">
      <formula>"S"</formula>
    </cfRule>
  </conditionalFormatting>
  <dataValidations count="2">
    <dataValidation type="list" allowBlank="1" showInputMessage="1" showErrorMessage="1" sqref="Z21:Z188" xr:uid="{00000000-0002-0000-0200-000000000000}">
      <formula1>$J$194:$J$197</formula1>
    </dataValidation>
    <dataValidation type="list" allowBlank="1" showInputMessage="1" showErrorMessage="1" sqref="AD21:AD188" xr:uid="{00000000-0002-0000-0200-000001000000}">
      <formula1>$J$206:$J$210</formula1>
    </dataValidation>
  </dataValidations>
  <printOptions horizontalCentered="1"/>
  <pageMargins left="0.27559055118110237" right="0.27559055118110237" top="0.47244094488188981" bottom="0.31496062992125984" header="0.31496062992125984" footer="0.31496062992125984"/>
  <pageSetup paperSize="9" scale="46" orientation="landscape" horizontalDpi="4294967293" r:id="rId1"/>
  <rowBreaks count="2" manualBreakCount="2">
    <brk id="76" max="40" man="1"/>
    <brk id="132" max="4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249977111117893"/>
  </sheetPr>
  <dimension ref="A1:AA238"/>
  <sheetViews>
    <sheetView view="pageBreakPreview" topLeftCell="A40" zoomScaleNormal="100" zoomScaleSheetLayoutView="100" workbookViewId="0">
      <selection activeCell="I46" sqref="I46"/>
    </sheetView>
  </sheetViews>
  <sheetFormatPr defaultRowHeight="14.4"/>
  <cols>
    <col min="1" max="1" width="1.109375" style="4" customWidth="1"/>
    <col min="2" max="2" width="1.6640625" style="1" customWidth="1"/>
    <col min="3" max="7" width="10.6640625" style="2" customWidth="1"/>
    <col min="8" max="13" width="17.6640625" style="1" customWidth="1"/>
    <col min="14" max="14" width="15.6640625" style="1" customWidth="1"/>
    <col min="15" max="15" width="1" style="4" customWidth="1"/>
    <col min="16" max="248" width="8.88671875" style="4"/>
    <col min="249" max="249" width="7.5546875" style="4" customWidth="1"/>
    <col min="250" max="250" width="7.33203125" style="4" customWidth="1"/>
    <col min="251" max="251" width="9.6640625" style="4" customWidth="1"/>
    <col min="252" max="253" width="6.6640625" style="4" customWidth="1"/>
    <col min="254" max="263" width="6.33203125" style="4" customWidth="1"/>
    <col min="264" max="264" width="9.109375" style="4" customWidth="1"/>
    <col min="265" max="270" width="7.6640625" style="4" customWidth="1"/>
    <col min="271" max="271" width="1.88671875" style="4" customWidth="1"/>
    <col min="272" max="504" width="8.88671875" style="4"/>
    <col min="505" max="505" width="7.5546875" style="4" customWidth="1"/>
    <col min="506" max="506" width="7.33203125" style="4" customWidth="1"/>
    <col min="507" max="507" width="9.6640625" style="4" customWidth="1"/>
    <col min="508" max="509" width="6.6640625" style="4" customWidth="1"/>
    <col min="510" max="519" width="6.33203125" style="4" customWidth="1"/>
    <col min="520" max="520" width="9.109375" style="4" customWidth="1"/>
    <col min="521" max="526" width="7.6640625" style="4" customWidth="1"/>
    <col min="527" max="527" width="1.88671875" style="4" customWidth="1"/>
    <col min="528" max="760" width="8.88671875" style="4"/>
    <col min="761" max="761" width="7.5546875" style="4" customWidth="1"/>
    <col min="762" max="762" width="7.33203125" style="4" customWidth="1"/>
    <col min="763" max="763" width="9.6640625" style="4" customWidth="1"/>
    <col min="764" max="765" width="6.6640625" style="4" customWidth="1"/>
    <col min="766" max="775" width="6.33203125" style="4" customWidth="1"/>
    <col min="776" max="776" width="9.109375" style="4" customWidth="1"/>
    <col min="777" max="782" width="7.6640625" style="4" customWidth="1"/>
    <col min="783" max="783" width="1.88671875" style="4" customWidth="1"/>
    <col min="784" max="1016" width="8.88671875" style="4"/>
    <col min="1017" max="1017" width="7.5546875" style="4" customWidth="1"/>
    <col min="1018" max="1018" width="7.33203125" style="4" customWidth="1"/>
    <col min="1019" max="1019" width="9.6640625" style="4" customWidth="1"/>
    <col min="1020" max="1021" width="6.6640625" style="4" customWidth="1"/>
    <col min="1022" max="1031" width="6.33203125" style="4" customWidth="1"/>
    <col min="1032" max="1032" width="9.109375" style="4" customWidth="1"/>
    <col min="1033" max="1038" width="7.6640625" style="4" customWidth="1"/>
    <col min="1039" max="1039" width="1.88671875" style="4" customWidth="1"/>
    <col min="1040" max="1272" width="8.88671875" style="4"/>
    <col min="1273" max="1273" width="7.5546875" style="4" customWidth="1"/>
    <col min="1274" max="1274" width="7.33203125" style="4" customWidth="1"/>
    <col min="1275" max="1275" width="9.6640625" style="4" customWidth="1"/>
    <col min="1276" max="1277" width="6.6640625" style="4" customWidth="1"/>
    <col min="1278" max="1287" width="6.33203125" style="4" customWidth="1"/>
    <col min="1288" max="1288" width="9.109375" style="4" customWidth="1"/>
    <col min="1289" max="1294" width="7.6640625" style="4" customWidth="1"/>
    <col min="1295" max="1295" width="1.88671875" style="4" customWidth="1"/>
    <col min="1296" max="1528" width="8.88671875" style="4"/>
    <col min="1529" max="1529" width="7.5546875" style="4" customWidth="1"/>
    <col min="1530" max="1530" width="7.33203125" style="4" customWidth="1"/>
    <col min="1531" max="1531" width="9.6640625" style="4" customWidth="1"/>
    <col min="1532" max="1533" width="6.6640625" style="4" customWidth="1"/>
    <col min="1534" max="1543" width="6.33203125" style="4" customWidth="1"/>
    <col min="1544" max="1544" width="9.109375" style="4" customWidth="1"/>
    <col min="1545" max="1550" width="7.6640625" style="4" customWidth="1"/>
    <col min="1551" max="1551" width="1.88671875" style="4" customWidth="1"/>
    <col min="1552" max="1784" width="8.88671875" style="4"/>
    <col min="1785" max="1785" width="7.5546875" style="4" customWidth="1"/>
    <col min="1786" max="1786" width="7.33203125" style="4" customWidth="1"/>
    <col min="1787" max="1787" width="9.6640625" style="4" customWidth="1"/>
    <col min="1788" max="1789" width="6.6640625" style="4" customWidth="1"/>
    <col min="1790" max="1799" width="6.33203125" style="4" customWidth="1"/>
    <col min="1800" max="1800" width="9.109375" style="4" customWidth="1"/>
    <col min="1801" max="1806" width="7.6640625" style="4" customWidth="1"/>
    <col min="1807" max="1807" width="1.88671875" style="4" customWidth="1"/>
    <col min="1808" max="2040" width="8.88671875" style="4"/>
    <col min="2041" max="2041" width="7.5546875" style="4" customWidth="1"/>
    <col min="2042" max="2042" width="7.33203125" style="4" customWidth="1"/>
    <col min="2043" max="2043" width="9.6640625" style="4" customWidth="1"/>
    <col min="2044" max="2045" width="6.6640625" style="4" customWidth="1"/>
    <col min="2046" max="2055" width="6.33203125" style="4" customWidth="1"/>
    <col min="2056" max="2056" width="9.109375" style="4" customWidth="1"/>
    <col min="2057" max="2062" width="7.6640625" style="4" customWidth="1"/>
    <col min="2063" max="2063" width="1.88671875" style="4" customWidth="1"/>
    <col min="2064" max="2296" width="8.88671875" style="4"/>
    <col min="2297" max="2297" width="7.5546875" style="4" customWidth="1"/>
    <col min="2298" max="2298" width="7.33203125" style="4" customWidth="1"/>
    <col min="2299" max="2299" width="9.6640625" style="4" customWidth="1"/>
    <col min="2300" max="2301" width="6.6640625" style="4" customWidth="1"/>
    <col min="2302" max="2311" width="6.33203125" style="4" customWidth="1"/>
    <col min="2312" max="2312" width="9.109375" style="4" customWidth="1"/>
    <col min="2313" max="2318" width="7.6640625" style="4" customWidth="1"/>
    <col min="2319" max="2319" width="1.88671875" style="4" customWidth="1"/>
    <col min="2320" max="2552" width="8.88671875" style="4"/>
    <col min="2553" max="2553" width="7.5546875" style="4" customWidth="1"/>
    <col min="2554" max="2554" width="7.33203125" style="4" customWidth="1"/>
    <col min="2555" max="2555" width="9.6640625" style="4" customWidth="1"/>
    <col min="2556" max="2557" width="6.6640625" style="4" customWidth="1"/>
    <col min="2558" max="2567" width="6.33203125" style="4" customWidth="1"/>
    <col min="2568" max="2568" width="9.109375" style="4" customWidth="1"/>
    <col min="2569" max="2574" width="7.6640625" style="4" customWidth="1"/>
    <col min="2575" max="2575" width="1.88671875" style="4" customWidth="1"/>
    <col min="2576" max="2808" width="8.88671875" style="4"/>
    <col min="2809" max="2809" width="7.5546875" style="4" customWidth="1"/>
    <col min="2810" max="2810" width="7.33203125" style="4" customWidth="1"/>
    <col min="2811" max="2811" width="9.6640625" style="4" customWidth="1"/>
    <col min="2812" max="2813" width="6.6640625" style="4" customWidth="1"/>
    <col min="2814" max="2823" width="6.33203125" style="4" customWidth="1"/>
    <col min="2824" max="2824" width="9.109375" style="4" customWidth="1"/>
    <col min="2825" max="2830" width="7.6640625" style="4" customWidth="1"/>
    <col min="2831" max="2831" width="1.88671875" style="4" customWidth="1"/>
    <col min="2832" max="3064" width="8.88671875" style="4"/>
    <col min="3065" max="3065" width="7.5546875" style="4" customWidth="1"/>
    <col min="3066" max="3066" width="7.33203125" style="4" customWidth="1"/>
    <col min="3067" max="3067" width="9.6640625" style="4" customWidth="1"/>
    <col min="3068" max="3069" width="6.6640625" style="4" customWidth="1"/>
    <col min="3070" max="3079" width="6.33203125" style="4" customWidth="1"/>
    <col min="3080" max="3080" width="9.109375" style="4" customWidth="1"/>
    <col min="3081" max="3086" width="7.6640625" style="4" customWidth="1"/>
    <col min="3087" max="3087" width="1.88671875" style="4" customWidth="1"/>
    <col min="3088" max="3320" width="8.88671875" style="4"/>
    <col min="3321" max="3321" width="7.5546875" style="4" customWidth="1"/>
    <col min="3322" max="3322" width="7.33203125" style="4" customWidth="1"/>
    <col min="3323" max="3323" width="9.6640625" style="4" customWidth="1"/>
    <col min="3324" max="3325" width="6.6640625" style="4" customWidth="1"/>
    <col min="3326" max="3335" width="6.33203125" style="4" customWidth="1"/>
    <col min="3336" max="3336" width="9.109375" style="4" customWidth="1"/>
    <col min="3337" max="3342" width="7.6640625" style="4" customWidth="1"/>
    <col min="3343" max="3343" width="1.88671875" style="4" customWidth="1"/>
    <col min="3344" max="3576" width="8.88671875" style="4"/>
    <col min="3577" max="3577" width="7.5546875" style="4" customWidth="1"/>
    <col min="3578" max="3578" width="7.33203125" style="4" customWidth="1"/>
    <col min="3579" max="3579" width="9.6640625" style="4" customWidth="1"/>
    <col min="3580" max="3581" width="6.6640625" style="4" customWidth="1"/>
    <col min="3582" max="3591" width="6.33203125" style="4" customWidth="1"/>
    <col min="3592" max="3592" width="9.109375" style="4" customWidth="1"/>
    <col min="3593" max="3598" width="7.6640625" style="4" customWidth="1"/>
    <col min="3599" max="3599" width="1.88671875" style="4" customWidth="1"/>
    <col min="3600" max="3832" width="8.88671875" style="4"/>
    <col min="3833" max="3833" width="7.5546875" style="4" customWidth="1"/>
    <col min="3834" max="3834" width="7.33203125" style="4" customWidth="1"/>
    <col min="3835" max="3835" width="9.6640625" style="4" customWidth="1"/>
    <col min="3836" max="3837" width="6.6640625" style="4" customWidth="1"/>
    <col min="3838" max="3847" width="6.33203125" style="4" customWidth="1"/>
    <col min="3848" max="3848" width="9.109375" style="4" customWidth="1"/>
    <col min="3849" max="3854" width="7.6640625" style="4" customWidth="1"/>
    <col min="3855" max="3855" width="1.88671875" style="4" customWidth="1"/>
    <col min="3856" max="4088" width="8.88671875" style="4"/>
    <col min="4089" max="4089" width="7.5546875" style="4" customWidth="1"/>
    <col min="4090" max="4090" width="7.33203125" style="4" customWidth="1"/>
    <col min="4091" max="4091" width="9.6640625" style="4" customWidth="1"/>
    <col min="4092" max="4093" width="6.6640625" style="4" customWidth="1"/>
    <col min="4094" max="4103" width="6.33203125" style="4" customWidth="1"/>
    <col min="4104" max="4104" width="9.109375" style="4" customWidth="1"/>
    <col min="4105" max="4110" width="7.6640625" style="4" customWidth="1"/>
    <col min="4111" max="4111" width="1.88671875" style="4" customWidth="1"/>
    <col min="4112" max="4344" width="8.88671875" style="4"/>
    <col min="4345" max="4345" width="7.5546875" style="4" customWidth="1"/>
    <col min="4346" max="4346" width="7.33203125" style="4" customWidth="1"/>
    <col min="4347" max="4347" width="9.6640625" style="4" customWidth="1"/>
    <col min="4348" max="4349" width="6.6640625" style="4" customWidth="1"/>
    <col min="4350" max="4359" width="6.33203125" style="4" customWidth="1"/>
    <col min="4360" max="4360" width="9.109375" style="4" customWidth="1"/>
    <col min="4361" max="4366" width="7.6640625" style="4" customWidth="1"/>
    <col min="4367" max="4367" width="1.88671875" style="4" customWidth="1"/>
    <col min="4368" max="4600" width="8.88671875" style="4"/>
    <col min="4601" max="4601" width="7.5546875" style="4" customWidth="1"/>
    <col min="4602" max="4602" width="7.33203125" style="4" customWidth="1"/>
    <col min="4603" max="4603" width="9.6640625" style="4" customWidth="1"/>
    <col min="4604" max="4605" width="6.6640625" style="4" customWidth="1"/>
    <col min="4606" max="4615" width="6.33203125" style="4" customWidth="1"/>
    <col min="4616" max="4616" width="9.109375" style="4" customWidth="1"/>
    <col min="4617" max="4622" width="7.6640625" style="4" customWidth="1"/>
    <col min="4623" max="4623" width="1.88671875" style="4" customWidth="1"/>
    <col min="4624" max="4856" width="8.88671875" style="4"/>
    <col min="4857" max="4857" width="7.5546875" style="4" customWidth="1"/>
    <col min="4858" max="4858" width="7.33203125" style="4" customWidth="1"/>
    <col min="4859" max="4859" width="9.6640625" style="4" customWidth="1"/>
    <col min="4860" max="4861" width="6.6640625" style="4" customWidth="1"/>
    <col min="4862" max="4871" width="6.33203125" style="4" customWidth="1"/>
    <col min="4872" max="4872" width="9.109375" style="4" customWidth="1"/>
    <col min="4873" max="4878" width="7.6640625" style="4" customWidth="1"/>
    <col min="4879" max="4879" width="1.88671875" style="4" customWidth="1"/>
    <col min="4880" max="5112" width="8.88671875" style="4"/>
    <col min="5113" max="5113" width="7.5546875" style="4" customWidth="1"/>
    <col min="5114" max="5114" width="7.33203125" style="4" customWidth="1"/>
    <col min="5115" max="5115" width="9.6640625" style="4" customWidth="1"/>
    <col min="5116" max="5117" width="6.6640625" style="4" customWidth="1"/>
    <col min="5118" max="5127" width="6.33203125" style="4" customWidth="1"/>
    <col min="5128" max="5128" width="9.109375" style="4" customWidth="1"/>
    <col min="5129" max="5134" width="7.6640625" style="4" customWidth="1"/>
    <col min="5135" max="5135" width="1.88671875" style="4" customWidth="1"/>
    <col min="5136" max="5368" width="8.88671875" style="4"/>
    <col min="5369" max="5369" width="7.5546875" style="4" customWidth="1"/>
    <col min="5370" max="5370" width="7.33203125" style="4" customWidth="1"/>
    <col min="5371" max="5371" width="9.6640625" style="4" customWidth="1"/>
    <col min="5372" max="5373" width="6.6640625" style="4" customWidth="1"/>
    <col min="5374" max="5383" width="6.33203125" style="4" customWidth="1"/>
    <col min="5384" max="5384" width="9.109375" style="4" customWidth="1"/>
    <col min="5385" max="5390" width="7.6640625" style="4" customWidth="1"/>
    <col min="5391" max="5391" width="1.88671875" style="4" customWidth="1"/>
    <col min="5392" max="5624" width="8.88671875" style="4"/>
    <col min="5625" max="5625" width="7.5546875" style="4" customWidth="1"/>
    <col min="5626" max="5626" width="7.33203125" style="4" customWidth="1"/>
    <col min="5627" max="5627" width="9.6640625" style="4" customWidth="1"/>
    <col min="5628" max="5629" width="6.6640625" style="4" customWidth="1"/>
    <col min="5630" max="5639" width="6.33203125" style="4" customWidth="1"/>
    <col min="5640" max="5640" width="9.109375" style="4" customWidth="1"/>
    <col min="5641" max="5646" width="7.6640625" style="4" customWidth="1"/>
    <col min="5647" max="5647" width="1.88671875" style="4" customWidth="1"/>
    <col min="5648" max="5880" width="8.88671875" style="4"/>
    <col min="5881" max="5881" width="7.5546875" style="4" customWidth="1"/>
    <col min="5882" max="5882" width="7.33203125" style="4" customWidth="1"/>
    <col min="5883" max="5883" width="9.6640625" style="4" customWidth="1"/>
    <col min="5884" max="5885" width="6.6640625" style="4" customWidth="1"/>
    <col min="5886" max="5895" width="6.33203125" style="4" customWidth="1"/>
    <col min="5896" max="5896" width="9.109375" style="4" customWidth="1"/>
    <col min="5897" max="5902" width="7.6640625" style="4" customWidth="1"/>
    <col min="5903" max="5903" width="1.88671875" style="4" customWidth="1"/>
    <col min="5904" max="6136" width="8.88671875" style="4"/>
    <col min="6137" max="6137" width="7.5546875" style="4" customWidth="1"/>
    <col min="6138" max="6138" width="7.33203125" style="4" customWidth="1"/>
    <col min="6139" max="6139" width="9.6640625" style="4" customWidth="1"/>
    <col min="6140" max="6141" width="6.6640625" style="4" customWidth="1"/>
    <col min="6142" max="6151" width="6.33203125" style="4" customWidth="1"/>
    <col min="6152" max="6152" width="9.109375" style="4" customWidth="1"/>
    <col min="6153" max="6158" width="7.6640625" style="4" customWidth="1"/>
    <col min="6159" max="6159" width="1.88671875" style="4" customWidth="1"/>
    <col min="6160" max="6392" width="8.88671875" style="4"/>
    <col min="6393" max="6393" width="7.5546875" style="4" customWidth="1"/>
    <col min="6394" max="6394" width="7.33203125" style="4" customWidth="1"/>
    <col min="6395" max="6395" width="9.6640625" style="4" customWidth="1"/>
    <col min="6396" max="6397" width="6.6640625" style="4" customWidth="1"/>
    <col min="6398" max="6407" width="6.33203125" style="4" customWidth="1"/>
    <col min="6408" max="6408" width="9.109375" style="4" customWidth="1"/>
    <col min="6409" max="6414" width="7.6640625" style="4" customWidth="1"/>
    <col min="6415" max="6415" width="1.88671875" style="4" customWidth="1"/>
    <col min="6416" max="6648" width="8.88671875" style="4"/>
    <col min="6649" max="6649" width="7.5546875" style="4" customWidth="1"/>
    <col min="6650" max="6650" width="7.33203125" style="4" customWidth="1"/>
    <col min="6651" max="6651" width="9.6640625" style="4" customWidth="1"/>
    <col min="6652" max="6653" width="6.6640625" style="4" customWidth="1"/>
    <col min="6654" max="6663" width="6.33203125" style="4" customWidth="1"/>
    <col min="6664" max="6664" width="9.109375" style="4" customWidth="1"/>
    <col min="6665" max="6670" width="7.6640625" style="4" customWidth="1"/>
    <col min="6671" max="6671" width="1.88671875" style="4" customWidth="1"/>
    <col min="6672" max="6904" width="8.88671875" style="4"/>
    <col min="6905" max="6905" width="7.5546875" style="4" customWidth="1"/>
    <col min="6906" max="6906" width="7.33203125" style="4" customWidth="1"/>
    <col min="6907" max="6907" width="9.6640625" style="4" customWidth="1"/>
    <col min="6908" max="6909" width="6.6640625" style="4" customWidth="1"/>
    <col min="6910" max="6919" width="6.33203125" style="4" customWidth="1"/>
    <col min="6920" max="6920" width="9.109375" style="4" customWidth="1"/>
    <col min="6921" max="6926" width="7.6640625" style="4" customWidth="1"/>
    <col min="6927" max="6927" width="1.88671875" style="4" customWidth="1"/>
    <col min="6928" max="7160" width="8.88671875" style="4"/>
    <col min="7161" max="7161" width="7.5546875" style="4" customWidth="1"/>
    <col min="7162" max="7162" width="7.33203125" style="4" customWidth="1"/>
    <col min="7163" max="7163" width="9.6640625" style="4" customWidth="1"/>
    <col min="7164" max="7165" width="6.6640625" style="4" customWidth="1"/>
    <col min="7166" max="7175" width="6.33203125" style="4" customWidth="1"/>
    <col min="7176" max="7176" width="9.109375" style="4" customWidth="1"/>
    <col min="7177" max="7182" width="7.6640625" style="4" customWidth="1"/>
    <col min="7183" max="7183" width="1.88671875" style="4" customWidth="1"/>
    <col min="7184" max="7416" width="8.88671875" style="4"/>
    <col min="7417" max="7417" width="7.5546875" style="4" customWidth="1"/>
    <col min="7418" max="7418" width="7.33203125" style="4" customWidth="1"/>
    <col min="7419" max="7419" width="9.6640625" style="4" customWidth="1"/>
    <col min="7420" max="7421" width="6.6640625" style="4" customWidth="1"/>
    <col min="7422" max="7431" width="6.33203125" style="4" customWidth="1"/>
    <col min="7432" max="7432" width="9.109375" style="4" customWidth="1"/>
    <col min="7433" max="7438" width="7.6640625" style="4" customWidth="1"/>
    <col min="7439" max="7439" width="1.88671875" style="4" customWidth="1"/>
    <col min="7440" max="7672" width="8.88671875" style="4"/>
    <col min="7673" max="7673" width="7.5546875" style="4" customWidth="1"/>
    <col min="7674" max="7674" width="7.33203125" style="4" customWidth="1"/>
    <col min="7675" max="7675" width="9.6640625" style="4" customWidth="1"/>
    <col min="7676" max="7677" width="6.6640625" style="4" customWidth="1"/>
    <col min="7678" max="7687" width="6.33203125" style="4" customWidth="1"/>
    <col min="7688" max="7688" width="9.109375" style="4" customWidth="1"/>
    <col min="7689" max="7694" width="7.6640625" style="4" customWidth="1"/>
    <col min="7695" max="7695" width="1.88671875" style="4" customWidth="1"/>
    <col min="7696" max="7928" width="8.88671875" style="4"/>
    <col min="7929" max="7929" width="7.5546875" style="4" customWidth="1"/>
    <col min="7930" max="7930" width="7.33203125" style="4" customWidth="1"/>
    <col min="7931" max="7931" width="9.6640625" style="4" customWidth="1"/>
    <col min="7932" max="7933" width="6.6640625" style="4" customWidth="1"/>
    <col min="7934" max="7943" width="6.33203125" style="4" customWidth="1"/>
    <col min="7944" max="7944" width="9.109375" style="4" customWidth="1"/>
    <col min="7945" max="7950" width="7.6640625" style="4" customWidth="1"/>
    <col min="7951" max="7951" width="1.88671875" style="4" customWidth="1"/>
    <col min="7952" max="8184" width="8.88671875" style="4"/>
    <col min="8185" max="8185" width="7.5546875" style="4" customWidth="1"/>
    <col min="8186" max="8186" width="7.33203125" style="4" customWidth="1"/>
    <col min="8187" max="8187" width="9.6640625" style="4" customWidth="1"/>
    <col min="8188" max="8189" width="6.6640625" style="4" customWidth="1"/>
    <col min="8190" max="8199" width="6.33203125" style="4" customWidth="1"/>
    <col min="8200" max="8200" width="9.109375" style="4" customWidth="1"/>
    <col min="8201" max="8206" width="7.6640625" style="4" customWidth="1"/>
    <col min="8207" max="8207" width="1.88671875" style="4" customWidth="1"/>
    <col min="8208" max="8440" width="8.88671875" style="4"/>
    <col min="8441" max="8441" width="7.5546875" style="4" customWidth="1"/>
    <col min="8442" max="8442" width="7.33203125" style="4" customWidth="1"/>
    <col min="8443" max="8443" width="9.6640625" style="4" customWidth="1"/>
    <col min="8444" max="8445" width="6.6640625" style="4" customWidth="1"/>
    <col min="8446" max="8455" width="6.33203125" style="4" customWidth="1"/>
    <col min="8456" max="8456" width="9.109375" style="4" customWidth="1"/>
    <col min="8457" max="8462" width="7.6640625" style="4" customWidth="1"/>
    <col min="8463" max="8463" width="1.88671875" style="4" customWidth="1"/>
    <col min="8464" max="8696" width="8.88671875" style="4"/>
    <col min="8697" max="8697" width="7.5546875" style="4" customWidth="1"/>
    <col min="8698" max="8698" width="7.33203125" style="4" customWidth="1"/>
    <col min="8699" max="8699" width="9.6640625" style="4" customWidth="1"/>
    <col min="8700" max="8701" width="6.6640625" style="4" customWidth="1"/>
    <col min="8702" max="8711" width="6.33203125" style="4" customWidth="1"/>
    <col min="8712" max="8712" width="9.109375" style="4" customWidth="1"/>
    <col min="8713" max="8718" width="7.6640625" style="4" customWidth="1"/>
    <col min="8719" max="8719" width="1.88671875" style="4" customWidth="1"/>
    <col min="8720" max="8952" width="8.88671875" style="4"/>
    <col min="8953" max="8953" width="7.5546875" style="4" customWidth="1"/>
    <col min="8954" max="8954" width="7.33203125" style="4" customWidth="1"/>
    <col min="8955" max="8955" width="9.6640625" style="4" customWidth="1"/>
    <col min="8956" max="8957" width="6.6640625" style="4" customWidth="1"/>
    <col min="8958" max="8967" width="6.33203125" style="4" customWidth="1"/>
    <col min="8968" max="8968" width="9.109375" style="4" customWidth="1"/>
    <col min="8969" max="8974" width="7.6640625" style="4" customWidth="1"/>
    <col min="8975" max="8975" width="1.88671875" style="4" customWidth="1"/>
    <col min="8976" max="9208" width="8.88671875" style="4"/>
    <col min="9209" max="9209" width="7.5546875" style="4" customWidth="1"/>
    <col min="9210" max="9210" width="7.33203125" style="4" customWidth="1"/>
    <col min="9211" max="9211" width="9.6640625" style="4" customWidth="1"/>
    <col min="9212" max="9213" width="6.6640625" style="4" customWidth="1"/>
    <col min="9214" max="9223" width="6.33203125" style="4" customWidth="1"/>
    <col min="9224" max="9224" width="9.109375" style="4" customWidth="1"/>
    <col min="9225" max="9230" width="7.6640625" style="4" customWidth="1"/>
    <col min="9231" max="9231" width="1.88671875" style="4" customWidth="1"/>
    <col min="9232" max="9464" width="8.88671875" style="4"/>
    <col min="9465" max="9465" width="7.5546875" style="4" customWidth="1"/>
    <col min="9466" max="9466" width="7.33203125" style="4" customWidth="1"/>
    <col min="9467" max="9467" width="9.6640625" style="4" customWidth="1"/>
    <col min="9468" max="9469" width="6.6640625" style="4" customWidth="1"/>
    <col min="9470" max="9479" width="6.33203125" style="4" customWidth="1"/>
    <col min="9480" max="9480" width="9.109375" style="4" customWidth="1"/>
    <col min="9481" max="9486" width="7.6640625" style="4" customWidth="1"/>
    <col min="9487" max="9487" width="1.88671875" style="4" customWidth="1"/>
    <col min="9488" max="9720" width="8.88671875" style="4"/>
    <col min="9721" max="9721" width="7.5546875" style="4" customWidth="1"/>
    <col min="9722" max="9722" width="7.33203125" style="4" customWidth="1"/>
    <col min="9723" max="9723" width="9.6640625" style="4" customWidth="1"/>
    <col min="9724" max="9725" width="6.6640625" style="4" customWidth="1"/>
    <col min="9726" max="9735" width="6.33203125" style="4" customWidth="1"/>
    <col min="9736" max="9736" width="9.109375" style="4" customWidth="1"/>
    <col min="9737" max="9742" width="7.6640625" style="4" customWidth="1"/>
    <col min="9743" max="9743" width="1.88671875" style="4" customWidth="1"/>
    <col min="9744" max="9976" width="8.88671875" style="4"/>
    <col min="9977" max="9977" width="7.5546875" style="4" customWidth="1"/>
    <col min="9978" max="9978" width="7.33203125" style="4" customWidth="1"/>
    <col min="9979" max="9979" width="9.6640625" style="4" customWidth="1"/>
    <col min="9980" max="9981" width="6.6640625" style="4" customWidth="1"/>
    <col min="9982" max="9991" width="6.33203125" style="4" customWidth="1"/>
    <col min="9992" max="9992" width="9.109375" style="4" customWidth="1"/>
    <col min="9993" max="9998" width="7.6640625" style="4" customWidth="1"/>
    <col min="9999" max="9999" width="1.88671875" style="4" customWidth="1"/>
    <col min="10000" max="10232" width="8.88671875" style="4"/>
    <col min="10233" max="10233" width="7.5546875" style="4" customWidth="1"/>
    <col min="10234" max="10234" width="7.33203125" style="4" customWidth="1"/>
    <col min="10235" max="10235" width="9.6640625" style="4" customWidth="1"/>
    <col min="10236" max="10237" width="6.6640625" style="4" customWidth="1"/>
    <col min="10238" max="10247" width="6.33203125" style="4" customWidth="1"/>
    <col min="10248" max="10248" width="9.109375" style="4" customWidth="1"/>
    <col min="10249" max="10254" width="7.6640625" style="4" customWidth="1"/>
    <col min="10255" max="10255" width="1.88671875" style="4" customWidth="1"/>
    <col min="10256" max="10488" width="8.88671875" style="4"/>
    <col min="10489" max="10489" width="7.5546875" style="4" customWidth="1"/>
    <col min="10490" max="10490" width="7.33203125" style="4" customWidth="1"/>
    <col min="10491" max="10491" width="9.6640625" style="4" customWidth="1"/>
    <col min="10492" max="10493" width="6.6640625" style="4" customWidth="1"/>
    <col min="10494" max="10503" width="6.33203125" style="4" customWidth="1"/>
    <col min="10504" max="10504" width="9.109375" style="4" customWidth="1"/>
    <col min="10505" max="10510" width="7.6640625" style="4" customWidth="1"/>
    <col min="10511" max="10511" width="1.88671875" style="4" customWidth="1"/>
    <col min="10512" max="10744" width="8.88671875" style="4"/>
    <col min="10745" max="10745" width="7.5546875" style="4" customWidth="1"/>
    <col min="10746" max="10746" width="7.33203125" style="4" customWidth="1"/>
    <col min="10747" max="10747" width="9.6640625" style="4" customWidth="1"/>
    <col min="10748" max="10749" width="6.6640625" style="4" customWidth="1"/>
    <col min="10750" max="10759" width="6.33203125" style="4" customWidth="1"/>
    <col min="10760" max="10760" width="9.109375" style="4" customWidth="1"/>
    <col min="10761" max="10766" width="7.6640625" style="4" customWidth="1"/>
    <col min="10767" max="10767" width="1.88671875" style="4" customWidth="1"/>
    <col min="10768" max="11000" width="8.88671875" style="4"/>
    <col min="11001" max="11001" width="7.5546875" style="4" customWidth="1"/>
    <col min="11002" max="11002" width="7.33203125" style="4" customWidth="1"/>
    <col min="11003" max="11003" width="9.6640625" style="4" customWidth="1"/>
    <col min="11004" max="11005" width="6.6640625" style="4" customWidth="1"/>
    <col min="11006" max="11015" width="6.33203125" style="4" customWidth="1"/>
    <col min="11016" max="11016" width="9.109375" style="4" customWidth="1"/>
    <col min="11017" max="11022" width="7.6640625" style="4" customWidth="1"/>
    <col min="11023" max="11023" width="1.88671875" style="4" customWidth="1"/>
    <col min="11024" max="11256" width="8.88671875" style="4"/>
    <col min="11257" max="11257" width="7.5546875" style="4" customWidth="1"/>
    <col min="11258" max="11258" width="7.33203125" style="4" customWidth="1"/>
    <col min="11259" max="11259" width="9.6640625" style="4" customWidth="1"/>
    <col min="11260" max="11261" width="6.6640625" style="4" customWidth="1"/>
    <col min="11262" max="11271" width="6.33203125" style="4" customWidth="1"/>
    <col min="11272" max="11272" width="9.109375" style="4" customWidth="1"/>
    <col min="11273" max="11278" width="7.6640625" style="4" customWidth="1"/>
    <col min="11279" max="11279" width="1.88671875" style="4" customWidth="1"/>
    <col min="11280" max="11512" width="8.88671875" style="4"/>
    <col min="11513" max="11513" width="7.5546875" style="4" customWidth="1"/>
    <col min="11514" max="11514" width="7.33203125" style="4" customWidth="1"/>
    <col min="11515" max="11515" width="9.6640625" style="4" customWidth="1"/>
    <col min="11516" max="11517" width="6.6640625" style="4" customWidth="1"/>
    <col min="11518" max="11527" width="6.33203125" style="4" customWidth="1"/>
    <col min="11528" max="11528" width="9.109375" style="4" customWidth="1"/>
    <col min="11529" max="11534" width="7.6640625" style="4" customWidth="1"/>
    <col min="11535" max="11535" width="1.88671875" style="4" customWidth="1"/>
    <col min="11536" max="11768" width="8.88671875" style="4"/>
    <col min="11769" max="11769" width="7.5546875" style="4" customWidth="1"/>
    <col min="11770" max="11770" width="7.33203125" style="4" customWidth="1"/>
    <col min="11771" max="11771" width="9.6640625" style="4" customWidth="1"/>
    <col min="11772" max="11773" width="6.6640625" style="4" customWidth="1"/>
    <col min="11774" max="11783" width="6.33203125" style="4" customWidth="1"/>
    <col min="11784" max="11784" width="9.109375" style="4" customWidth="1"/>
    <col min="11785" max="11790" width="7.6640625" style="4" customWidth="1"/>
    <col min="11791" max="11791" width="1.88671875" style="4" customWidth="1"/>
    <col min="11792" max="12024" width="8.88671875" style="4"/>
    <col min="12025" max="12025" width="7.5546875" style="4" customWidth="1"/>
    <col min="12026" max="12026" width="7.33203125" style="4" customWidth="1"/>
    <col min="12027" max="12027" width="9.6640625" style="4" customWidth="1"/>
    <col min="12028" max="12029" width="6.6640625" style="4" customWidth="1"/>
    <col min="12030" max="12039" width="6.33203125" style="4" customWidth="1"/>
    <col min="12040" max="12040" width="9.109375" style="4" customWidth="1"/>
    <col min="12041" max="12046" width="7.6640625" style="4" customWidth="1"/>
    <col min="12047" max="12047" width="1.88671875" style="4" customWidth="1"/>
    <col min="12048" max="12280" width="8.88671875" style="4"/>
    <col min="12281" max="12281" width="7.5546875" style="4" customWidth="1"/>
    <col min="12282" max="12282" width="7.33203125" style="4" customWidth="1"/>
    <col min="12283" max="12283" width="9.6640625" style="4" customWidth="1"/>
    <col min="12284" max="12285" width="6.6640625" style="4" customWidth="1"/>
    <col min="12286" max="12295" width="6.33203125" style="4" customWidth="1"/>
    <col min="12296" max="12296" width="9.109375" style="4" customWidth="1"/>
    <col min="12297" max="12302" width="7.6640625" style="4" customWidth="1"/>
    <col min="12303" max="12303" width="1.88671875" style="4" customWidth="1"/>
    <col min="12304" max="12536" width="8.88671875" style="4"/>
    <col min="12537" max="12537" width="7.5546875" style="4" customWidth="1"/>
    <col min="12538" max="12538" width="7.33203125" style="4" customWidth="1"/>
    <col min="12539" max="12539" width="9.6640625" style="4" customWidth="1"/>
    <col min="12540" max="12541" width="6.6640625" style="4" customWidth="1"/>
    <col min="12542" max="12551" width="6.33203125" style="4" customWidth="1"/>
    <col min="12552" max="12552" width="9.109375" style="4" customWidth="1"/>
    <col min="12553" max="12558" width="7.6640625" style="4" customWidth="1"/>
    <col min="12559" max="12559" width="1.88671875" style="4" customWidth="1"/>
    <col min="12560" max="12792" width="8.88671875" style="4"/>
    <col min="12793" max="12793" width="7.5546875" style="4" customWidth="1"/>
    <col min="12794" max="12794" width="7.33203125" style="4" customWidth="1"/>
    <col min="12795" max="12795" width="9.6640625" style="4" customWidth="1"/>
    <col min="12796" max="12797" width="6.6640625" style="4" customWidth="1"/>
    <col min="12798" max="12807" width="6.33203125" style="4" customWidth="1"/>
    <col min="12808" max="12808" width="9.109375" style="4" customWidth="1"/>
    <col min="12809" max="12814" width="7.6640625" style="4" customWidth="1"/>
    <col min="12815" max="12815" width="1.88671875" style="4" customWidth="1"/>
    <col min="12816" max="13048" width="8.88671875" style="4"/>
    <col min="13049" max="13049" width="7.5546875" style="4" customWidth="1"/>
    <col min="13050" max="13050" width="7.33203125" style="4" customWidth="1"/>
    <col min="13051" max="13051" width="9.6640625" style="4" customWidth="1"/>
    <col min="13052" max="13053" width="6.6640625" style="4" customWidth="1"/>
    <col min="13054" max="13063" width="6.33203125" style="4" customWidth="1"/>
    <col min="13064" max="13064" width="9.109375" style="4" customWidth="1"/>
    <col min="13065" max="13070" width="7.6640625" style="4" customWidth="1"/>
    <col min="13071" max="13071" width="1.88671875" style="4" customWidth="1"/>
    <col min="13072" max="13304" width="8.88671875" style="4"/>
    <col min="13305" max="13305" width="7.5546875" style="4" customWidth="1"/>
    <col min="13306" max="13306" width="7.33203125" style="4" customWidth="1"/>
    <col min="13307" max="13307" width="9.6640625" style="4" customWidth="1"/>
    <col min="13308" max="13309" width="6.6640625" style="4" customWidth="1"/>
    <col min="13310" max="13319" width="6.33203125" style="4" customWidth="1"/>
    <col min="13320" max="13320" width="9.109375" style="4" customWidth="1"/>
    <col min="13321" max="13326" width="7.6640625" style="4" customWidth="1"/>
    <col min="13327" max="13327" width="1.88671875" style="4" customWidth="1"/>
    <col min="13328" max="13560" width="8.88671875" style="4"/>
    <col min="13561" max="13561" width="7.5546875" style="4" customWidth="1"/>
    <col min="13562" max="13562" width="7.33203125" style="4" customWidth="1"/>
    <col min="13563" max="13563" width="9.6640625" style="4" customWidth="1"/>
    <col min="13564" max="13565" width="6.6640625" style="4" customWidth="1"/>
    <col min="13566" max="13575" width="6.33203125" style="4" customWidth="1"/>
    <col min="13576" max="13576" width="9.109375" style="4" customWidth="1"/>
    <col min="13577" max="13582" width="7.6640625" style="4" customWidth="1"/>
    <col min="13583" max="13583" width="1.88671875" style="4" customWidth="1"/>
    <col min="13584" max="13816" width="8.88671875" style="4"/>
    <col min="13817" max="13817" width="7.5546875" style="4" customWidth="1"/>
    <col min="13818" max="13818" width="7.33203125" style="4" customWidth="1"/>
    <col min="13819" max="13819" width="9.6640625" style="4" customWidth="1"/>
    <col min="13820" max="13821" width="6.6640625" style="4" customWidth="1"/>
    <col min="13822" max="13831" width="6.33203125" style="4" customWidth="1"/>
    <col min="13832" max="13832" width="9.109375" style="4" customWidth="1"/>
    <col min="13833" max="13838" width="7.6640625" style="4" customWidth="1"/>
    <col min="13839" max="13839" width="1.88671875" style="4" customWidth="1"/>
    <col min="13840" max="14072" width="8.88671875" style="4"/>
    <col min="14073" max="14073" width="7.5546875" style="4" customWidth="1"/>
    <col min="14074" max="14074" width="7.33203125" style="4" customWidth="1"/>
    <col min="14075" max="14075" width="9.6640625" style="4" customWidth="1"/>
    <col min="14076" max="14077" width="6.6640625" style="4" customWidth="1"/>
    <col min="14078" max="14087" width="6.33203125" style="4" customWidth="1"/>
    <col min="14088" max="14088" width="9.109375" style="4" customWidth="1"/>
    <col min="14089" max="14094" width="7.6640625" style="4" customWidth="1"/>
    <col min="14095" max="14095" width="1.88671875" style="4" customWidth="1"/>
    <col min="14096" max="14328" width="8.88671875" style="4"/>
    <col min="14329" max="14329" width="7.5546875" style="4" customWidth="1"/>
    <col min="14330" max="14330" width="7.33203125" style="4" customWidth="1"/>
    <col min="14331" max="14331" width="9.6640625" style="4" customWidth="1"/>
    <col min="14332" max="14333" width="6.6640625" style="4" customWidth="1"/>
    <col min="14334" max="14343" width="6.33203125" style="4" customWidth="1"/>
    <col min="14344" max="14344" width="9.109375" style="4" customWidth="1"/>
    <col min="14345" max="14350" width="7.6640625" style="4" customWidth="1"/>
    <col min="14351" max="14351" width="1.88671875" style="4" customWidth="1"/>
    <col min="14352" max="14584" width="8.88671875" style="4"/>
    <col min="14585" max="14585" width="7.5546875" style="4" customWidth="1"/>
    <col min="14586" max="14586" width="7.33203125" style="4" customWidth="1"/>
    <col min="14587" max="14587" width="9.6640625" style="4" customWidth="1"/>
    <col min="14588" max="14589" width="6.6640625" style="4" customWidth="1"/>
    <col min="14590" max="14599" width="6.33203125" style="4" customWidth="1"/>
    <col min="14600" max="14600" width="9.109375" style="4" customWidth="1"/>
    <col min="14601" max="14606" width="7.6640625" style="4" customWidth="1"/>
    <col min="14607" max="14607" width="1.88671875" style="4" customWidth="1"/>
    <col min="14608" max="14840" width="8.88671875" style="4"/>
    <col min="14841" max="14841" width="7.5546875" style="4" customWidth="1"/>
    <col min="14842" max="14842" width="7.33203125" style="4" customWidth="1"/>
    <col min="14843" max="14843" width="9.6640625" style="4" customWidth="1"/>
    <col min="14844" max="14845" width="6.6640625" style="4" customWidth="1"/>
    <col min="14846" max="14855" width="6.33203125" style="4" customWidth="1"/>
    <col min="14856" max="14856" width="9.109375" style="4" customWidth="1"/>
    <col min="14857" max="14862" width="7.6640625" style="4" customWidth="1"/>
    <col min="14863" max="14863" width="1.88671875" style="4" customWidth="1"/>
    <col min="14864" max="15096" width="8.88671875" style="4"/>
    <col min="15097" max="15097" width="7.5546875" style="4" customWidth="1"/>
    <col min="15098" max="15098" width="7.33203125" style="4" customWidth="1"/>
    <col min="15099" max="15099" width="9.6640625" style="4" customWidth="1"/>
    <col min="15100" max="15101" width="6.6640625" style="4" customWidth="1"/>
    <col min="15102" max="15111" width="6.33203125" style="4" customWidth="1"/>
    <col min="15112" max="15112" width="9.109375" style="4" customWidth="1"/>
    <col min="15113" max="15118" width="7.6640625" style="4" customWidth="1"/>
    <col min="15119" max="15119" width="1.88671875" style="4" customWidth="1"/>
    <col min="15120" max="15352" width="8.88671875" style="4"/>
    <col min="15353" max="15353" width="7.5546875" style="4" customWidth="1"/>
    <col min="15354" max="15354" width="7.33203125" style="4" customWidth="1"/>
    <col min="15355" max="15355" width="9.6640625" style="4" customWidth="1"/>
    <col min="15356" max="15357" width="6.6640625" style="4" customWidth="1"/>
    <col min="15358" max="15367" width="6.33203125" style="4" customWidth="1"/>
    <col min="15368" max="15368" width="9.109375" style="4" customWidth="1"/>
    <col min="15369" max="15374" width="7.6640625" style="4" customWidth="1"/>
    <col min="15375" max="15375" width="1.88671875" style="4" customWidth="1"/>
    <col min="15376" max="15608" width="8.88671875" style="4"/>
    <col min="15609" max="15609" width="7.5546875" style="4" customWidth="1"/>
    <col min="15610" max="15610" width="7.33203125" style="4" customWidth="1"/>
    <col min="15611" max="15611" width="9.6640625" style="4" customWidth="1"/>
    <col min="15612" max="15613" width="6.6640625" style="4" customWidth="1"/>
    <col min="15614" max="15623" width="6.33203125" style="4" customWidth="1"/>
    <col min="15624" max="15624" width="9.109375" style="4" customWidth="1"/>
    <col min="15625" max="15630" width="7.6640625" style="4" customWidth="1"/>
    <col min="15631" max="15631" width="1.88671875" style="4" customWidth="1"/>
    <col min="15632" max="15864" width="8.88671875" style="4"/>
    <col min="15865" max="15865" width="7.5546875" style="4" customWidth="1"/>
    <col min="15866" max="15866" width="7.33203125" style="4" customWidth="1"/>
    <col min="15867" max="15867" width="9.6640625" style="4" customWidth="1"/>
    <col min="15868" max="15869" width="6.6640625" style="4" customWidth="1"/>
    <col min="15870" max="15879" width="6.33203125" style="4" customWidth="1"/>
    <col min="15880" max="15880" width="9.109375" style="4" customWidth="1"/>
    <col min="15881" max="15886" width="7.6640625" style="4" customWidth="1"/>
    <col min="15887" max="15887" width="1.88671875" style="4" customWidth="1"/>
    <col min="15888" max="16120" width="8.88671875" style="4"/>
    <col min="16121" max="16121" width="7.5546875" style="4" customWidth="1"/>
    <col min="16122" max="16122" width="7.33203125" style="4" customWidth="1"/>
    <col min="16123" max="16123" width="9.6640625" style="4" customWidth="1"/>
    <col min="16124" max="16125" width="6.6640625" style="4" customWidth="1"/>
    <col min="16126" max="16135" width="6.33203125" style="4" customWidth="1"/>
    <col min="16136" max="16136" width="9.109375" style="4" customWidth="1"/>
    <col min="16137" max="16142" width="7.6640625" style="4" customWidth="1"/>
    <col min="16143" max="16143" width="1.88671875" style="4" customWidth="1"/>
    <col min="16144" max="16384" width="8.88671875" style="4"/>
  </cols>
  <sheetData>
    <row r="1" spans="2:15" ht="8.25" customHeight="1"/>
    <row r="2" spans="2:15" ht="15" customHeight="1">
      <c r="C2" s="5" t="s">
        <v>0</v>
      </c>
    </row>
    <row r="3" spans="2:15" ht="15" customHeight="1">
      <c r="C3" s="5" t="s">
        <v>1</v>
      </c>
    </row>
    <row r="4" spans="2:15" ht="9" customHeight="1"/>
    <row r="5" spans="2:15" ht="6" customHeight="1"/>
    <row r="6" spans="2:15" ht="16.95" customHeight="1">
      <c r="B6" s="332" t="s">
        <v>159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8"/>
    </row>
    <row r="7" spans="2:15" ht="6.75" customHeight="1" thickBot="1"/>
    <row r="8" spans="2:15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3"/>
    </row>
    <row r="9" spans="2:15" s="14" customFormat="1" ht="15" customHeight="1">
      <c r="B9" s="15" t="s">
        <v>3</v>
      </c>
      <c r="C9" s="16"/>
      <c r="D9" s="17"/>
      <c r="E9" s="17" t="s">
        <v>4</v>
      </c>
      <c r="F9" s="219" t="str">
        <f>'Link List'!D3</f>
        <v>044</v>
      </c>
      <c r="G9" s="17"/>
      <c r="H9" s="19"/>
      <c r="I9" s="19"/>
      <c r="J9" s="19"/>
      <c r="K9" s="19"/>
      <c r="L9" s="19"/>
      <c r="M9" s="19"/>
      <c r="N9" s="22"/>
    </row>
    <row r="10" spans="2:15" s="14" customFormat="1" ht="6.9" customHeight="1" thickBot="1">
      <c r="B10" s="15"/>
      <c r="C10" s="16"/>
      <c r="D10" s="17"/>
      <c r="E10" s="17"/>
      <c r="F10" s="219"/>
      <c r="G10" s="17"/>
      <c r="H10" s="24"/>
      <c r="I10" s="24"/>
      <c r="J10" s="24"/>
      <c r="K10" s="24"/>
      <c r="L10" s="24"/>
      <c r="M10" s="24"/>
      <c r="N10" s="26"/>
    </row>
    <row r="11" spans="2:15" s="14" customFormat="1" ht="6.9" customHeight="1">
      <c r="B11" s="9"/>
      <c r="C11" s="10"/>
      <c r="D11" s="11"/>
      <c r="E11" s="11"/>
      <c r="F11" s="220"/>
      <c r="G11" s="11"/>
      <c r="H11" s="28"/>
      <c r="I11" s="28"/>
      <c r="J11" s="28"/>
      <c r="K11" s="28"/>
      <c r="L11" s="28"/>
      <c r="M11" s="28"/>
      <c r="N11" s="13"/>
    </row>
    <row r="12" spans="2:15" s="14" customFormat="1" ht="15" customHeight="1">
      <c r="B12" s="15" t="s">
        <v>5</v>
      </c>
      <c r="C12" s="16"/>
      <c r="D12" s="17"/>
      <c r="E12" s="17" t="s">
        <v>4</v>
      </c>
      <c r="F12" s="219" t="str">
        <f>'Link List'!F3</f>
        <v>SP TELUK KILUAN - SP. UMBAR</v>
      </c>
      <c r="G12" s="17"/>
      <c r="H12" s="29"/>
      <c r="I12" s="29"/>
      <c r="J12" s="29"/>
      <c r="K12" s="29"/>
      <c r="L12" s="29"/>
      <c r="M12" s="29"/>
      <c r="N12" s="22"/>
    </row>
    <row r="13" spans="2:15" s="14" customFormat="1" ht="6.9" customHeight="1" thickBot="1">
      <c r="B13" s="15"/>
      <c r="C13" s="16"/>
      <c r="D13" s="31"/>
      <c r="E13" s="31"/>
      <c r="F13" s="221"/>
      <c r="G13" s="31"/>
      <c r="H13" s="24"/>
      <c r="I13" s="24"/>
      <c r="J13" s="24"/>
      <c r="K13" s="24"/>
      <c r="L13" s="24"/>
      <c r="M13" s="24"/>
      <c r="N13" s="26"/>
    </row>
    <row r="14" spans="2:15" s="14" customFormat="1" ht="6.9" customHeight="1">
      <c r="B14" s="9"/>
      <c r="C14" s="10"/>
      <c r="D14" s="11"/>
      <c r="E14" s="11"/>
      <c r="F14" s="220"/>
      <c r="G14" s="11"/>
      <c r="H14" s="28"/>
      <c r="I14" s="28"/>
      <c r="J14" s="28"/>
      <c r="K14" s="28"/>
      <c r="L14" s="28"/>
      <c r="M14" s="28"/>
      <c r="N14" s="13"/>
    </row>
    <row r="15" spans="2:15" s="14" customFormat="1" ht="15" customHeight="1">
      <c r="B15" s="15" t="s">
        <v>157</v>
      </c>
      <c r="C15" s="16"/>
      <c r="D15" s="17"/>
      <c r="E15" s="17" t="s">
        <v>4</v>
      </c>
      <c r="F15" s="219">
        <f>'Link List'!I3</f>
        <v>25.157</v>
      </c>
      <c r="G15" s="17"/>
      <c r="H15" s="92"/>
      <c r="I15" s="92"/>
      <c r="J15" s="92"/>
      <c r="K15" s="92"/>
      <c r="L15" s="92"/>
      <c r="M15" s="92"/>
      <c r="N15" s="22"/>
    </row>
    <row r="16" spans="2:15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6"/>
    </row>
    <row r="17" spans="2:14" s="34" customFormat="1" ht="9.9" customHeight="1" thickBot="1">
      <c r="C17" s="35"/>
      <c r="D17" s="35"/>
      <c r="E17" s="35"/>
      <c r="F17" s="35"/>
      <c r="G17" s="35"/>
    </row>
    <row r="18" spans="2:14" s="34" customFormat="1" ht="25.2" customHeight="1" thickBot="1">
      <c r="B18" s="95"/>
      <c r="C18" s="333" t="s">
        <v>7</v>
      </c>
      <c r="D18" s="333"/>
      <c r="E18" s="334"/>
      <c r="F18" s="335" t="s">
        <v>170</v>
      </c>
      <c r="G18" s="337" t="s">
        <v>173</v>
      </c>
      <c r="H18" s="346" t="s">
        <v>203</v>
      </c>
      <c r="I18" s="346"/>
      <c r="J18" s="346"/>
      <c r="K18" s="346"/>
      <c r="L18" s="346"/>
      <c r="M18" s="346"/>
      <c r="N18" s="347" t="s">
        <v>11</v>
      </c>
    </row>
    <row r="19" spans="2:14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36"/>
      <c r="G19" s="338"/>
      <c r="H19" s="109" t="s">
        <v>204</v>
      </c>
      <c r="I19" s="109" t="s">
        <v>207</v>
      </c>
      <c r="J19" s="109" t="s">
        <v>205</v>
      </c>
      <c r="K19" s="109" t="s">
        <v>206</v>
      </c>
      <c r="L19" s="146" t="s">
        <v>208</v>
      </c>
      <c r="M19" s="145" t="s">
        <v>209</v>
      </c>
      <c r="N19" s="348"/>
    </row>
    <row r="20" spans="2:14" s="103" customFormat="1" ht="12" customHeight="1">
      <c r="B20" s="329">
        <v>1</v>
      </c>
      <c r="C20" s="330"/>
      <c r="D20" s="330"/>
      <c r="E20" s="330"/>
      <c r="F20" s="330"/>
      <c r="G20" s="331"/>
      <c r="H20" s="102"/>
      <c r="I20" s="102"/>
      <c r="J20" s="102"/>
      <c r="K20" s="102"/>
      <c r="L20" s="102"/>
      <c r="M20" s="142"/>
      <c r="N20" s="149">
        <v>8</v>
      </c>
    </row>
    <row r="21" spans="2:14" s="35" customFormat="1" ht="17.100000000000001" customHeight="1">
      <c r="B21" s="105"/>
      <c r="C21" s="54">
        <v>0</v>
      </c>
      <c r="D21" s="96">
        <v>100</v>
      </c>
      <c r="E21" s="111">
        <v>5</v>
      </c>
      <c r="F21" s="112">
        <f t="shared" ref="F21:F85" si="0">(100/((D21-C21)*E21))*((H21*0.5)+(I21*1)+(J21*2)+(K21*20)+(L21*15)+(M21*1.5))</f>
        <v>0</v>
      </c>
      <c r="G21" s="113" t="str">
        <f t="shared" ref="G21:G85" si="1">IF(F21&lt;=25,"B",IF(F21&lt;=75,"S",IF(F21&lt;=100,"RR","RB")))</f>
        <v>B</v>
      </c>
      <c r="H21" s="101">
        <f>'2. Back Up Beton'!J28</f>
        <v>0</v>
      </c>
      <c r="I21" s="101">
        <f>'2. Back Up Beton'!M28</f>
        <v>0</v>
      </c>
      <c r="J21" s="101">
        <f>'2. Back Up Beton'!P28</f>
        <v>0</v>
      </c>
      <c r="K21" s="101">
        <f>'2. Back Up Beton'!S28</f>
        <v>0</v>
      </c>
      <c r="L21" s="101">
        <f>'2. Back Up Beton'!V28</f>
        <v>0</v>
      </c>
      <c r="M21" s="147">
        <f>'2. Back Up Beton'!Y28</f>
        <v>0</v>
      </c>
      <c r="N21" s="150"/>
    </row>
    <row r="22" spans="2:14" s="35" customFormat="1" ht="17.100000000000001" customHeight="1">
      <c r="B22" s="105"/>
      <c r="C22" s="54">
        <f t="shared" ref="C22:C86" si="2">D21</f>
        <v>100</v>
      </c>
      <c r="D22" s="96">
        <f t="shared" ref="D22:D86" si="3">C22+100</f>
        <v>200</v>
      </c>
      <c r="E22" s="111">
        <v>5</v>
      </c>
      <c r="F22" s="112">
        <f t="shared" si="0"/>
        <v>0</v>
      </c>
      <c r="G22" s="113" t="str">
        <f t="shared" si="1"/>
        <v>B</v>
      </c>
      <c r="H22" s="101">
        <f>'2. Back Up Beton'!J36</f>
        <v>0</v>
      </c>
      <c r="I22" s="101">
        <f>'2. Back Up Beton'!M36</f>
        <v>0</v>
      </c>
      <c r="J22" s="101">
        <f>'2. Back Up Beton'!P36</f>
        <v>0</v>
      </c>
      <c r="K22" s="101">
        <f>'2. Back Up Beton'!S36</f>
        <v>0</v>
      </c>
      <c r="L22" s="101">
        <f>'2. Back Up Beton'!V36</f>
        <v>0</v>
      </c>
      <c r="M22" s="147">
        <f>'2. Back Up Beton'!Y36</f>
        <v>0</v>
      </c>
      <c r="N22" s="150"/>
    </row>
    <row r="23" spans="2:14" s="35" customFormat="1" ht="17.100000000000001" customHeight="1">
      <c r="B23" s="105"/>
      <c r="C23" s="54">
        <f t="shared" si="2"/>
        <v>200</v>
      </c>
      <c r="D23" s="96">
        <f t="shared" si="3"/>
        <v>300</v>
      </c>
      <c r="E23" s="111">
        <v>5</v>
      </c>
      <c r="F23" s="112">
        <f t="shared" si="0"/>
        <v>4</v>
      </c>
      <c r="G23" s="113" t="str">
        <f t="shared" si="1"/>
        <v>B</v>
      </c>
      <c r="H23" s="101">
        <f>'2. Back Up Beton'!J44</f>
        <v>0</v>
      </c>
      <c r="I23" s="101">
        <f>'2. Back Up Beton'!M44</f>
        <v>0</v>
      </c>
      <c r="J23" s="101">
        <f>'2. Back Up Beton'!P44</f>
        <v>0</v>
      </c>
      <c r="K23" s="101">
        <f>'2. Back Up Beton'!S44</f>
        <v>1</v>
      </c>
      <c r="L23" s="101">
        <f>'2. Back Up Beton'!V44</f>
        <v>0</v>
      </c>
      <c r="M23" s="147">
        <f>'2. Back Up Beton'!Y44</f>
        <v>0</v>
      </c>
      <c r="N23" s="150"/>
    </row>
    <row r="24" spans="2:14" s="35" customFormat="1" ht="17.100000000000001" customHeight="1">
      <c r="B24" s="105"/>
      <c r="C24" s="54">
        <f t="shared" si="2"/>
        <v>300</v>
      </c>
      <c r="D24" s="96">
        <f t="shared" si="3"/>
        <v>400</v>
      </c>
      <c r="E24" s="111">
        <v>5</v>
      </c>
      <c r="F24" s="112">
        <f t="shared" si="0"/>
        <v>0</v>
      </c>
      <c r="G24" s="113" t="str">
        <f t="shared" si="1"/>
        <v>B</v>
      </c>
      <c r="H24" s="101">
        <f>'2. Back Up Beton'!J52</f>
        <v>0</v>
      </c>
      <c r="I24" s="101">
        <f>'2. Back Up Beton'!M52</f>
        <v>0</v>
      </c>
      <c r="J24" s="101">
        <f>'2. Back Up Beton'!P52</f>
        <v>0</v>
      </c>
      <c r="K24" s="101">
        <f>'2. Back Up Beton'!S52</f>
        <v>0</v>
      </c>
      <c r="L24" s="101">
        <f>'2. Back Up Beton'!V52</f>
        <v>0</v>
      </c>
      <c r="M24" s="147">
        <f>'2. Back Up Beton'!Y52</f>
        <v>0</v>
      </c>
      <c r="N24" s="150"/>
    </row>
    <row r="25" spans="2:14" s="35" customFormat="1" ht="17.100000000000001" customHeight="1">
      <c r="B25" s="105"/>
      <c r="C25" s="54">
        <f t="shared" si="2"/>
        <v>400</v>
      </c>
      <c r="D25" s="96">
        <f t="shared" si="3"/>
        <v>500</v>
      </c>
      <c r="E25" s="111">
        <v>5</v>
      </c>
      <c r="F25" s="112">
        <f t="shared" si="0"/>
        <v>1.3</v>
      </c>
      <c r="G25" s="113" t="str">
        <f t="shared" si="1"/>
        <v>B</v>
      </c>
      <c r="H25" s="101">
        <f>'2. Back Up Beton'!J60</f>
        <v>5</v>
      </c>
      <c r="I25" s="101">
        <f>'2. Back Up Beton'!M60</f>
        <v>0</v>
      </c>
      <c r="J25" s="101">
        <f>'2. Back Up Beton'!P60</f>
        <v>2</v>
      </c>
      <c r="K25" s="101">
        <f>'2. Back Up Beton'!S60</f>
        <v>0</v>
      </c>
      <c r="L25" s="101">
        <f>'2. Back Up Beton'!V60</f>
        <v>0</v>
      </c>
      <c r="M25" s="147">
        <f>'2. Back Up Beton'!Y60</f>
        <v>0</v>
      </c>
      <c r="N25" s="150"/>
    </row>
    <row r="26" spans="2:14" s="35" customFormat="1" ht="17.100000000000001" customHeight="1">
      <c r="B26" s="105"/>
      <c r="C26" s="54">
        <f t="shared" si="2"/>
        <v>500</v>
      </c>
      <c r="D26" s="96">
        <f t="shared" si="3"/>
        <v>600</v>
      </c>
      <c r="E26" s="111">
        <v>5</v>
      </c>
      <c r="F26" s="112">
        <f t="shared" si="0"/>
        <v>0</v>
      </c>
      <c r="G26" s="113" t="str">
        <f t="shared" si="1"/>
        <v>B</v>
      </c>
      <c r="H26" s="101">
        <f>'2. Back Up Beton'!J68</f>
        <v>0</v>
      </c>
      <c r="I26" s="101">
        <f>'2. Back Up Beton'!M68</f>
        <v>0</v>
      </c>
      <c r="J26" s="101">
        <f>'2. Back Up Beton'!P68</f>
        <v>0</v>
      </c>
      <c r="K26" s="101">
        <f>'2. Back Up Beton'!S68</f>
        <v>0</v>
      </c>
      <c r="L26" s="101">
        <f>'2. Back Up Beton'!V68</f>
        <v>0</v>
      </c>
      <c r="M26" s="147">
        <f>'2. Back Up Beton'!Y68</f>
        <v>0</v>
      </c>
      <c r="N26" s="150"/>
    </row>
    <row r="27" spans="2:14" s="35" customFormat="1" ht="17.100000000000001" customHeight="1">
      <c r="B27" s="105"/>
      <c r="C27" s="54">
        <f t="shared" si="2"/>
        <v>600</v>
      </c>
      <c r="D27" s="96">
        <f t="shared" si="3"/>
        <v>700</v>
      </c>
      <c r="E27" s="111">
        <v>5</v>
      </c>
      <c r="F27" s="112">
        <f t="shared" si="0"/>
        <v>0</v>
      </c>
      <c r="G27" s="113" t="str">
        <f t="shared" si="1"/>
        <v>B</v>
      </c>
      <c r="H27" s="101">
        <f>'2. Back Up Beton'!J76</f>
        <v>0</v>
      </c>
      <c r="I27" s="101">
        <f>'2. Back Up Beton'!M76</f>
        <v>0</v>
      </c>
      <c r="J27" s="101">
        <f>'2. Back Up Beton'!P76</f>
        <v>0</v>
      </c>
      <c r="K27" s="101">
        <f>'2. Back Up Beton'!S76</f>
        <v>0</v>
      </c>
      <c r="L27" s="101">
        <f>'2. Back Up Beton'!V76</f>
        <v>0</v>
      </c>
      <c r="M27" s="147">
        <f>'2. Back Up Beton'!Y76</f>
        <v>0</v>
      </c>
      <c r="N27" s="150"/>
    </row>
    <row r="28" spans="2:14" s="35" customFormat="1" ht="17.100000000000001" customHeight="1">
      <c r="B28" s="105"/>
      <c r="C28" s="54">
        <f t="shared" si="2"/>
        <v>700</v>
      </c>
      <c r="D28" s="96">
        <f t="shared" si="3"/>
        <v>800</v>
      </c>
      <c r="E28" s="111">
        <v>5</v>
      </c>
      <c r="F28" s="112">
        <f t="shared" si="0"/>
        <v>0</v>
      </c>
      <c r="G28" s="113" t="str">
        <f t="shared" si="1"/>
        <v>B</v>
      </c>
      <c r="H28" s="101">
        <f>'2. Back Up Beton'!J84</f>
        <v>0</v>
      </c>
      <c r="I28" s="101">
        <f>'2. Back Up Beton'!M84</f>
        <v>0</v>
      </c>
      <c r="J28" s="101">
        <f>'2. Back Up Beton'!P84</f>
        <v>0</v>
      </c>
      <c r="K28" s="101">
        <f>'2. Back Up Beton'!S84</f>
        <v>0</v>
      </c>
      <c r="L28" s="101">
        <f>'2. Back Up Beton'!V84</f>
        <v>0</v>
      </c>
      <c r="M28" s="147">
        <f>'2. Back Up Beton'!Y84</f>
        <v>0</v>
      </c>
      <c r="N28" s="150"/>
    </row>
    <row r="29" spans="2:14" s="35" customFormat="1" ht="17.100000000000001" customHeight="1">
      <c r="B29" s="105"/>
      <c r="C29" s="54">
        <f t="shared" si="2"/>
        <v>800</v>
      </c>
      <c r="D29" s="96">
        <f t="shared" si="3"/>
        <v>900</v>
      </c>
      <c r="E29" s="111">
        <v>6</v>
      </c>
      <c r="F29" s="112">
        <f t="shared" si="0"/>
        <v>0</v>
      </c>
      <c r="G29" s="113" t="str">
        <f t="shared" si="1"/>
        <v>B</v>
      </c>
      <c r="H29" s="101">
        <f>'2. Back Up Beton'!J92</f>
        <v>0</v>
      </c>
      <c r="I29" s="101">
        <f>'2. Back Up Beton'!M92</f>
        <v>0</v>
      </c>
      <c r="J29" s="101">
        <f>'2. Back Up Beton'!P92</f>
        <v>0</v>
      </c>
      <c r="K29" s="101">
        <f>'2. Back Up Beton'!S92</f>
        <v>0</v>
      </c>
      <c r="L29" s="101">
        <f>'2. Back Up Beton'!V92</f>
        <v>0</v>
      </c>
      <c r="M29" s="147">
        <f>'2. Back Up Beton'!Y92</f>
        <v>0</v>
      </c>
      <c r="N29" s="150"/>
    </row>
    <row r="30" spans="2:14" s="35" customFormat="1" ht="17.100000000000001" customHeight="1">
      <c r="B30" s="248"/>
      <c r="C30" s="249">
        <f t="shared" ref="C30" si="4">D29</f>
        <v>900</v>
      </c>
      <c r="D30" s="250">
        <f t="shared" ref="D30" si="5">C30+100</f>
        <v>1000</v>
      </c>
      <c r="E30" s="251">
        <v>6</v>
      </c>
      <c r="F30" s="112">
        <f t="shared" ref="F30" si="6">(100/((D30-C30)*E30))*((H30*0.5)+(I30*1)+(J30*2)+(K30*20)+(L30*15)+(M30*1.5))</f>
        <v>0</v>
      </c>
      <c r="G30" s="113" t="str">
        <f t="shared" ref="G30" si="7">IF(F30&lt;=25,"B",IF(F30&lt;=75,"S",IF(F30&lt;=100,"RR","RB")))</f>
        <v>B</v>
      </c>
      <c r="H30" s="101">
        <f>'2. Back Up Beton'!J100</f>
        <v>0</v>
      </c>
      <c r="I30" s="101">
        <f>'2. Back Up Beton'!M100</f>
        <v>0</v>
      </c>
      <c r="J30" s="101">
        <f>'2. Back Up Beton'!P100</f>
        <v>0</v>
      </c>
      <c r="K30" s="101">
        <f>'2. Back Up Beton'!S100</f>
        <v>0</v>
      </c>
      <c r="L30" s="101">
        <f>'2. Back Up Beton'!V100</f>
        <v>0</v>
      </c>
      <c r="M30" s="147">
        <f>'2. Back Up Beton'!Y100</f>
        <v>0</v>
      </c>
      <c r="N30" s="150"/>
    </row>
    <row r="31" spans="2:14" s="35" customFormat="1" ht="17.100000000000001" customHeight="1">
      <c r="B31" s="105"/>
      <c r="C31" s="54">
        <f>NOTE!J11</f>
        <v>3650</v>
      </c>
      <c r="D31" s="96">
        <v>3700</v>
      </c>
      <c r="E31" s="111">
        <v>5</v>
      </c>
      <c r="F31" s="112">
        <f t="shared" si="0"/>
        <v>176</v>
      </c>
      <c r="G31" s="113" t="str">
        <f t="shared" si="1"/>
        <v>RB</v>
      </c>
      <c r="H31" s="101">
        <f>'2. Back Up Beton'!J108</f>
        <v>0</v>
      </c>
      <c r="I31" s="101">
        <f>'2. Back Up Beton'!M108</f>
        <v>40</v>
      </c>
      <c r="J31" s="101">
        <f>'2. Back Up Beton'!P108</f>
        <v>0</v>
      </c>
      <c r="K31" s="101">
        <f>'2. Back Up Beton'!S108</f>
        <v>20</v>
      </c>
      <c r="L31" s="101">
        <f>'2. Back Up Beton'!V108</f>
        <v>0</v>
      </c>
      <c r="M31" s="147">
        <f>'2. Back Up Beton'!Y108</f>
        <v>0</v>
      </c>
      <c r="N31" s="150"/>
    </row>
    <row r="32" spans="2:14" s="35" customFormat="1" ht="17.100000000000001" customHeight="1">
      <c r="B32" s="105"/>
      <c r="C32" s="54">
        <f>D31</f>
        <v>3700</v>
      </c>
      <c r="D32" s="96">
        <f>C32+100</f>
        <v>3800</v>
      </c>
      <c r="E32" s="111">
        <v>5</v>
      </c>
      <c r="F32" s="112">
        <f t="shared" ref="F32" si="8">(100/((D32-C32)*E32))*((H32*0.5)+(I32*1)+(J32*2)+(K32*20)+(L32*15)+(M32*1.5))</f>
        <v>10</v>
      </c>
      <c r="G32" s="113" t="str">
        <f t="shared" ref="G32" si="9">IF(F32&lt;=25,"B",IF(F32&lt;=75,"S",IF(F32&lt;=100,"RR","RB")))</f>
        <v>B</v>
      </c>
      <c r="H32" s="101">
        <f>'2. Back Up Beton'!J116</f>
        <v>0</v>
      </c>
      <c r="I32" s="101">
        <f>'2. Back Up Beton'!M116</f>
        <v>50</v>
      </c>
      <c r="J32" s="101">
        <f>'2. Back Up Beton'!P116</f>
        <v>0</v>
      </c>
      <c r="K32" s="101">
        <f>'2. Back Up Beton'!S116</f>
        <v>0</v>
      </c>
      <c r="L32" s="101">
        <f>'2. Back Up Beton'!V116</f>
        <v>0</v>
      </c>
      <c r="M32" s="147">
        <f>'2. Back Up Beton'!Y116</f>
        <v>0</v>
      </c>
      <c r="N32" s="150"/>
    </row>
    <row r="33" spans="2:14" s="35" customFormat="1" ht="17.100000000000001" customHeight="1">
      <c r="B33" s="105"/>
      <c r="C33" s="54">
        <f>D32</f>
        <v>3800</v>
      </c>
      <c r="D33" s="96">
        <v>3900</v>
      </c>
      <c r="E33" s="111">
        <v>5</v>
      </c>
      <c r="F33" s="112">
        <f t="shared" ref="F33" si="10">(100/((D33-C33)*E33))*((H33*0.5)+(I33*1)+(J33*2)+(K33*20)+(L33*15)+(M33*1.5))</f>
        <v>0</v>
      </c>
      <c r="G33" s="113" t="str">
        <f t="shared" ref="G33" si="11">IF(F33&lt;=25,"B",IF(F33&lt;=75,"S",IF(F33&lt;=100,"RR","RB")))</f>
        <v>B</v>
      </c>
      <c r="H33" s="101">
        <f>'2. Back Up Beton'!J124</f>
        <v>0</v>
      </c>
      <c r="I33" s="101">
        <f>'2. Back Up Beton'!M124</f>
        <v>0</v>
      </c>
      <c r="J33" s="101">
        <f>'2. Back Up Beton'!P124</f>
        <v>0</v>
      </c>
      <c r="K33" s="101">
        <f>'2. Back Up Beton'!S124</f>
        <v>0</v>
      </c>
      <c r="L33" s="101">
        <f>'2. Back Up Beton'!V124</f>
        <v>0</v>
      </c>
      <c r="M33" s="147">
        <f>'2. Back Up Beton'!Y124</f>
        <v>0</v>
      </c>
      <c r="N33" s="150"/>
    </row>
    <row r="34" spans="2:14" s="35" customFormat="1" ht="17.100000000000001" customHeight="1">
      <c r="B34" s="105"/>
      <c r="C34" s="54">
        <f>D33</f>
        <v>3900</v>
      </c>
      <c r="D34" s="96">
        <f t="shared" si="3"/>
        <v>4000</v>
      </c>
      <c r="E34" s="111">
        <v>5</v>
      </c>
      <c r="F34" s="112">
        <f t="shared" si="0"/>
        <v>0</v>
      </c>
      <c r="G34" s="113" t="str">
        <f t="shared" si="1"/>
        <v>B</v>
      </c>
      <c r="H34" s="101">
        <f>'2. Back Up Beton'!J132</f>
        <v>0</v>
      </c>
      <c r="I34" s="101">
        <f>'2. Back Up Beton'!M132</f>
        <v>0</v>
      </c>
      <c r="J34" s="101">
        <f>'2. Back Up Beton'!P132</f>
        <v>0</v>
      </c>
      <c r="K34" s="101">
        <f>'2. Back Up Beton'!S132</f>
        <v>0</v>
      </c>
      <c r="L34" s="101">
        <f>'2. Back Up Beton'!V132</f>
        <v>0</v>
      </c>
      <c r="M34" s="147">
        <f>'2. Back Up Beton'!Y132</f>
        <v>0</v>
      </c>
      <c r="N34" s="150"/>
    </row>
    <row r="35" spans="2:14" s="35" customFormat="1" ht="17.100000000000001" customHeight="1">
      <c r="B35" s="105"/>
      <c r="C35" s="54">
        <f t="shared" si="2"/>
        <v>4000</v>
      </c>
      <c r="D35" s="96">
        <f t="shared" si="3"/>
        <v>4100</v>
      </c>
      <c r="E35" s="111">
        <v>5</v>
      </c>
      <c r="F35" s="112">
        <f t="shared" si="0"/>
        <v>0</v>
      </c>
      <c r="G35" s="113" t="str">
        <f t="shared" si="1"/>
        <v>B</v>
      </c>
      <c r="H35" s="101">
        <f>'2. Back Up Beton'!J140</f>
        <v>0</v>
      </c>
      <c r="I35" s="101">
        <f>'2. Back Up Beton'!M140</f>
        <v>0</v>
      </c>
      <c r="J35" s="101">
        <f>'2. Back Up Beton'!P140</f>
        <v>0</v>
      </c>
      <c r="K35" s="101">
        <f>'2. Back Up Beton'!S140</f>
        <v>0</v>
      </c>
      <c r="L35" s="101">
        <f>'2. Back Up Beton'!V140</f>
        <v>0</v>
      </c>
      <c r="M35" s="147">
        <f>'2. Back Up Beton'!Y140</f>
        <v>0</v>
      </c>
      <c r="N35" s="150"/>
    </row>
    <row r="36" spans="2:14" s="35" customFormat="1" ht="17.100000000000001" customHeight="1">
      <c r="B36" s="105"/>
      <c r="C36" s="54">
        <f t="shared" si="2"/>
        <v>4100</v>
      </c>
      <c r="D36" s="96">
        <f t="shared" si="3"/>
        <v>4200</v>
      </c>
      <c r="E36" s="111">
        <v>5</v>
      </c>
      <c r="F36" s="112">
        <f t="shared" si="0"/>
        <v>3.3000000000000003</v>
      </c>
      <c r="G36" s="113" t="str">
        <f t="shared" si="1"/>
        <v>B</v>
      </c>
      <c r="H36" s="101">
        <f>'2. Back Up Beton'!J148</f>
        <v>3</v>
      </c>
      <c r="I36" s="101">
        <f>'2. Back Up Beton'!M148</f>
        <v>15</v>
      </c>
      <c r="J36" s="101">
        <f>'2. Back Up Beton'!P148</f>
        <v>0</v>
      </c>
      <c r="K36" s="101">
        <f>'2. Back Up Beton'!S148</f>
        <v>0</v>
      </c>
      <c r="L36" s="101">
        <f>'2. Back Up Beton'!V148</f>
        <v>0</v>
      </c>
      <c r="M36" s="147">
        <f>'2. Back Up Beton'!Y148</f>
        <v>0</v>
      </c>
      <c r="N36" s="150"/>
    </row>
    <row r="37" spans="2:14" s="35" customFormat="1" ht="17.100000000000001" customHeight="1">
      <c r="B37" s="105"/>
      <c r="C37" s="54">
        <f t="shared" si="2"/>
        <v>4200</v>
      </c>
      <c r="D37" s="96">
        <f t="shared" si="3"/>
        <v>4300</v>
      </c>
      <c r="E37" s="111">
        <v>5</v>
      </c>
      <c r="F37" s="112">
        <f t="shared" si="0"/>
        <v>9</v>
      </c>
      <c r="G37" s="113" t="str">
        <f t="shared" si="1"/>
        <v>B</v>
      </c>
      <c r="H37" s="101">
        <f>'2. Back Up Beton'!J156</f>
        <v>0</v>
      </c>
      <c r="I37" s="101">
        <f>'2. Back Up Beton'!M156</f>
        <v>45</v>
      </c>
      <c r="J37" s="101">
        <f>'2. Back Up Beton'!P156</f>
        <v>0</v>
      </c>
      <c r="K37" s="101">
        <f>'2. Back Up Beton'!S156</f>
        <v>0</v>
      </c>
      <c r="L37" s="101">
        <f>'2. Back Up Beton'!V156</f>
        <v>0</v>
      </c>
      <c r="M37" s="147">
        <f>'2. Back Up Beton'!Y156</f>
        <v>0</v>
      </c>
      <c r="N37" s="150"/>
    </row>
    <row r="38" spans="2:14" s="35" customFormat="1" ht="17.100000000000001" customHeight="1">
      <c r="B38" s="105"/>
      <c r="C38" s="54">
        <f t="shared" si="2"/>
        <v>4300</v>
      </c>
      <c r="D38" s="96">
        <f t="shared" si="3"/>
        <v>4400</v>
      </c>
      <c r="E38" s="111">
        <v>5</v>
      </c>
      <c r="F38" s="112">
        <f t="shared" si="0"/>
        <v>6</v>
      </c>
      <c r="G38" s="113" t="str">
        <f t="shared" si="1"/>
        <v>B</v>
      </c>
      <c r="H38" s="101">
        <f>'2. Back Up Beton'!J164</f>
        <v>60</v>
      </c>
      <c r="I38" s="101">
        <f>'2. Back Up Beton'!M164</f>
        <v>0</v>
      </c>
      <c r="J38" s="101">
        <f>'2. Back Up Beton'!P164</f>
        <v>0</v>
      </c>
      <c r="K38" s="101">
        <f>'2. Back Up Beton'!S164</f>
        <v>0</v>
      </c>
      <c r="L38" s="101">
        <f>'2. Back Up Beton'!V164</f>
        <v>0</v>
      </c>
      <c r="M38" s="147">
        <f>'2. Back Up Beton'!Y164</f>
        <v>0</v>
      </c>
      <c r="N38" s="150"/>
    </row>
    <row r="39" spans="2:14" s="35" customFormat="1" ht="17.100000000000001" customHeight="1">
      <c r="B39" s="105"/>
      <c r="C39" s="54">
        <f t="shared" si="2"/>
        <v>4400</v>
      </c>
      <c r="D39" s="96">
        <f t="shared" si="3"/>
        <v>4500</v>
      </c>
      <c r="E39" s="111">
        <v>5</v>
      </c>
      <c r="F39" s="112">
        <f t="shared" si="0"/>
        <v>64</v>
      </c>
      <c r="G39" s="113" t="str">
        <f t="shared" si="1"/>
        <v>S</v>
      </c>
      <c r="H39" s="101">
        <f>'2. Back Up Beton'!J172</f>
        <v>0</v>
      </c>
      <c r="I39" s="101">
        <f>'2. Back Up Beton'!M172</f>
        <v>0</v>
      </c>
      <c r="J39" s="101">
        <f>'2. Back Up Beton'!P172</f>
        <v>0</v>
      </c>
      <c r="K39" s="101">
        <f>'2. Back Up Beton'!S172</f>
        <v>16</v>
      </c>
      <c r="L39" s="101">
        <f>'2. Back Up Beton'!V172</f>
        <v>0</v>
      </c>
      <c r="M39" s="147">
        <f>'2. Back Up Beton'!Y172</f>
        <v>0</v>
      </c>
      <c r="N39" s="150"/>
    </row>
    <row r="40" spans="2:14" s="35" customFormat="1" ht="17.100000000000001" customHeight="1">
      <c r="B40" s="105"/>
      <c r="C40" s="54">
        <f t="shared" si="2"/>
        <v>4500</v>
      </c>
      <c r="D40" s="96">
        <f t="shared" si="3"/>
        <v>4600</v>
      </c>
      <c r="E40" s="111">
        <v>5</v>
      </c>
      <c r="F40" s="112">
        <f t="shared" si="0"/>
        <v>1.5</v>
      </c>
      <c r="G40" s="113" t="str">
        <f t="shared" si="1"/>
        <v>B</v>
      </c>
      <c r="H40" s="101">
        <f>'2. Back Up Beton'!J180</f>
        <v>15</v>
      </c>
      <c r="I40" s="101">
        <f>'2. Back Up Beton'!M180</f>
        <v>0</v>
      </c>
      <c r="J40" s="101">
        <f>'2. Back Up Beton'!P180</f>
        <v>0</v>
      </c>
      <c r="K40" s="101">
        <f>'2. Back Up Beton'!S180</f>
        <v>0</v>
      </c>
      <c r="L40" s="101">
        <f>'2. Back Up Beton'!V180</f>
        <v>0</v>
      </c>
      <c r="M40" s="147">
        <f>'2. Back Up Beton'!Y180</f>
        <v>0</v>
      </c>
      <c r="N40" s="150"/>
    </row>
    <row r="41" spans="2:14" s="35" customFormat="1" ht="17.100000000000001" customHeight="1">
      <c r="B41" s="105"/>
      <c r="C41" s="54">
        <f t="shared" si="2"/>
        <v>4600</v>
      </c>
      <c r="D41" s="96">
        <f t="shared" si="3"/>
        <v>4700</v>
      </c>
      <c r="E41" s="111">
        <v>5</v>
      </c>
      <c r="F41" s="112">
        <f t="shared" si="0"/>
        <v>2.1</v>
      </c>
      <c r="G41" s="113" t="str">
        <f t="shared" si="1"/>
        <v>B</v>
      </c>
      <c r="H41" s="101">
        <f>'2. Back Up Beton'!J188</f>
        <v>21</v>
      </c>
      <c r="I41" s="101">
        <f>'2. Back Up Beton'!M188</f>
        <v>0</v>
      </c>
      <c r="J41" s="101">
        <f>'2. Back Up Beton'!P188</f>
        <v>0</v>
      </c>
      <c r="K41" s="101">
        <f>'2. Back Up Beton'!S188</f>
        <v>0</v>
      </c>
      <c r="L41" s="101">
        <f>'2. Back Up Beton'!V188</f>
        <v>0</v>
      </c>
      <c r="M41" s="147">
        <f>'2. Back Up Beton'!Y188</f>
        <v>0</v>
      </c>
      <c r="N41" s="150"/>
    </row>
    <row r="42" spans="2:14" s="35" customFormat="1" ht="17.100000000000001" customHeight="1">
      <c r="B42" s="105"/>
      <c r="C42" s="54">
        <f t="shared" si="2"/>
        <v>4700</v>
      </c>
      <c r="D42" s="96">
        <f t="shared" si="3"/>
        <v>4800</v>
      </c>
      <c r="E42" s="111">
        <v>5</v>
      </c>
      <c r="F42" s="112">
        <f t="shared" si="0"/>
        <v>4.5</v>
      </c>
      <c r="G42" s="113" t="str">
        <f t="shared" si="1"/>
        <v>B</v>
      </c>
      <c r="H42" s="101">
        <f>'2. Back Up Beton'!J196</f>
        <v>45</v>
      </c>
      <c r="I42" s="101">
        <f>'2. Back Up Beton'!M196</f>
        <v>0</v>
      </c>
      <c r="J42" s="101">
        <f>'2. Back Up Beton'!P196</f>
        <v>0</v>
      </c>
      <c r="K42" s="101">
        <f>'2. Back Up Beton'!S196</f>
        <v>0</v>
      </c>
      <c r="L42" s="101">
        <f>'2. Back Up Beton'!V196</f>
        <v>0</v>
      </c>
      <c r="M42" s="147">
        <f>'2. Back Up Beton'!Y196</f>
        <v>0</v>
      </c>
      <c r="N42" s="150"/>
    </row>
    <row r="43" spans="2:14" s="35" customFormat="1" ht="17.100000000000001" customHeight="1">
      <c r="B43" s="105"/>
      <c r="C43" s="54">
        <f t="shared" si="2"/>
        <v>4800</v>
      </c>
      <c r="D43" s="96">
        <f t="shared" si="3"/>
        <v>4900</v>
      </c>
      <c r="E43" s="111">
        <v>5</v>
      </c>
      <c r="F43" s="112">
        <f t="shared" si="0"/>
        <v>6</v>
      </c>
      <c r="G43" s="113" t="str">
        <f t="shared" si="1"/>
        <v>B</v>
      </c>
      <c r="H43" s="101">
        <f>'2. Back Up Beton'!J204</f>
        <v>0</v>
      </c>
      <c r="I43" s="101">
        <f>'2. Back Up Beton'!M204</f>
        <v>30</v>
      </c>
      <c r="J43" s="101">
        <f>'2. Back Up Beton'!P204</f>
        <v>0</v>
      </c>
      <c r="K43" s="101">
        <f>'2. Back Up Beton'!S204</f>
        <v>0</v>
      </c>
      <c r="L43" s="101">
        <f>'2. Back Up Beton'!V204</f>
        <v>0</v>
      </c>
      <c r="M43" s="147">
        <f>'2. Back Up Beton'!Y204</f>
        <v>0</v>
      </c>
      <c r="N43" s="150"/>
    </row>
    <row r="44" spans="2:14" s="35" customFormat="1" ht="17.100000000000001" customHeight="1">
      <c r="B44" s="105"/>
      <c r="C44" s="54">
        <f t="shared" si="2"/>
        <v>4900</v>
      </c>
      <c r="D44" s="96">
        <f t="shared" si="3"/>
        <v>5000</v>
      </c>
      <c r="E44" s="111">
        <v>5</v>
      </c>
      <c r="F44" s="112">
        <f t="shared" si="0"/>
        <v>2.7</v>
      </c>
      <c r="G44" s="113" t="str">
        <f t="shared" si="1"/>
        <v>B</v>
      </c>
      <c r="H44" s="101">
        <f>'2. Back Up Beton'!J212</f>
        <v>27</v>
      </c>
      <c r="I44" s="101">
        <f>'2. Back Up Beton'!M212</f>
        <v>0</v>
      </c>
      <c r="J44" s="101">
        <f>'2. Back Up Beton'!P212</f>
        <v>0</v>
      </c>
      <c r="K44" s="101">
        <f>'2. Back Up Beton'!S212</f>
        <v>0</v>
      </c>
      <c r="L44" s="101">
        <f>'2. Back Up Beton'!V212</f>
        <v>0</v>
      </c>
      <c r="M44" s="147">
        <f>'2. Back Up Beton'!Y212</f>
        <v>0</v>
      </c>
      <c r="N44" s="150"/>
    </row>
    <row r="45" spans="2:14" s="35" customFormat="1" ht="17.100000000000001" customHeight="1">
      <c r="B45" s="105"/>
      <c r="C45" s="54">
        <f t="shared" si="2"/>
        <v>5000</v>
      </c>
      <c r="D45" s="96">
        <f t="shared" si="3"/>
        <v>5100</v>
      </c>
      <c r="E45" s="111">
        <v>5</v>
      </c>
      <c r="F45" s="112">
        <f t="shared" si="0"/>
        <v>9</v>
      </c>
      <c r="G45" s="113" t="str">
        <f t="shared" si="1"/>
        <v>B</v>
      </c>
      <c r="H45" s="101">
        <f>'2. Back Up Beton'!J220</f>
        <v>0</v>
      </c>
      <c r="I45" s="101">
        <f>'2. Back Up Beton'!M220</f>
        <v>45</v>
      </c>
      <c r="J45" s="101">
        <f>'2. Back Up Beton'!P220</f>
        <v>0</v>
      </c>
      <c r="K45" s="101">
        <f>'2. Back Up Beton'!S220</f>
        <v>0</v>
      </c>
      <c r="L45" s="101">
        <f>'2. Back Up Beton'!V220</f>
        <v>0</v>
      </c>
      <c r="M45" s="147">
        <f>'2. Back Up Beton'!Y220</f>
        <v>0</v>
      </c>
      <c r="N45" s="150"/>
    </row>
    <row r="46" spans="2:14" s="35" customFormat="1" ht="17.100000000000001" customHeight="1">
      <c r="B46" s="248"/>
      <c r="C46" s="249">
        <f t="shared" si="2"/>
        <v>5100</v>
      </c>
      <c r="D46" s="250">
        <f t="shared" si="3"/>
        <v>5200</v>
      </c>
      <c r="E46" s="251">
        <v>5</v>
      </c>
      <c r="F46" s="112">
        <f t="shared" si="0"/>
        <v>70</v>
      </c>
      <c r="G46" s="113" t="str">
        <f t="shared" si="1"/>
        <v>S</v>
      </c>
      <c r="H46" s="101">
        <f>'2. Back Up Beton'!J228</f>
        <v>0</v>
      </c>
      <c r="I46" s="101">
        <f>'2. Back Up Beton'!M228</f>
        <v>350</v>
      </c>
      <c r="J46" s="101">
        <f>'2. Back Up Beton'!P228</f>
        <v>0</v>
      </c>
      <c r="K46" s="101">
        <f>'2. Back Up Beton'!S228</f>
        <v>0</v>
      </c>
      <c r="L46" s="101">
        <f>'2. Back Up Beton'!V228</f>
        <v>0</v>
      </c>
      <c r="M46" s="147">
        <f>'2. Back Up Beton'!Y228</f>
        <v>0</v>
      </c>
      <c r="N46" s="150"/>
    </row>
    <row r="47" spans="2:14" s="35" customFormat="1" ht="17.100000000000001" customHeight="1">
      <c r="B47" s="105"/>
      <c r="C47" s="54">
        <f>NOTE!J13</f>
        <v>8150</v>
      </c>
      <c r="D47" s="96">
        <v>8200</v>
      </c>
      <c r="E47" s="111">
        <v>5</v>
      </c>
      <c r="F47" s="112">
        <f t="shared" ref="F47" si="12">(100/((D47-C47)*E47))*((H47*0.5)+(I47*1)+(J47*2)+(K47*20)+(L47*15)+(M47*1.5))</f>
        <v>30</v>
      </c>
      <c r="G47" s="113" t="str">
        <f t="shared" ref="G47" si="13">IF(F47&lt;=25,"B",IF(F47&lt;=75,"S",IF(F47&lt;=100,"RR","RB")))</f>
        <v>S</v>
      </c>
      <c r="H47" s="101">
        <f>'2. Back Up Beton'!J236</f>
        <v>150</v>
      </c>
      <c r="I47" s="101">
        <f>'2. Back Up Beton'!M236</f>
        <v>0</v>
      </c>
      <c r="J47" s="101">
        <f>'2. Back Up Beton'!P236</f>
        <v>0</v>
      </c>
      <c r="K47" s="101">
        <f>'2. Back Up Beton'!S236</f>
        <v>0</v>
      </c>
      <c r="L47" s="101">
        <f>'2. Back Up Beton'!V236</f>
        <v>0</v>
      </c>
      <c r="M47" s="147">
        <f>'2. Back Up Beton'!Y236</f>
        <v>0</v>
      </c>
      <c r="N47" s="150"/>
    </row>
    <row r="48" spans="2:14" s="35" customFormat="1" ht="17.100000000000001" customHeight="1">
      <c r="B48" s="105"/>
      <c r="C48" s="54">
        <f>D47</f>
        <v>8200</v>
      </c>
      <c r="D48" s="96">
        <f>C48+100</f>
        <v>8300</v>
      </c>
      <c r="E48" s="111">
        <v>5</v>
      </c>
      <c r="F48" s="112">
        <f t="shared" si="0"/>
        <v>30</v>
      </c>
      <c r="G48" s="113" t="str">
        <f t="shared" si="1"/>
        <v>S</v>
      </c>
      <c r="H48" s="101">
        <f>'2. Back Up Beton'!J244</f>
        <v>300</v>
      </c>
      <c r="I48" s="101">
        <f>'2. Back Up Beton'!M244</f>
        <v>0</v>
      </c>
      <c r="J48" s="101">
        <f>'2. Back Up Beton'!P244</f>
        <v>0</v>
      </c>
      <c r="K48" s="101">
        <f>'2. Back Up Beton'!S244</f>
        <v>0</v>
      </c>
      <c r="L48" s="101">
        <f>'2. Back Up Beton'!V244</f>
        <v>0</v>
      </c>
      <c r="M48" s="147">
        <f>'2. Back Up Beton'!Y244</f>
        <v>0</v>
      </c>
      <c r="N48" s="150"/>
    </row>
    <row r="49" spans="2:14" s="35" customFormat="1" ht="17.100000000000001" customHeight="1">
      <c r="B49" s="105"/>
      <c r="C49" s="54">
        <f>D48</f>
        <v>8300</v>
      </c>
      <c r="D49" s="96">
        <f>C49+100</f>
        <v>8400</v>
      </c>
      <c r="E49" s="111">
        <v>5</v>
      </c>
      <c r="F49" s="112">
        <f t="shared" ref="F49" si="14">(100/((D49-C49)*E49))*((H49*0.5)+(I49*1)+(J49*2)+(K49*20)+(L49*15)+(M49*1.5))</f>
        <v>30</v>
      </c>
      <c r="G49" s="113" t="str">
        <f t="shared" ref="G49" si="15">IF(F49&lt;=25,"B",IF(F49&lt;=75,"S",IF(F49&lt;=100,"RR","RB")))</f>
        <v>S</v>
      </c>
      <c r="H49" s="101">
        <f>'2. Back Up Beton'!J252</f>
        <v>300</v>
      </c>
      <c r="I49" s="101">
        <f>'2. Back Up Beton'!M252</f>
        <v>0</v>
      </c>
      <c r="J49" s="101">
        <f>'2. Back Up Beton'!P252</f>
        <v>0</v>
      </c>
      <c r="K49" s="101">
        <f>'2. Back Up Beton'!S252</f>
        <v>0</v>
      </c>
      <c r="L49" s="101">
        <f>'2. Back Up Beton'!V252</f>
        <v>0</v>
      </c>
      <c r="M49" s="147">
        <f>'2. Back Up Beton'!Y252</f>
        <v>0</v>
      </c>
      <c r="N49" s="150"/>
    </row>
    <row r="50" spans="2:14" s="35" customFormat="1" ht="17.100000000000001" customHeight="1">
      <c r="B50" s="105"/>
      <c r="C50" s="54">
        <f>D49</f>
        <v>8400</v>
      </c>
      <c r="D50" s="96">
        <v>8500</v>
      </c>
      <c r="E50" s="111">
        <v>5</v>
      </c>
      <c r="F50" s="112">
        <f t="shared" si="0"/>
        <v>30</v>
      </c>
      <c r="G50" s="113" t="str">
        <f t="shared" si="1"/>
        <v>S</v>
      </c>
      <c r="H50" s="101">
        <f>'2. Back Up Beton'!J260</f>
        <v>300</v>
      </c>
      <c r="I50" s="101">
        <f>'2. Back Up Beton'!M260</f>
        <v>0</v>
      </c>
      <c r="J50" s="101">
        <f>'2. Back Up Beton'!P260</f>
        <v>0</v>
      </c>
      <c r="K50" s="101">
        <f>'2. Back Up Beton'!S260</f>
        <v>0</v>
      </c>
      <c r="L50" s="101">
        <f>'2. Back Up Beton'!V260</f>
        <v>0</v>
      </c>
      <c r="M50" s="147">
        <f>'2. Back Up Beton'!Y260</f>
        <v>0</v>
      </c>
      <c r="N50" s="150"/>
    </row>
    <row r="51" spans="2:14" s="35" customFormat="1" ht="17.100000000000001" customHeight="1">
      <c r="B51" s="105"/>
      <c r="C51" s="54">
        <f t="shared" si="2"/>
        <v>8500</v>
      </c>
      <c r="D51" s="96">
        <f t="shared" si="3"/>
        <v>8600</v>
      </c>
      <c r="E51" s="111">
        <v>5</v>
      </c>
      <c r="F51" s="112">
        <f t="shared" si="0"/>
        <v>30</v>
      </c>
      <c r="G51" s="113" t="str">
        <f t="shared" si="1"/>
        <v>S</v>
      </c>
      <c r="H51" s="101">
        <f>'2. Back Up Beton'!J268</f>
        <v>300</v>
      </c>
      <c r="I51" s="101">
        <f>'2. Back Up Beton'!M268</f>
        <v>0</v>
      </c>
      <c r="J51" s="101">
        <f>'2. Back Up Beton'!P268</f>
        <v>0</v>
      </c>
      <c r="K51" s="101">
        <f>'2. Back Up Beton'!S268</f>
        <v>0</v>
      </c>
      <c r="L51" s="101">
        <f>'2. Back Up Beton'!V268</f>
        <v>0</v>
      </c>
      <c r="M51" s="147">
        <f>'2. Back Up Beton'!Y268</f>
        <v>0</v>
      </c>
      <c r="N51" s="150"/>
    </row>
    <row r="52" spans="2:14" s="35" customFormat="1" ht="17.100000000000001" customHeight="1">
      <c r="B52" s="105"/>
      <c r="C52" s="54">
        <f t="shared" si="2"/>
        <v>8600</v>
      </c>
      <c r="D52" s="96">
        <f t="shared" si="3"/>
        <v>8700</v>
      </c>
      <c r="E52" s="111">
        <v>5</v>
      </c>
      <c r="F52" s="112">
        <f t="shared" si="0"/>
        <v>30</v>
      </c>
      <c r="G52" s="113" t="str">
        <f t="shared" si="1"/>
        <v>S</v>
      </c>
      <c r="H52" s="101">
        <f>'2. Back Up Beton'!J276</f>
        <v>300</v>
      </c>
      <c r="I52" s="101">
        <f>'2. Back Up Beton'!M276</f>
        <v>0</v>
      </c>
      <c r="J52" s="101">
        <f>'2. Back Up Beton'!P276</f>
        <v>0</v>
      </c>
      <c r="K52" s="101">
        <f>'2. Back Up Beton'!S276</f>
        <v>0</v>
      </c>
      <c r="L52" s="101">
        <f>'2. Back Up Beton'!V276</f>
        <v>0</v>
      </c>
      <c r="M52" s="147">
        <f>'2. Back Up Beton'!Y276</f>
        <v>0</v>
      </c>
      <c r="N52" s="150"/>
    </row>
    <row r="53" spans="2:14" s="35" customFormat="1" ht="17.100000000000001" customHeight="1">
      <c r="B53" s="105"/>
      <c r="C53" s="54">
        <f t="shared" si="2"/>
        <v>8700</v>
      </c>
      <c r="D53" s="96">
        <f t="shared" si="3"/>
        <v>8800</v>
      </c>
      <c r="E53" s="111">
        <v>5</v>
      </c>
      <c r="F53" s="112">
        <f t="shared" si="0"/>
        <v>30</v>
      </c>
      <c r="G53" s="113" t="str">
        <f t="shared" si="1"/>
        <v>S</v>
      </c>
      <c r="H53" s="101">
        <f>'2. Back Up Beton'!J284</f>
        <v>300</v>
      </c>
      <c r="I53" s="101">
        <f>'2. Back Up Beton'!M284</f>
        <v>0</v>
      </c>
      <c r="J53" s="101">
        <f>'2. Back Up Beton'!P284</f>
        <v>0</v>
      </c>
      <c r="K53" s="101">
        <f>'2. Back Up Beton'!S284</f>
        <v>0</v>
      </c>
      <c r="L53" s="101">
        <f>'2. Back Up Beton'!V284</f>
        <v>0</v>
      </c>
      <c r="M53" s="147">
        <f>'2. Back Up Beton'!Y284</f>
        <v>0</v>
      </c>
      <c r="N53" s="150"/>
    </row>
    <row r="54" spans="2:14" s="35" customFormat="1" ht="17.100000000000001" customHeight="1">
      <c r="B54" s="105"/>
      <c r="C54" s="54">
        <f t="shared" si="2"/>
        <v>8800</v>
      </c>
      <c r="D54" s="96">
        <f t="shared" si="3"/>
        <v>8900</v>
      </c>
      <c r="E54" s="111">
        <v>5</v>
      </c>
      <c r="F54" s="112">
        <f t="shared" si="0"/>
        <v>30</v>
      </c>
      <c r="G54" s="113" t="str">
        <f t="shared" si="1"/>
        <v>S</v>
      </c>
      <c r="H54" s="101">
        <f>'2. Back Up Beton'!J292</f>
        <v>300</v>
      </c>
      <c r="I54" s="101">
        <f>'2. Back Up Beton'!M292</f>
        <v>0</v>
      </c>
      <c r="J54" s="101">
        <f>'2. Back Up Beton'!P292</f>
        <v>0</v>
      </c>
      <c r="K54" s="101">
        <f>'2. Back Up Beton'!S292</f>
        <v>0</v>
      </c>
      <c r="L54" s="101">
        <f>'2. Back Up Beton'!V292</f>
        <v>0</v>
      </c>
      <c r="M54" s="147">
        <f>'2. Back Up Beton'!Y292</f>
        <v>0</v>
      </c>
      <c r="N54" s="150"/>
    </row>
    <row r="55" spans="2:14" s="35" customFormat="1" ht="17.100000000000001" customHeight="1">
      <c r="B55" s="248"/>
      <c r="C55" s="249">
        <f>D54</f>
        <v>8900</v>
      </c>
      <c r="D55" s="250">
        <f>NOTE!L13</f>
        <v>8960</v>
      </c>
      <c r="E55" s="251">
        <v>5</v>
      </c>
      <c r="F55" s="112">
        <f t="shared" si="0"/>
        <v>30</v>
      </c>
      <c r="G55" s="113" t="str">
        <f t="shared" si="1"/>
        <v>S</v>
      </c>
      <c r="H55" s="101">
        <f>'2. Back Up Beton'!J300</f>
        <v>180</v>
      </c>
      <c r="I55" s="101">
        <f>'2. Back Up Beton'!M300</f>
        <v>0</v>
      </c>
      <c r="J55" s="101">
        <f>'2. Back Up Beton'!P300</f>
        <v>0</v>
      </c>
      <c r="K55" s="101">
        <f>'2. Back Up Beton'!S300</f>
        <v>0</v>
      </c>
      <c r="L55" s="101">
        <f>'2. Back Up Beton'!V300</f>
        <v>0</v>
      </c>
      <c r="M55" s="147">
        <f>'2. Back Up Beton'!Y300</f>
        <v>0</v>
      </c>
      <c r="N55" s="150"/>
    </row>
    <row r="56" spans="2:14" s="35" customFormat="1" ht="17.100000000000001" customHeight="1">
      <c r="B56" s="105"/>
      <c r="C56" s="54">
        <f>NOTE!J15</f>
        <v>9280</v>
      </c>
      <c r="D56" s="96">
        <v>9300</v>
      </c>
      <c r="E56" s="111">
        <v>5</v>
      </c>
      <c r="F56" s="112">
        <f t="shared" si="0"/>
        <v>30</v>
      </c>
      <c r="G56" s="113" t="str">
        <f t="shared" si="1"/>
        <v>S</v>
      </c>
      <c r="H56" s="101">
        <f>'2. Back Up Beton'!J308</f>
        <v>60</v>
      </c>
      <c r="I56" s="101">
        <f>'2. Back Up Beton'!M308</f>
        <v>0</v>
      </c>
      <c r="J56" s="101">
        <f>'2. Back Up Beton'!P308</f>
        <v>0</v>
      </c>
      <c r="K56" s="101">
        <f>'2. Back Up Beton'!S308</f>
        <v>0</v>
      </c>
      <c r="L56" s="101">
        <f>'2. Back Up Beton'!V308</f>
        <v>0</v>
      </c>
      <c r="M56" s="147">
        <f>'2. Back Up Beton'!Y308</f>
        <v>0</v>
      </c>
      <c r="N56" s="150"/>
    </row>
    <row r="57" spans="2:14" s="35" customFormat="1" ht="17.100000000000001" customHeight="1">
      <c r="B57" s="105"/>
      <c r="C57" s="54">
        <f t="shared" si="2"/>
        <v>9300</v>
      </c>
      <c r="D57" s="96">
        <f t="shared" si="3"/>
        <v>9400</v>
      </c>
      <c r="E57" s="111">
        <v>5</v>
      </c>
      <c r="F57" s="112">
        <f t="shared" si="0"/>
        <v>30</v>
      </c>
      <c r="G57" s="113" t="str">
        <f t="shared" si="1"/>
        <v>S</v>
      </c>
      <c r="H57" s="101">
        <f>'2. Back Up Beton'!J316</f>
        <v>300</v>
      </c>
      <c r="I57" s="101">
        <f>'2. Back Up Beton'!M316</f>
        <v>0</v>
      </c>
      <c r="J57" s="101">
        <f>'2. Back Up Beton'!P316</f>
        <v>0</v>
      </c>
      <c r="K57" s="101">
        <f>'2. Back Up Beton'!S316</f>
        <v>0</v>
      </c>
      <c r="L57" s="101">
        <f>'2. Back Up Beton'!V316</f>
        <v>0</v>
      </c>
      <c r="M57" s="147">
        <f>'2. Back Up Beton'!Y316</f>
        <v>0</v>
      </c>
      <c r="N57" s="150"/>
    </row>
    <row r="58" spans="2:14" s="35" customFormat="1" ht="17.100000000000001" customHeight="1">
      <c r="B58" s="105"/>
      <c r="C58" s="54">
        <f t="shared" si="2"/>
        <v>9400</v>
      </c>
      <c r="D58" s="96">
        <f t="shared" si="3"/>
        <v>9500</v>
      </c>
      <c r="E58" s="111">
        <v>5</v>
      </c>
      <c r="F58" s="112">
        <f t="shared" si="0"/>
        <v>30</v>
      </c>
      <c r="G58" s="113" t="str">
        <f t="shared" si="1"/>
        <v>S</v>
      </c>
      <c r="H58" s="101">
        <f>'2. Back Up Beton'!J324</f>
        <v>300</v>
      </c>
      <c r="I58" s="101">
        <f>'2. Back Up Beton'!M324</f>
        <v>0</v>
      </c>
      <c r="J58" s="101">
        <f>'2. Back Up Beton'!P324</f>
        <v>0</v>
      </c>
      <c r="K58" s="101">
        <f>'2. Back Up Beton'!S324</f>
        <v>0</v>
      </c>
      <c r="L58" s="101">
        <f>'2. Back Up Beton'!V324</f>
        <v>0</v>
      </c>
      <c r="M58" s="147">
        <f>'2. Back Up Beton'!Y324</f>
        <v>0</v>
      </c>
      <c r="N58" s="150"/>
    </row>
    <row r="59" spans="2:14" s="35" customFormat="1" ht="17.100000000000001" customHeight="1">
      <c r="B59" s="105"/>
      <c r="C59" s="54">
        <f t="shared" si="2"/>
        <v>9500</v>
      </c>
      <c r="D59" s="96">
        <f t="shared" si="3"/>
        <v>9600</v>
      </c>
      <c r="E59" s="111">
        <v>5</v>
      </c>
      <c r="F59" s="112">
        <f t="shared" si="0"/>
        <v>30</v>
      </c>
      <c r="G59" s="113" t="str">
        <f t="shared" si="1"/>
        <v>S</v>
      </c>
      <c r="H59" s="101">
        <f>'2. Back Up Beton'!J332</f>
        <v>300</v>
      </c>
      <c r="I59" s="101">
        <f>'2. Back Up Beton'!M332</f>
        <v>0</v>
      </c>
      <c r="J59" s="101">
        <f>'2. Back Up Beton'!P332</f>
        <v>0</v>
      </c>
      <c r="K59" s="101">
        <f>'2. Back Up Beton'!S332</f>
        <v>0</v>
      </c>
      <c r="L59" s="101">
        <f>'2. Back Up Beton'!V332</f>
        <v>0</v>
      </c>
      <c r="M59" s="147">
        <f>'2. Back Up Beton'!Y332</f>
        <v>0</v>
      </c>
      <c r="N59" s="150"/>
    </row>
    <row r="60" spans="2:14" s="35" customFormat="1" ht="17.100000000000001" customHeight="1">
      <c r="B60" s="105"/>
      <c r="C60" s="54">
        <f t="shared" si="2"/>
        <v>9600</v>
      </c>
      <c r="D60" s="96">
        <f t="shared" si="3"/>
        <v>9700</v>
      </c>
      <c r="E60" s="111">
        <v>5</v>
      </c>
      <c r="F60" s="112">
        <f t="shared" si="0"/>
        <v>30</v>
      </c>
      <c r="G60" s="113" t="str">
        <f t="shared" si="1"/>
        <v>S</v>
      </c>
      <c r="H60" s="101">
        <f>'2. Back Up Beton'!J340</f>
        <v>300</v>
      </c>
      <c r="I60" s="101">
        <f>'2. Back Up Beton'!M340</f>
        <v>0</v>
      </c>
      <c r="J60" s="101">
        <f>'2. Back Up Beton'!P340</f>
        <v>0</v>
      </c>
      <c r="K60" s="101">
        <f>'2. Back Up Beton'!S340</f>
        <v>0</v>
      </c>
      <c r="L60" s="101">
        <f>'2. Back Up Beton'!V340</f>
        <v>0</v>
      </c>
      <c r="M60" s="147">
        <f>'2. Back Up Beton'!Y340</f>
        <v>0</v>
      </c>
      <c r="N60" s="150"/>
    </row>
    <row r="61" spans="2:14" s="35" customFormat="1" ht="17.100000000000001" customHeight="1">
      <c r="B61" s="105"/>
      <c r="C61" s="54">
        <f t="shared" si="2"/>
        <v>9700</v>
      </c>
      <c r="D61" s="96">
        <f t="shared" si="3"/>
        <v>9800</v>
      </c>
      <c r="E61" s="111">
        <v>5</v>
      </c>
      <c r="F61" s="112">
        <f t="shared" si="0"/>
        <v>30</v>
      </c>
      <c r="G61" s="113" t="str">
        <f t="shared" si="1"/>
        <v>S</v>
      </c>
      <c r="H61" s="101">
        <f>'2. Back Up Beton'!J348</f>
        <v>300</v>
      </c>
      <c r="I61" s="101">
        <f>'2. Back Up Beton'!M348</f>
        <v>0</v>
      </c>
      <c r="J61" s="101">
        <f>'2. Back Up Beton'!P348</f>
        <v>0</v>
      </c>
      <c r="K61" s="101">
        <f>'2. Back Up Beton'!S348</f>
        <v>0</v>
      </c>
      <c r="L61" s="101">
        <f>'2. Back Up Beton'!V348</f>
        <v>0</v>
      </c>
      <c r="M61" s="147">
        <f>'2. Back Up Beton'!Y348</f>
        <v>0</v>
      </c>
      <c r="N61" s="150"/>
    </row>
    <row r="62" spans="2:14" s="35" customFormat="1" ht="17.100000000000001" customHeight="1">
      <c r="B62" s="309"/>
      <c r="C62" s="305">
        <f t="shared" si="2"/>
        <v>9800</v>
      </c>
      <c r="D62" s="306">
        <f t="shared" si="3"/>
        <v>9900</v>
      </c>
      <c r="E62" s="307">
        <v>5</v>
      </c>
      <c r="F62" s="112">
        <f t="shared" si="0"/>
        <v>30</v>
      </c>
      <c r="G62" s="113" t="str">
        <f t="shared" si="1"/>
        <v>S</v>
      </c>
      <c r="H62" s="101">
        <f>'2. Back Up Beton'!J356</f>
        <v>300</v>
      </c>
      <c r="I62" s="101">
        <f>'2. Back Up Beton'!M356</f>
        <v>0</v>
      </c>
      <c r="J62" s="101">
        <f>'2. Back Up Beton'!P356</f>
        <v>0</v>
      </c>
      <c r="K62" s="101">
        <f>'2. Back Up Beton'!S356</f>
        <v>0</v>
      </c>
      <c r="L62" s="101">
        <f>'2. Back Up Beton'!V356</f>
        <v>0</v>
      </c>
      <c r="M62" s="147">
        <f>'2. Back Up Beton'!Y356</f>
        <v>0</v>
      </c>
      <c r="N62" s="150"/>
    </row>
    <row r="63" spans="2:14" s="35" customFormat="1" ht="17.100000000000001" customHeight="1">
      <c r="B63" s="248"/>
      <c r="C63" s="249">
        <f t="shared" ref="C63" si="16">D62</f>
        <v>9900</v>
      </c>
      <c r="D63" s="250">
        <f>NOTE!L15</f>
        <v>9960</v>
      </c>
      <c r="E63" s="251">
        <v>5</v>
      </c>
      <c r="F63" s="112">
        <f t="shared" ref="F63" si="17">(100/((D63-C63)*E63))*((H63*0.5)+(I63*1)+(J63*2)+(K63*20)+(L63*15)+(M63*1.5))</f>
        <v>30</v>
      </c>
      <c r="G63" s="113" t="str">
        <f t="shared" ref="G63" si="18">IF(F63&lt;=25,"B",IF(F63&lt;=75,"S",IF(F63&lt;=100,"RR","RB")))</f>
        <v>S</v>
      </c>
      <c r="H63" s="101">
        <f>'2. Back Up Beton'!J364</f>
        <v>180</v>
      </c>
      <c r="I63" s="101">
        <f>'2. Back Up Beton'!M364</f>
        <v>0</v>
      </c>
      <c r="J63" s="101">
        <f>'2. Back Up Beton'!P364</f>
        <v>0</v>
      </c>
      <c r="K63" s="101">
        <f>'2. Back Up Beton'!S364</f>
        <v>0</v>
      </c>
      <c r="L63" s="101">
        <f>'2. Back Up Beton'!V364</f>
        <v>0</v>
      </c>
      <c r="M63" s="147">
        <f>'2. Back Up Beton'!Y364</f>
        <v>0</v>
      </c>
      <c r="N63" s="150"/>
    </row>
    <row r="64" spans="2:14" s="35" customFormat="1" ht="17.100000000000001" customHeight="1">
      <c r="B64" s="105"/>
      <c r="C64" s="54">
        <f>NOTE!J17</f>
        <v>11000</v>
      </c>
      <c r="D64" s="96">
        <v>11100</v>
      </c>
      <c r="E64" s="111">
        <v>5</v>
      </c>
      <c r="F64" s="112">
        <f t="shared" si="0"/>
        <v>30</v>
      </c>
      <c r="G64" s="113" t="str">
        <f t="shared" si="1"/>
        <v>S</v>
      </c>
      <c r="H64" s="101">
        <f>'2. Back Up Beton'!J372</f>
        <v>300</v>
      </c>
      <c r="I64" s="101">
        <f>'2. Back Up Beton'!M372</f>
        <v>0</v>
      </c>
      <c r="J64" s="101">
        <f>'2. Back Up Beton'!P372</f>
        <v>0</v>
      </c>
      <c r="K64" s="101">
        <f>'2. Back Up Beton'!S372</f>
        <v>0</v>
      </c>
      <c r="L64" s="101">
        <f>'2. Back Up Beton'!V372</f>
        <v>0</v>
      </c>
      <c r="M64" s="147">
        <f>'2. Back Up Beton'!Y372</f>
        <v>0</v>
      </c>
      <c r="N64" s="150"/>
    </row>
    <row r="65" spans="2:14" s="35" customFormat="1" ht="17.100000000000001" customHeight="1">
      <c r="B65" s="105"/>
      <c r="C65" s="54">
        <f t="shared" si="2"/>
        <v>11100</v>
      </c>
      <c r="D65" s="96">
        <f t="shared" si="3"/>
        <v>11200</v>
      </c>
      <c r="E65" s="111">
        <v>5</v>
      </c>
      <c r="F65" s="112">
        <f t="shared" si="0"/>
        <v>30</v>
      </c>
      <c r="G65" s="113" t="str">
        <f t="shared" si="1"/>
        <v>S</v>
      </c>
      <c r="H65" s="101">
        <f>'2. Back Up Beton'!J380</f>
        <v>300</v>
      </c>
      <c r="I65" s="101">
        <f>'2. Back Up Beton'!M380</f>
        <v>0</v>
      </c>
      <c r="J65" s="101">
        <f>'2. Back Up Beton'!P380</f>
        <v>0</v>
      </c>
      <c r="K65" s="101">
        <f>'2. Back Up Beton'!S380</f>
        <v>0</v>
      </c>
      <c r="L65" s="101">
        <f>'2. Back Up Beton'!V380</f>
        <v>0</v>
      </c>
      <c r="M65" s="147">
        <f>'2. Back Up Beton'!Y380</f>
        <v>0</v>
      </c>
      <c r="N65" s="150"/>
    </row>
    <row r="66" spans="2:14" s="35" customFormat="1" ht="17.100000000000001" customHeight="1">
      <c r="B66" s="105"/>
      <c r="C66" s="54">
        <f t="shared" si="2"/>
        <v>11200</v>
      </c>
      <c r="D66" s="96">
        <f t="shared" si="3"/>
        <v>11300</v>
      </c>
      <c r="E66" s="111">
        <v>5</v>
      </c>
      <c r="F66" s="112">
        <f t="shared" si="0"/>
        <v>30</v>
      </c>
      <c r="G66" s="113" t="str">
        <f t="shared" si="1"/>
        <v>S</v>
      </c>
      <c r="H66" s="101">
        <f>'2. Back Up Beton'!J388</f>
        <v>300</v>
      </c>
      <c r="I66" s="101">
        <f>'2. Back Up Beton'!M388</f>
        <v>0</v>
      </c>
      <c r="J66" s="101">
        <f>'2. Back Up Beton'!P388</f>
        <v>0</v>
      </c>
      <c r="K66" s="101">
        <f>'2. Back Up Beton'!S388</f>
        <v>0</v>
      </c>
      <c r="L66" s="101">
        <f>'2. Back Up Beton'!V388</f>
        <v>0</v>
      </c>
      <c r="M66" s="147">
        <f>'2. Back Up Beton'!Y388</f>
        <v>0</v>
      </c>
      <c r="N66" s="150"/>
    </row>
    <row r="67" spans="2:14" s="35" customFormat="1" ht="17.100000000000001" customHeight="1">
      <c r="B67" s="248"/>
      <c r="C67" s="249">
        <f t="shared" si="2"/>
        <v>11300</v>
      </c>
      <c r="D67" s="250">
        <f>NOTE!L17</f>
        <v>11310</v>
      </c>
      <c r="E67" s="251">
        <v>5</v>
      </c>
      <c r="F67" s="112">
        <f t="shared" si="0"/>
        <v>30</v>
      </c>
      <c r="G67" s="113" t="str">
        <f t="shared" si="1"/>
        <v>S</v>
      </c>
      <c r="H67" s="101">
        <f>'2. Back Up Beton'!J396</f>
        <v>30</v>
      </c>
      <c r="I67" s="101">
        <f>'2. Back Up Beton'!M396</f>
        <v>0</v>
      </c>
      <c r="J67" s="101">
        <f>'2. Back Up Beton'!P396</f>
        <v>0</v>
      </c>
      <c r="K67" s="101">
        <f>'2. Back Up Beton'!S396</f>
        <v>0</v>
      </c>
      <c r="L67" s="101">
        <f>'2. Back Up Beton'!V396</f>
        <v>0</v>
      </c>
      <c r="M67" s="147">
        <f>'2. Back Up Beton'!Y396</f>
        <v>0</v>
      </c>
      <c r="N67" s="150"/>
    </row>
    <row r="68" spans="2:14" s="35" customFormat="1" ht="17.100000000000001" customHeight="1">
      <c r="B68" s="105"/>
      <c r="C68" s="54">
        <f>NOTE!J19</f>
        <v>14500</v>
      </c>
      <c r="D68" s="96">
        <f t="shared" si="3"/>
        <v>14600</v>
      </c>
      <c r="E68" s="111">
        <v>6</v>
      </c>
      <c r="F68" s="112">
        <f t="shared" si="0"/>
        <v>0</v>
      </c>
      <c r="G68" s="113" t="str">
        <f t="shared" si="1"/>
        <v>B</v>
      </c>
      <c r="H68" s="101">
        <f>'2. Back Up Beton'!J404</f>
        <v>0</v>
      </c>
      <c r="I68" s="101">
        <f>'2. Back Up Beton'!M404</f>
        <v>0</v>
      </c>
      <c r="J68" s="101">
        <f>'2. Back Up Beton'!P404</f>
        <v>0</v>
      </c>
      <c r="K68" s="101">
        <f>'2. Back Up Beton'!S404</f>
        <v>0</v>
      </c>
      <c r="L68" s="101">
        <f>'2. Back Up Beton'!V404</f>
        <v>0</v>
      </c>
      <c r="M68" s="147">
        <f>'2. Back Up Beton'!Y404</f>
        <v>0</v>
      </c>
      <c r="N68" s="150"/>
    </row>
    <row r="69" spans="2:14" s="35" customFormat="1" ht="17.100000000000001" customHeight="1">
      <c r="B69" s="105"/>
      <c r="C69" s="54">
        <f t="shared" si="2"/>
        <v>14600</v>
      </c>
      <c r="D69" s="96">
        <f t="shared" si="3"/>
        <v>14700</v>
      </c>
      <c r="E69" s="111">
        <v>6</v>
      </c>
      <c r="F69" s="112">
        <f t="shared" si="0"/>
        <v>0</v>
      </c>
      <c r="G69" s="113" t="str">
        <f t="shared" si="1"/>
        <v>B</v>
      </c>
      <c r="H69" s="101">
        <f>'2. Back Up Beton'!J412</f>
        <v>0</v>
      </c>
      <c r="I69" s="101">
        <f>'2. Back Up Beton'!M412</f>
        <v>0</v>
      </c>
      <c r="J69" s="101">
        <f>'2. Back Up Beton'!P412</f>
        <v>0</v>
      </c>
      <c r="K69" s="101">
        <f>'2. Back Up Beton'!S412</f>
        <v>0</v>
      </c>
      <c r="L69" s="101">
        <f>'2. Back Up Beton'!V412</f>
        <v>0</v>
      </c>
      <c r="M69" s="147">
        <f>'2. Back Up Beton'!Y412</f>
        <v>0</v>
      </c>
      <c r="N69" s="150"/>
    </row>
    <row r="70" spans="2:14" s="35" customFormat="1" ht="17.100000000000001" customHeight="1">
      <c r="B70" s="105"/>
      <c r="C70" s="54">
        <f t="shared" si="2"/>
        <v>14700</v>
      </c>
      <c r="D70" s="96">
        <f t="shared" si="3"/>
        <v>14800</v>
      </c>
      <c r="E70" s="111">
        <v>6</v>
      </c>
      <c r="F70" s="112">
        <f t="shared" si="0"/>
        <v>0</v>
      </c>
      <c r="G70" s="113" t="str">
        <f t="shared" si="1"/>
        <v>B</v>
      </c>
      <c r="H70" s="101">
        <f>'2. Back Up Beton'!J420</f>
        <v>0</v>
      </c>
      <c r="I70" s="101">
        <f>'2. Back Up Beton'!M420</f>
        <v>0</v>
      </c>
      <c r="J70" s="101">
        <f>'2. Back Up Beton'!P420</f>
        <v>0</v>
      </c>
      <c r="K70" s="101">
        <f>'2. Back Up Beton'!S420</f>
        <v>0</v>
      </c>
      <c r="L70" s="101">
        <f>'2. Back Up Beton'!V420</f>
        <v>0</v>
      </c>
      <c r="M70" s="147">
        <f>'2. Back Up Beton'!Y420</f>
        <v>0</v>
      </c>
      <c r="N70" s="150"/>
    </row>
    <row r="71" spans="2:14" s="35" customFormat="1" ht="17.100000000000001" customHeight="1">
      <c r="B71" s="105"/>
      <c r="C71" s="54">
        <f t="shared" si="2"/>
        <v>14800</v>
      </c>
      <c r="D71" s="96">
        <f t="shared" si="3"/>
        <v>14900</v>
      </c>
      <c r="E71" s="111">
        <v>6</v>
      </c>
      <c r="F71" s="112">
        <f t="shared" si="0"/>
        <v>2.5</v>
      </c>
      <c r="G71" s="113" t="str">
        <f t="shared" si="1"/>
        <v>B</v>
      </c>
      <c r="H71" s="101">
        <f>'2. Back Up Beton'!J428</f>
        <v>30</v>
      </c>
      <c r="I71" s="101">
        <f>'2. Back Up Beton'!M428</f>
        <v>0</v>
      </c>
      <c r="J71" s="101">
        <f>'2. Back Up Beton'!P428</f>
        <v>0</v>
      </c>
      <c r="K71" s="101">
        <f>'2. Back Up Beton'!S428</f>
        <v>0</v>
      </c>
      <c r="L71" s="101">
        <f>'2. Back Up Beton'!V428</f>
        <v>0</v>
      </c>
      <c r="M71" s="147">
        <f>'2. Back Up Beton'!Y428</f>
        <v>0</v>
      </c>
      <c r="N71" s="150"/>
    </row>
    <row r="72" spans="2:14" s="35" customFormat="1" ht="17.100000000000001" customHeight="1">
      <c r="B72" s="105"/>
      <c r="C72" s="54">
        <f t="shared" si="2"/>
        <v>14900</v>
      </c>
      <c r="D72" s="96">
        <f t="shared" si="3"/>
        <v>15000</v>
      </c>
      <c r="E72" s="111">
        <v>6</v>
      </c>
      <c r="F72" s="112">
        <f t="shared" si="0"/>
        <v>2.5</v>
      </c>
      <c r="G72" s="113" t="str">
        <f t="shared" si="1"/>
        <v>B</v>
      </c>
      <c r="H72" s="101">
        <f>'2. Back Up Beton'!J436</f>
        <v>30</v>
      </c>
      <c r="I72" s="101">
        <f>'2. Back Up Beton'!M436</f>
        <v>0</v>
      </c>
      <c r="J72" s="101">
        <f>'2. Back Up Beton'!P436</f>
        <v>0</v>
      </c>
      <c r="K72" s="101">
        <f>'2. Back Up Beton'!S436</f>
        <v>0</v>
      </c>
      <c r="L72" s="101">
        <f>'2. Back Up Beton'!V436</f>
        <v>0</v>
      </c>
      <c r="M72" s="147">
        <f>'2. Back Up Beton'!Y436</f>
        <v>0</v>
      </c>
      <c r="N72" s="150"/>
    </row>
    <row r="73" spans="2:14" s="35" customFormat="1" ht="17.100000000000001" customHeight="1">
      <c r="B73" s="105"/>
      <c r="C73" s="54">
        <f t="shared" si="2"/>
        <v>15000</v>
      </c>
      <c r="D73" s="96">
        <f t="shared" si="3"/>
        <v>15100</v>
      </c>
      <c r="E73" s="111">
        <v>6</v>
      </c>
      <c r="F73" s="112">
        <f t="shared" si="0"/>
        <v>0</v>
      </c>
      <c r="G73" s="113" t="str">
        <f t="shared" si="1"/>
        <v>B</v>
      </c>
      <c r="H73" s="101">
        <f>'2. Back Up Beton'!J444</f>
        <v>0</v>
      </c>
      <c r="I73" s="101">
        <f>'2. Back Up Beton'!M444</f>
        <v>0</v>
      </c>
      <c r="J73" s="101">
        <f>'2. Back Up Beton'!P444</f>
        <v>0</v>
      </c>
      <c r="K73" s="101">
        <f>'2. Back Up Beton'!S444</f>
        <v>0</v>
      </c>
      <c r="L73" s="101">
        <f>'2. Back Up Beton'!V444</f>
        <v>0</v>
      </c>
      <c r="M73" s="147">
        <f>'2. Back Up Beton'!Y444</f>
        <v>0</v>
      </c>
      <c r="N73" s="150"/>
    </row>
    <row r="74" spans="2:14" s="35" customFormat="1" ht="17.100000000000001" customHeight="1">
      <c r="B74" s="105"/>
      <c r="C74" s="54">
        <f t="shared" si="2"/>
        <v>15100</v>
      </c>
      <c r="D74" s="96">
        <f t="shared" si="3"/>
        <v>15200</v>
      </c>
      <c r="E74" s="111">
        <v>6</v>
      </c>
      <c r="F74" s="112">
        <f t="shared" si="0"/>
        <v>0</v>
      </c>
      <c r="G74" s="113" t="str">
        <f t="shared" si="1"/>
        <v>B</v>
      </c>
      <c r="H74" s="101">
        <f>'2. Back Up Beton'!J452</f>
        <v>0</v>
      </c>
      <c r="I74" s="101">
        <f>'2. Back Up Beton'!M452</f>
        <v>0</v>
      </c>
      <c r="J74" s="101">
        <f>'2. Back Up Beton'!P452</f>
        <v>0</v>
      </c>
      <c r="K74" s="101">
        <f>'2. Back Up Beton'!S452</f>
        <v>0</v>
      </c>
      <c r="L74" s="101">
        <f>'2. Back Up Beton'!V452</f>
        <v>0</v>
      </c>
      <c r="M74" s="147">
        <f>'2. Back Up Beton'!Y452</f>
        <v>0</v>
      </c>
      <c r="N74" s="150"/>
    </row>
    <row r="75" spans="2:14" s="35" customFormat="1" ht="17.100000000000001" customHeight="1">
      <c r="B75" s="105"/>
      <c r="C75" s="54">
        <f t="shared" si="2"/>
        <v>15200</v>
      </c>
      <c r="D75" s="96">
        <f t="shared" si="3"/>
        <v>15300</v>
      </c>
      <c r="E75" s="111">
        <v>6</v>
      </c>
      <c r="F75" s="112">
        <f t="shared" si="0"/>
        <v>0</v>
      </c>
      <c r="G75" s="113" t="str">
        <f t="shared" si="1"/>
        <v>B</v>
      </c>
      <c r="H75" s="101">
        <f>'2. Back Up Beton'!J460</f>
        <v>0</v>
      </c>
      <c r="I75" s="101">
        <f>'2. Back Up Beton'!M460</f>
        <v>0</v>
      </c>
      <c r="J75" s="101">
        <f>'2. Back Up Beton'!P460</f>
        <v>0</v>
      </c>
      <c r="K75" s="101">
        <f>'2. Back Up Beton'!S460</f>
        <v>0</v>
      </c>
      <c r="L75" s="101">
        <f>'2. Back Up Beton'!V460</f>
        <v>0</v>
      </c>
      <c r="M75" s="147">
        <f>'2. Back Up Beton'!Y460</f>
        <v>0</v>
      </c>
      <c r="N75" s="150"/>
    </row>
    <row r="76" spans="2:14" s="35" customFormat="1" ht="17.100000000000001" customHeight="1">
      <c r="B76" s="105"/>
      <c r="C76" s="54">
        <f t="shared" si="2"/>
        <v>15300</v>
      </c>
      <c r="D76" s="96">
        <f t="shared" si="3"/>
        <v>15400</v>
      </c>
      <c r="E76" s="111">
        <v>6</v>
      </c>
      <c r="F76" s="112">
        <f t="shared" si="0"/>
        <v>0</v>
      </c>
      <c r="G76" s="113" t="str">
        <f t="shared" si="1"/>
        <v>B</v>
      </c>
      <c r="H76" s="101">
        <f>'2. Back Up Beton'!J468</f>
        <v>0</v>
      </c>
      <c r="I76" s="101">
        <f>'2. Back Up Beton'!M468</f>
        <v>0</v>
      </c>
      <c r="J76" s="101">
        <f>'2. Back Up Beton'!P468</f>
        <v>0</v>
      </c>
      <c r="K76" s="101">
        <f>'2. Back Up Beton'!S468</f>
        <v>0</v>
      </c>
      <c r="L76" s="101">
        <f>'2. Back Up Beton'!V468</f>
        <v>0</v>
      </c>
      <c r="M76" s="147">
        <f>'2. Back Up Beton'!Y468</f>
        <v>0</v>
      </c>
      <c r="N76" s="150"/>
    </row>
    <row r="77" spans="2:14" s="35" customFormat="1" ht="17.100000000000001" customHeight="1">
      <c r="B77" s="105"/>
      <c r="C77" s="54">
        <f t="shared" si="2"/>
        <v>15400</v>
      </c>
      <c r="D77" s="96">
        <f t="shared" si="3"/>
        <v>15500</v>
      </c>
      <c r="E77" s="111">
        <v>6</v>
      </c>
      <c r="F77" s="112">
        <f t="shared" si="0"/>
        <v>0</v>
      </c>
      <c r="G77" s="113" t="str">
        <f t="shared" si="1"/>
        <v>B</v>
      </c>
      <c r="H77" s="101">
        <f>'2. Back Up Beton'!J476</f>
        <v>0</v>
      </c>
      <c r="I77" s="101">
        <f>'2. Back Up Beton'!M476</f>
        <v>0</v>
      </c>
      <c r="J77" s="101">
        <f>'2. Back Up Beton'!P476</f>
        <v>0</v>
      </c>
      <c r="K77" s="101">
        <f>'2. Back Up Beton'!S476</f>
        <v>0</v>
      </c>
      <c r="L77" s="101">
        <f>'2. Back Up Beton'!V476</f>
        <v>0</v>
      </c>
      <c r="M77" s="147">
        <f>'2. Back Up Beton'!Y476</f>
        <v>0</v>
      </c>
      <c r="N77" s="150"/>
    </row>
    <row r="78" spans="2:14" s="35" customFormat="1" ht="17.100000000000001" customHeight="1">
      <c r="B78" s="105"/>
      <c r="C78" s="54">
        <f t="shared" si="2"/>
        <v>15500</v>
      </c>
      <c r="D78" s="96">
        <f t="shared" si="3"/>
        <v>15600</v>
      </c>
      <c r="E78" s="111">
        <v>6</v>
      </c>
      <c r="F78" s="112">
        <f t="shared" si="0"/>
        <v>0</v>
      </c>
      <c r="G78" s="113" t="str">
        <f t="shared" si="1"/>
        <v>B</v>
      </c>
      <c r="H78" s="101">
        <f>'2. Back Up Beton'!J484</f>
        <v>0</v>
      </c>
      <c r="I78" s="101">
        <f>'2. Back Up Beton'!M484</f>
        <v>0</v>
      </c>
      <c r="J78" s="101">
        <f>'2. Back Up Beton'!P484</f>
        <v>0</v>
      </c>
      <c r="K78" s="101">
        <f>'2. Back Up Beton'!S484</f>
        <v>0</v>
      </c>
      <c r="L78" s="101">
        <f>'2. Back Up Beton'!V484</f>
        <v>0</v>
      </c>
      <c r="M78" s="147">
        <f>'2. Back Up Beton'!Y484</f>
        <v>0</v>
      </c>
      <c r="N78" s="150"/>
    </row>
    <row r="79" spans="2:14" s="35" customFormat="1" ht="17.100000000000001" customHeight="1">
      <c r="B79" s="105"/>
      <c r="C79" s="54">
        <f t="shared" si="2"/>
        <v>15600</v>
      </c>
      <c r="D79" s="96">
        <f t="shared" si="3"/>
        <v>15700</v>
      </c>
      <c r="E79" s="111">
        <v>6</v>
      </c>
      <c r="F79" s="112">
        <f t="shared" si="0"/>
        <v>0</v>
      </c>
      <c r="G79" s="113" t="str">
        <f t="shared" si="1"/>
        <v>B</v>
      </c>
      <c r="H79" s="101">
        <f>'2. Back Up Beton'!J492</f>
        <v>0</v>
      </c>
      <c r="I79" s="101">
        <f>'2. Back Up Beton'!M492</f>
        <v>0</v>
      </c>
      <c r="J79" s="101">
        <f>'2. Back Up Beton'!P492</f>
        <v>0</v>
      </c>
      <c r="K79" s="101">
        <f>'2. Back Up Beton'!S492</f>
        <v>0</v>
      </c>
      <c r="L79" s="101">
        <f>'2. Back Up Beton'!V492</f>
        <v>0</v>
      </c>
      <c r="M79" s="147">
        <f>'2. Back Up Beton'!Y492</f>
        <v>0</v>
      </c>
      <c r="N79" s="150"/>
    </row>
    <row r="80" spans="2:14" s="35" customFormat="1" ht="17.100000000000001" customHeight="1">
      <c r="B80" s="105"/>
      <c r="C80" s="54">
        <f t="shared" si="2"/>
        <v>15700</v>
      </c>
      <c r="D80" s="96">
        <f t="shared" si="3"/>
        <v>15800</v>
      </c>
      <c r="E80" s="111">
        <v>6</v>
      </c>
      <c r="F80" s="112">
        <f t="shared" si="0"/>
        <v>0</v>
      </c>
      <c r="G80" s="113" t="str">
        <f t="shared" si="1"/>
        <v>B</v>
      </c>
      <c r="H80" s="101">
        <f>'2. Back Up Beton'!J500</f>
        <v>0</v>
      </c>
      <c r="I80" s="101">
        <f>'2. Back Up Beton'!M500</f>
        <v>0</v>
      </c>
      <c r="J80" s="101">
        <f>'2. Back Up Beton'!P500</f>
        <v>0</v>
      </c>
      <c r="K80" s="101">
        <f>'2. Back Up Beton'!S500</f>
        <v>0</v>
      </c>
      <c r="L80" s="101">
        <f>'2. Back Up Beton'!V500</f>
        <v>0</v>
      </c>
      <c r="M80" s="147">
        <f>'2. Back Up Beton'!Y500</f>
        <v>0</v>
      </c>
      <c r="N80" s="150"/>
    </row>
    <row r="81" spans="1:14" s="35" customFormat="1" ht="17.100000000000001" customHeight="1">
      <c r="B81" s="105"/>
      <c r="C81" s="54">
        <f t="shared" si="2"/>
        <v>15800</v>
      </c>
      <c r="D81" s="96">
        <f t="shared" si="3"/>
        <v>15900</v>
      </c>
      <c r="E81" s="111">
        <v>6</v>
      </c>
      <c r="F81" s="112">
        <f t="shared" si="0"/>
        <v>0</v>
      </c>
      <c r="G81" s="113" t="str">
        <f t="shared" si="1"/>
        <v>B</v>
      </c>
      <c r="H81" s="101">
        <f>'2. Back Up Beton'!J508</f>
        <v>0</v>
      </c>
      <c r="I81" s="101">
        <f>'2. Back Up Beton'!M508</f>
        <v>0</v>
      </c>
      <c r="J81" s="101">
        <f>'2. Back Up Beton'!P508</f>
        <v>0</v>
      </c>
      <c r="K81" s="101">
        <f>'2. Back Up Beton'!S508</f>
        <v>0</v>
      </c>
      <c r="L81" s="101">
        <f>'2. Back Up Beton'!V508</f>
        <v>0</v>
      </c>
      <c r="M81" s="147">
        <f>'2. Back Up Beton'!Y508</f>
        <v>0</v>
      </c>
      <c r="N81" s="150"/>
    </row>
    <row r="82" spans="1:14" s="35" customFormat="1" ht="17.100000000000001" customHeight="1">
      <c r="B82" s="105"/>
      <c r="C82" s="54">
        <f t="shared" si="2"/>
        <v>15900</v>
      </c>
      <c r="D82" s="96">
        <f t="shared" si="3"/>
        <v>16000</v>
      </c>
      <c r="E82" s="111">
        <v>6</v>
      </c>
      <c r="F82" s="112">
        <f t="shared" si="0"/>
        <v>0</v>
      </c>
      <c r="G82" s="113" t="str">
        <f t="shared" si="1"/>
        <v>B</v>
      </c>
      <c r="H82" s="101">
        <f>'2. Back Up Beton'!J516</f>
        <v>0</v>
      </c>
      <c r="I82" s="101">
        <f>'2. Back Up Beton'!M516</f>
        <v>0</v>
      </c>
      <c r="J82" s="101">
        <f>'2. Back Up Beton'!P516</f>
        <v>0</v>
      </c>
      <c r="K82" s="101">
        <f>'2. Back Up Beton'!S516</f>
        <v>0</v>
      </c>
      <c r="L82" s="101">
        <f>'2. Back Up Beton'!V516</f>
        <v>0</v>
      </c>
      <c r="M82" s="147">
        <f>'2. Back Up Beton'!Y516</f>
        <v>0</v>
      </c>
      <c r="N82" s="150"/>
    </row>
    <row r="83" spans="1:14" s="35" customFormat="1" ht="17.100000000000001" customHeight="1">
      <c r="B83" s="105"/>
      <c r="C83" s="54">
        <f t="shared" si="2"/>
        <v>16000</v>
      </c>
      <c r="D83" s="96">
        <f t="shared" si="3"/>
        <v>16100</v>
      </c>
      <c r="E83" s="111">
        <v>6</v>
      </c>
      <c r="F83" s="112">
        <f t="shared" si="0"/>
        <v>0</v>
      </c>
      <c r="G83" s="113" t="str">
        <f t="shared" si="1"/>
        <v>B</v>
      </c>
      <c r="H83" s="101">
        <f>'2. Back Up Beton'!J524</f>
        <v>0</v>
      </c>
      <c r="I83" s="101">
        <f>'2. Back Up Beton'!M524</f>
        <v>0</v>
      </c>
      <c r="J83" s="101">
        <f>'2. Back Up Beton'!P524</f>
        <v>0</v>
      </c>
      <c r="K83" s="101">
        <f>'2. Back Up Beton'!S524</f>
        <v>0</v>
      </c>
      <c r="L83" s="101">
        <f>'2. Back Up Beton'!V524</f>
        <v>0</v>
      </c>
      <c r="M83" s="147">
        <f>'2. Back Up Beton'!Y524</f>
        <v>0</v>
      </c>
      <c r="N83" s="150"/>
    </row>
    <row r="84" spans="1:14" s="35" customFormat="1" ht="17.100000000000001" customHeight="1">
      <c r="B84" s="105"/>
      <c r="C84" s="54">
        <f t="shared" si="2"/>
        <v>16100</v>
      </c>
      <c r="D84" s="96">
        <f t="shared" si="3"/>
        <v>16200</v>
      </c>
      <c r="E84" s="111">
        <v>6</v>
      </c>
      <c r="F84" s="112">
        <f t="shared" si="0"/>
        <v>0</v>
      </c>
      <c r="G84" s="113" t="str">
        <f t="shared" si="1"/>
        <v>B</v>
      </c>
      <c r="H84" s="101">
        <f>'2. Back Up Beton'!J532</f>
        <v>0</v>
      </c>
      <c r="I84" s="101">
        <f>'2. Back Up Beton'!M532</f>
        <v>0</v>
      </c>
      <c r="J84" s="101">
        <f>'2. Back Up Beton'!P532</f>
        <v>0</v>
      </c>
      <c r="K84" s="101">
        <f>'2. Back Up Beton'!S532</f>
        <v>0</v>
      </c>
      <c r="L84" s="101">
        <f>'2. Back Up Beton'!V532</f>
        <v>0</v>
      </c>
      <c r="M84" s="147">
        <f>'2. Back Up Beton'!Y532</f>
        <v>0</v>
      </c>
      <c r="N84" s="150"/>
    </row>
    <row r="85" spans="1:14" s="35" customFormat="1" ht="17.100000000000001" customHeight="1">
      <c r="B85" s="105"/>
      <c r="C85" s="54">
        <f t="shared" si="2"/>
        <v>16200</v>
      </c>
      <c r="D85" s="96">
        <f t="shared" si="3"/>
        <v>16300</v>
      </c>
      <c r="E85" s="111">
        <v>6</v>
      </c>
      <c r="F85" s="112">
        <f t="shared" si="0"/>
        <v>0</v>
      </c>
      <c r="G85" s="113" t="str">
        <f t="shared" si="1"/>
        <v>B</v>
      </c>
      <c r="H85" s="101">
        <f>'2. Back Up Beton'!J540</f>
        <v>0</v>
      </c>
      <c r="I85" s="101">
        <f>'2. Back Up Beton'!M540</f>
        <v>0</v>
      </c>
      <c r="J85" s="101">
        <f>'2. Back Up Beton'!P540</f>
        <v>0</v>
      </c>
      <c r="K85" s="101">
        <f>'2. Back Up Beton'!S540</f>
        <v>0</v>
      </c>
      <c r="L85" s="101">
        <f>'2. Back Up Beton'!V540</f>
        <v>0</v>
      </c>
      <c r="M85" s="147">
        <f>'2. Back Up Beton'!Y540</f>
        <v>0</v>
      </c>
      <c r="N85" s="150"/>
    </row>
    <row r="86" spans="1:14" s="35" customFormat="1" ht="17.100000000000001" customHeight="1">
      <c r="B86" s="105"/>
      <c r="C86" s="54">
        <f t="shared" si="2"/>
        <v>16300</v>
      </c>
      <c r="D86" s="96">
        <f t="shared" si="3"/>
        <v>16400</v>
      </c>
      <c r="E86" s="111">
        <v>6</v>
      </c>
      <c r="F86" s="112">
        <f t="shared" ref="F86:F157" si="19">(100/((D86-C86)*E86))*((H86*0.5)+(I86*1)+(J86*2)+(K86*20)+(L86*15)+(M86*1.5))</f>
        <v>0</v>
      </c>
      <c r="G86" s="113" t="str">
        <f t="shared" ref="G86:G157" si="20">IF(F86&lt;=25,"B",IF(F86&lt;=75,"S",IF(F86&lt;=100,"RR","RB")))</f>
        <v>B</v>
      </c>
      <c r="H86" s="101">
        <f>'2. Back Up Beton'!J548</f>
        <v>0</v>
      </c>
      <c r="I86" s="101">
        <f>'2. Back Up Beton'!M548</f>
        <v>0</v>
      </c>
      <c r="J86" s="101">
        <f>'2. Back Up Beton'!P548</f>
        <v>0</v>
      </c>
      <c r="K86" s="101">
        <f>'2. Back Up Beton'!S548</f>
        <v>0</v>
      </c>
      <c r="L86" s="101">
        <f>'2. Back Up Beton'!V548</f>
        <v>0</v>
      </c>
      <c r="M86" s="147">
        <f>'2. Back Up Beton'!Y548</f>
        <v>0</v>
      </c>
      <c r="N86" s="150"/>
    </row>
    <row r="87" spans="1:14" s="35" customFormat="1" ht="17.100000000000001" customHeight="1">
      <c r="B87" s="105"/>
      <c r="C87" s="54">
        <f t="shared" ref="C87:C157" si="21">D86</f>
        <v>16400</v>
      </c>
      <c r="D87" s="96">
        <f t="shared" ref="D87:D157" si="22">C87+100</f>
        <v>16500</v>
      </c>
      <c r="E87" s="111">
        <v>6</v>
      </c>
      <c r="F87" s="112">
        <f t="shared" si="19"/>
        <v>0</v>
      </c>
      <c r="G87" s="113" t="str">
        <f t="shared" si="20"/>
        <v>B</v>
      </c>
      <c r="H87" s="101">
        <f>'2. Back Up Beton'!J556</f>
        <v>0</v>
      </c>
      <c r="I87" s="101">
        <f>'2. Back Up Beton'!M556</f>
        <v>0</v>
      </c>
      <c r="J87" s="101">
        <f>'2. Back Up Beton'!P556</f>
        <v>0</v>
      </c>
      <c r="K87" s="101">
        <f>'2. Back Up Beton'!S556</f>
        <v>0</v>
      </c>
      <c r="L87" s="101">
        <f>'2. Back Up Beton'!V556</f>
        <v>0</v>
      </c>
      <c r="M87" s="147">
        <f>'2. Back Up Beton'!Y556</f>
        <v>0</v>
      </c>
      <c r="N87" s="150"/>
    </row>
    <row r="88" spans="1:14" s="35" customFormat="1" ht="17.100000000000001" customHeight="1">
      <c r="B88" s="105"/>
      <c r="C88" s="54">
        <f t="shared" si="21"/>
        <v>16500</v>
      </c>
      <c r="D88" s="96">
        <f t="shared" si="22"/>
        <v>16600</v>
      </c>
      <c r="E88" s="111">
        <v>6</v>
      </c>
      <c r="F88" s="112">
        <f t="shared" si="19"/>
        <v>0</v>
      </c>
      <c r="G88" s="113" t="str">
        <f t="shared" si="20"/>
        <v>B</v>
      </c>
      <c r="H88" s="101">
        <f>'2. Back Up Beton'!J564</f>
        <v>0</v>
      </c>
      <c r="I88" s="101">
        <f>'2. Back Up Beton'!M564</f>
        <v>0</v>
      </c>
      <c r="J88" s="101">
        <f>'2. Back Up Beton'!P564</f>
        <v>0</v>
      </c>
      <c r="K88" s="101">
        <f>'2. Back Up Beton'!S564</f>
        <v>0</v>
      </c>
      <c r="L88" s="101">
        <f>'2. Back Up Beton'!V564</f>
        <v>0</v>
      </c>
      <c r="M88" s="147">
        <f>'2. Back Up Beton'!Y564</f>
        <v>0</v>
      </c>
      <c r="N88" s="150"/>
    </row>
    <row r="89" spans="1:14" s="35" customFormat="1" ht="17.100000000000001" customHeight="1">
      <c r="A89" s="35">
        <v>1</v>
      </c>
      <c r="B89" s="105"/>
      <c r="C89" s="54">
        <f t="shared" si="21"/>
        <v>16600</v>
      </c>
      <c r="D89" s="96">
        <f t="shared" si="22"/>
        <v>16700</v>
      </c>
      <c r="E89" s="111">
        <v>6</v>
      </c>
      <c r="F89" s="112">
        <f t="shared" ref="F89:F92" si="23">(100/((D89-C89)*E89))*((H89*0.5)+(I89*1)+(J89*2)+(K89*20)+(L89*15)+(M89*1.5))</f>
        <v>0</v>
      </c>
      <c r="G89" s="113" t="str">
        <f t="shared" ref="G89:G92" si="24">IF(F89&lt;=25,"B",IF(F89&lt;=75,"S",IF(F89&lt;=100,"RR","RB")))</f>
        <v>B</v>
      </c>
      <c r="H89" s="101">
        <f>'2. Back Up Beton'!J572</f>
        <v>0</v>
      </c>
      <c r="I89" s="101">
        <f>'2. Back Up Beton'!M572</f>
        <v>0</v>
      </c>
      <c r="J89" s="101">
        <f>'2. Back Up Beton'!P572</f>
        <v>0</v>
      </c>
      <c r="K89" s="101">
        <f>'2. Back Up Beton'!S572</f>
        <v>0</v>
      </c>
      <c r="L89" s="101">
        <f>'2. Back Up Beton'!V572</f>
        <v>0</v>
      </c>
      <c r="M89" s="147">
        <f>'2. Back Up Beton'!Y572</f>
        <v>0</v>
      </c>
      <c r="N89" s="150"/>
    </row>
    <row r="90" spans="1:14" s="35" customFormat="1" ht="17.100000000000001" customHeight="1">
      <c r="B90" s="105"/>
      <c r="C90" s="54">
        <f t="shared" ref="C90:C93" si="25">D89</f>
        <v>16700</v>
      </c>
      <c r="D90" s="96">
        <f t="shared" ref="D90:D93" si="26">C90+100</f>
        <v>16800</v>
      </c>
      <c r="E90" s="111">
        <v>6</v>
      </c>
      <c r="F90" s="112">
        <f t="shared" si="23"/>
        <v>0</v>
      </c>
      <c r="G90" s="113" t="str">
        <f t="shared" si="24"/>
        <v>B</v>
      </c>
      <c r="H90" s="101">
        <f>'2. Back Up Beton'!J580</f>
        <v>0</v>
      </c>
      <c r="I90" s="101">
        <f>'2. Back Up Beton'!M580</f>
        <v>0</v>
      </c>
      <c r="J90" s="101">
        <f>'2. Back Up Beton'!P580</f>
        <v>0</v>
      </c>
      <c r="K90" s="101">
        <f>'2. Back Up Beton'!S580</f>
        <v>0</v>
      </c>
      <c r="L90" s="101">
        <f>'2. Back Up Beton'!V580</f>
        <v>0</v>
      </c>
      <c r="M90" s="147">
        <f>'2. Back Up Beton'!Y580</f>
        <v>0</v>
      </c>
      <c r="N90" s="150"/>
    </row>
    <row r="91" spans="1:14" s="35" customFormat="1" ht="17.100000000000001" customHeight="1">
      <c r="B91" s="105"/>
      <c r="C91" s="54">
        <f t="shared" si="25"/>
        <v>16800</v>
      </c>
      <c r="D91" s="96">
        <f t="shared" si="26"/>
        <v>16900</v>
      </c>
      <c r="E91" s="111">
        <v>6</v>
      </c>
      <c r="F91" s="112">
        <f t="shared" si="23"/>
        <v>0</v>
      </c>
      <c r="G91" s="113" t="str">
        <f t="shared" si="24"/>
        <v>B</v>
      </c>
      <c r="H91" s="101">
        <f>'2. Back Up Beton'!J588</f>
        <v>0</v>
      </c>
      <c r="I91" s="101">
        <f>'2. Back Up Beton'!M588</f>
        <v>0</v>
      </c>
      <c r="J91" s="101">
        <f>'2. Back Up Beton'!P588</f>
        <v>0</v>
      </c>
      <c r="K91" s="101">
        <f>'2. Back Up Beton'!S588</f>
        <v>0</v>
      </c>
      <c r="L91" s="101">
        <f>'2. Back Up Beton'!V588</f>
        <v>0</v>
      </c>
      <c r="M91" s="147">
        <f>'2. Back Up Beton'!Y588</f>
        <v>0</v>
      </c>
      <c r="N91" s="150"/>
    </row>
    <row r="92" spans="1:14" s="35" customFormat="1" ht="17.100000000000001" customHeight="1">
      <c r="B92" s="105"/>
      <c r="C92" s="54">
        <f t="shared" si="25"/>
        <v>16900</v>
      </c>
      <c r="D92" s="96">
        <f t="shared" si="26"/>
        <v>17000</v>
      </c>
      <c r="E92" s="111">
        <v>6</v>
      </c>
      <c r="F92" s="112">
        <f t="shared" si="23"/>
        <v>0</v>
      </c>
      <c r="G92" s="113" t="str">
        <f t="shared" si="24"/>
        <v>B</v>
      </c>
      <c r="H92" s="101">
        <f>'2. Back Up Beton'!J596</f>
        <v>0</v>
      </c>
      <c r="I92" s="101">
        <f>'2. Back Up Beton'!M596</f>
        <v>0</v>
      </c>
      <c r="J92" s="101">
        <f>'2. Back Up Beton'!P596</f>
        <v>0</v>
      </c>
      <c r="K92" s="101">
        <f>'2. Back Up Beton'!S596</f>
        <v>0</v>
      </c>
      <c r="L92" s="101">
        <f>'2. Back Up Beton'!V596</f>
        <v>0</v>
      </c>
      <c r="M92" s="147">
        <f>'2. Back Up Beton'!Y596</f>
        <v>0</v>
      </c>
      <c r="N92" s="150"/>
    </row>
    <row r="93" spans="1:14" s="35" customFormat="1" ht="17.100000000000001" customHeight="1">
      <c r="A93" s="35">
        <v>1</v>
      </c>
      <c r="B93" s="105"/>
      <c r="C93" s="54">
        <f t="shared" si="25"/>
        <v>17000</v>
      </c>
      <c r="D93" s="96">
        <f t="shared" si="26"/>
        <v>17100</v>
      </c>
      <c r="E93" s="111">
        <v>6</v>
      </c>
      <c r="F93" s="112">
        <f t="shared" ref="F93:F95" si="27">(100/((D93-C93)*E93))*((H93*0.5)+(I93*1)+(J93*2)+(K93*20)+(L93*15)+(M93*1.5))</f>
        <v>0</v>
      </c>
      <c r="G93" s="113" t="str">
        <f t="shared" ref="G93:G95" si="28">IF(F93&lt;=25,"B",IF(F93&lt;=75,"S",IF(F93&lt;=100,"RR","RB")))</f>
        <v>B</v>
      </c>
      <c r="H93" s="101">
        <f>'2. Back Up Beton'!J604</f>
        <v>0</v>
      </c>
      <c r="I93" s="101">
        <f>'2. Back Up Beton'!M604</f>
        <v>0</v>
      </c>
      <c r="J93" s="101">
        <f>'2. Back Up Beton'!P604</f>
        <v>0</v>
      </c>
      <c r="K93" s="101">
        <f>'2. Back Up Beton'!S604</f>
        <v>0</v>
      </c>
      <c r="L93" s="101">
        <f>'2. Back Up Beton'!V604</f>
        <v>0</v>
      </c>
      <c r="M93" s="147">
        <f>'2. Back Up Beton'!Y604</f>
        <v>0</v>
      </c>
      <c r="N93" s="150"/>
    </row>
    <row r="94" spans="1:14" s="35" customFormat="1" ht="17.100000000000001" customHeight="1">
      <c r="B94" s="105"/>
      <c r="C94" s="54">
        <f t="shared" ref="C94:C95" si="29">D93</f>
        <v>17100</v>
      </c>
      <c r="D94" s="96">
        <f t="shared" ref="D94:D95" si="30">C94+100</f>
        <v>17200</v>
      </c>
      <c r="E94" s="111">
        <v>6</v>
      </c>
      <c r="F94" s="112">
        <f t="shared" si="27"/>
        <v>0</v>
      </c>
      <c r="G94" s="113" t="str">
        <f t="shared" si="28"/>
        <v>B</v>
      </c>
      <c r="H94" s="101">
        <f>'2. Back Up Beton'!J612</f>
        <v>0</v>
      </c>
      <c r="I94" s="101">
        <f>'2. Back Up Beton'!M612</f>
        <v>0</v>
      </c>
      <c r="J94" s="101">
        <f>'2. Back Up Beton'!P612</f>
        <v>0</v>
      </c>
      <c r="K94" s="101">
        <f>'2. Back Up Beton'!S612</f>
        <v>0</v>
      </c>
      <c r="L94" s="101">
        <f>'2. Back Up Beton'!V612</f>
        <v>0</v>
      </c>
      <c r="M94" s="147">
        <f>'2. Back Up Beton'!Y612</f>
        <v>0</v>
      </c>
      <c r="N94" s="150"/>
    </row>
    <row r="95" spans="1:14" s="35" customFormat="1" ht="17.100000000000001" customHeight="1">
      <c r="B95" s="105"/>
      <c r="C95" s="54">
        <f t="shared" si="29"/>
        <v>17200</v>
      </c>
      <c r="D95" s="96">
        <f t="shared" si="30"/>
        <v>17300</v>
      </c>
      <c r="E95" s="111">
        <v>6</v>
      </c>
      <c r="F95" s="112">
        <f t="shared" si="27"/>
        <v>0</v>
      </c>
      <c r="G95" s="113" t="str">
        <f t="shared" si="28"/>
        <v>B</v>
      </c>
      <c r="H95" s="101">
        <f>'2. Back Up Beton'!J620</f>
        <v>0</v>
      </c>
      <c r="I95" s="101">
        <f>'2. Back Up Beton'!M620</f>
        <v>0</v>
      </c>
      <c r="J95" s="101">
        <f>'2. Back Up Beton'!P620</f>
        <v>0</v>
      </c>
      <c r="K95" s="101">
        <f>'2. Back Up Beton'!S620</f>
        <v>0</v>
      </c>
      <c r="L95" s="101">
        <f>'2. Back Up Beton'!V620</f>
        <v>0</v>
      </c>
      <c r="M95" s="147">
        <f>'2. Back Up Beton'!Y620</f>
        <v>0</v>
      </c>
      <c r="N95" s="150"/>
    </row>
    <row r="96" spans="1:14" s="35" customFormat="1" ht="17.100000000000001" customHeight="1">
      <c r="B96" s="105"/>
      <c r="C96" s="54">
        <f t="shared" ref="C96" si="31">D95</f>
        <v>17300</v>
      </c>
      <c r="D96" s="96">
        <f t="shared" ref="D96:D97" si="32">C96+100</f>
        <v>17400</v>
      </c>
      <c r="E96" s="111">
        <v>6</v>
      </c>
      <c r="F96" s="112">
        <f t="shared" ref="F96" si="33">(100/((D96-C96)*E96))*((H96*0.5)+(I96*1)+(J96*2)+(K96*20)+(L96*15)+(M96*1.5))</f>
        <v>0</v>
      </c>
      <c r="G96" s="113" t="str">
        <f t="shared" ref="G96" si="34">IF(F96&lt;=25,"B",IF(F96&lt;=75,"S",IF(F96&lt;=100,"RR","RB")))</f>
        <v>B</v>
      </c>
      <c r="H96" s="101">
        <f>'2. Back Up Beton'!J628</f>
        <v>0</v>
      </c>
      <c r="I96" s="101">
        <f>'2. Back Up Beton'!M628</f>
        <v>0</v>
      </c>
      <c r="J96" s="101">
        <f>'2. Back Up Beton'!P628</f>
        <v>0</v>
      </c>
      <c r="K96" s="101">
        <f>'2. Back Up Beton'!S628</f>
        <v>0</v>
      </c>
      <c r="L96" s="101">
        <f>'2. Back Up Beton'!V628</f>
        <v>0</v>
      </c>
      <c r="M96" s="147">
        <f>'2. Back Up Beton'!Y628</f>
        <v>0</v>
      </c>
      <c r="N96" s="150"/>
    </row>
    <row r="97" spans="2:14" s="35" customFormat="1" ht="17.100000000000001" customHeight="1">
      <c r="B97" s="309"/>
      <c r="C97" s="305">
        <f>D96</f>
        <v>17400</v>
      </c>
      <c r="D97" s="306">
        <f t="shared" si="32"/>
        <v>17500</v>
      </c>
      <c r="E97" s="307">
        <v>6</v>
      </c>
      <c r="F97" s="112">
        <f t="shared" si="19"/>
        <v>0</v>
      </c>
      <c r="G97" s="113" t="str">
        <f t="shared" si="20"/>
        <v>B</v>
      </c>
      <c r="H97" s="101">
        <f>'2. Back Up Beton'!J636</f>
        <v>0</v>
      </c>
      <c r="I97" s="101">
        <f>'2. Back Up Beton'!M636</f>
        <v>0</v>
      </c>
      <c r="J97" s="101">
        <f>'2. Back Up Beton'!P636</f>
        <v>0</v>
      </c>
      <c r="K97" s="101">
        <f>'2. Back Up Beton'!S636</f>
        <v>0</v>
      </c>
      <c r="L97" s="101">
        <f>'2. Back Up Beton'!V636</f>
        <v>0</v>
      </c>
      <c r="M97" s="147">
        <f>'2. Back Up Beton'!Y636</f>
        <v>0</v>
      </c>
      <c r="N97" s="150"/>
    </row>
    <row r="98" spans="2:14" s="35" customFormat="1" ht="17.100000000000001" customHeight="1">
      <c r="B98" s="105"/>
      <c r="C98" s="54">
        <f>D97</f>
        <v>17500</v>
      </c>
      <c r="D98" s="96">
        <v>17600</v>
      </c>
      <c r="E98" s="111">
        <v>5</v>
      </c>
      <c r="F98" s="112">
        <f t="shared" si="19"/>
        <v>0</v>
      </c>
      <c r="G98" s="113" t="str">
        <f t="shared" si="20"/>
        <v>B</v>
      </c>
      <c r="H98" s="101">
        <f>'2. Back Up Beton'!J644</f>
        <v>0</v>
      </c>
      <c r="I98" s="101">
        <f>'2. Back Up Beton'!M644</f>
        <v>0</v>
      </c>
      <c r="J98" s="101">
        <f>'2. Back Up Beton'!P644</f>
        <v>0</v>
      </c>
      <c r="K98" s="101">
        <f>'2. Back Up Beton'!S644</f>
        <v>0</v>
      </c>
      <c r="L98" s="101">
        <f>'2. Back Up Beton'!V644</f>
        <v>0</v>
      </c>
      <c r="M98" s="147">
        <f>'2. Back Up Beton'!Y644</f>
        <v>0</v>
      </c>
      <c r="N98" s="150"/>
    </row>
    <row r="99" spans="2:14" s="35" customFormat="1" ht="17.100000000000001" customHeight="1">
      <c r="B99" s="105"/>
      <c r="C99" s="54">
        <f t="shared" si="21"/>
        <v>17600</v>
      </c>
      <c r="D99" s="96">
        <f t="shared" si="22"/>
        <v>17700</v>
      </c>
      <c r="E99" s="111">
        <v>5</v>
      </c>
      <c r="F99" s="112">
        <f t="shared" si="19"/>
        <v>0</v>
      </c>
      <c r="G99" s="113" t="str">
        <f t="shared" si="20"/>
        <v>B</v>
      </c>
      <c r="H99" s="101">
        <f>'2. Back Up Beton'!J652</f>
        <v>0</v>
      </c>
      <c r="I99" s="101">
        <f>'2. Back Up Beton'!M652</f>
        <v>0</v>
      </c>
      <c r="J99" s="101">
        <f>'2. Back Up Beton'!P652</f>
        <v>0</v>
      </c>
      <c r="K99" s="101">
        <f>'2. Back Up Beton'!S652</f>
        <v>0</v>
      </c>
      <c r="L99" s="101">
        <f>'2. Back Up Beton'!V652</f>
        <v>0</v>
      </c>
      <c r="M99" s="147">
        <f>'2. Back Up Beton'!Y652</f>
        <v>0</v>
      </c>
      <c r="N99" s="150"/>
    </row>
    <row r="100" spans="2:14" s="35" customFormat="1" ht="17.100000000000001" customHeight="1">
      <c r="B100" s="105"/>
      <c r="C100" s="54">
        <f t="shared" si="21"/>
        <v>17700</v>
      </c>
      <c r="D100" s="96">
        <f t="shared" si="22"/>
        <v>17800</v>
      </c>
      <c r="E100" s="111">
        <v>5</v>
      </c>
      <c r="F100" s="112">
        <f t="shared" si="19"/>
        <v>0</v>
      </c>
      <c r="G100" s="113" t="str">
        <f t="shared" si="20"/>
        <v>B</v>
      </c>
      <c r="H100" s="101">
        <f>'2. Back Up Beton'!J660</f>
        <v>0</v>
      </c>
      <c r="I100" s="101">
        <f>'2. Back Up Beton'!M660</f>
        <v>0</v>
      </c>
      <c r="J100" s="101">
        <f>'2. Back Up Beton'!P660</f>
        <v>0</v>
      </c>
      <c r="K100" s="101">
        <f>'2. Back Up Beton'!S660</f>
        <v>0</v>
      </c>
      <c r="L100" s="101">
        <f>'2. Back Up Beton'!V660</f>
        <v>0</v>
      </c>
      <c r="M100" s="147">
        <f>'2. Back Up Beton'!Y660</f>
        <v>0</v>
      </c>
      <c r="N100" s="150"/>
    </row>
    <row r="101" spans="2:14" s="35" customFormat="1" ht="17.100000000000001" customHeight="1">
      <c r="B101" s="105"/>
      <c r="C101" s="54">
        <f t="shared" si="21"/>
        <v>17800</v>
      </c>
      <c r="D101" s="96">
        <f t="shared" si="22"/>
        <v>17900</v>
      </c>
      <c r="E101" s="111">
        <v>5</v>
      </c>
      <c r="F101" s="112">
        <f t="shared" si="19"/>
        <v>0</v>
      </c>
      <c r="G101" s="113" t="str">
        <f t="shared" si="20"/>
        <v>B</v>
      </c>
      <c r="H101" s="101">
        <f>'2. Back Up Beton'!J668</f>
        <v>0</v>
      </c>
      <c r="I101" s="101">
        <f>'2. Back Up Beton'!M668</f>
        <v>0</v>
      </c>
      <c r="J101" s="101">
        <f>'2. Back Up Beton'!P668</f>
        <v>0</v>
      </c>
      <c r="K101" s="101">
        <f>'2. Back Up Beton'!S668</f>
        <v>0</v>
      </c>
      <c r="L101" s="101">
        <f>'2. Back Up Beton'!V668</f>
        <v>0</v>
      </c>
      <c r="M101" s="147">
        <f>'2. Back Up Beton'!Y668</f>
        <v>0</v>
      </c>
      <c r="N101" s="150"/>
    </row>
    <row r="102" spans="2:14" s="35" customFormat="1" ht="17.100000000000001" customHeight="1">
      <c r="B102" s="105"/>
      <c r="C102" s="54">
        <f t="shared" si="21"/>
        <v>17900</v>
      </c>
      <c r="D102" s="96">
        <f t="shared" si="22"/>
        <v>18000</v>
      </c>
      <c r="E102" s="111">
        <v>5</v>
      </c>
      <c r="F102" s="112">
        <f t="shared" si="19"/>
        <v>0</v>
      </c>
      <c r="G102" s="113" t="str">
        <f t="shared" si="20"/>
        <v>B</v>
      </c>
      <c r="H102" s="101">
        <f>'2. Back Up Beton'!J676</f>
        <v>0</v>
      </c>
      <c r="I102" s="101">
        <f>'2. Back Up Beton'!M676</f>
        <v>0</v>
      </c>
      <c r="J102" s="101">
        <f>'2. Back Up Beton'!P676</f>
        <v>0</v>
      </c>
      <c r="K102" s="101">
        <f>'2. Back Up Beton'!S676</f>
        <v>0</v>
      </c>
      <c r="L102" s="101">
        <f>'2. Back Up Beton'!V676</f>
        <v>0</v>
      </c>
      <c r="M102" s="147">
        <f>'2. Back Up Beton'!Y676</f>
        <v>0</v>
      </c>
      <c r="N102" s="150"/>
    </row>
    <row r="103" spans="2:14" s="35" customFormat="1" ht="17.100000000000001" customHeight="1">
      <c r="B103" s="105"/>
      <c r="C103" s="54">
        <f t="shared" si="21"/>
        <v>18000</v>
      </c>
      <c r="D103" s="96">
        <f t="shared" si="22"/>
        <v>18100</v>
      </c>
      <c r="E103" s="111">
        <v>5</v>
      </c>
      <c r="F103" s="112">
        <f t="shared" si="19"/>
        <v>5</v>
      </c>
      <c r="G103" s="113" t="str">
        <f t="shared" si="20"/>
        <v>B</v>
      </c>
      <c r="H103" s="101">
        <f>'2. Back Up Beton'!J684</f>
        <v>50</v>
      </c>
      <c r="I103" s="101">
        <f>'2. Back Up Beton'!M684</f>
        <v>0</v>
      </c>
      <c r="J103" s="101">
        <f>'2. Back Up Beton'!P684</f>
        <v>0</v>
      </c>
      <c r="K103" s="101">
        <f>'2. Back Up Beton'!S684</f>
        <v>0</v>
      </c>
      <c r="L103" s="101">
        <f>'2. Back Up Beton'!V684</f>
        <v>0</v>
      </c>
      <c r="M103" s="147">
        <f>'2. Back Up Beton'!Y684</f>
        <v>0</v>
      </c>
      <c r="N103" s="150"/>
    </row>
    <row r="104" spans="2:14" s="35" customFormat="1" ht="17.100000000000001" customHeight="1">
      <c r="B104" s="105"/>
      <c r="C104" s="54">
        <f t="shared" si="21"/>
        <v>18100</v>
      </c>
      <c r="D104" s="96">
        <f t="shared" si="22"/>
        <v>18200</v>
      </c>
      <c r="E104" s="111">
        <v>5</v>
      </c>
      <c r="F104" s="112">
        <f t="shared" si="19"/>
        <v>0</v>
      </c>
      <c r="G104" s="113" t="str">
        <f t="shared" si="20"/>
        <v>B</v>
      </c>
      <c r="H104" s="101">
        <f>'2. Back Up Beton'!J692</f>
        <v>0</v>
      </c>
      <c r="I104" s="101">
        <f>'2. Back Up Beton'!M692</f>
        <v>0</v>
      </c>
      <c r="J104" s="101">
        <f>'2. Back Up Beton'!P692</f>
        <v>0</v>
      </c>
      <c r="K104" s="101">
        <f>'2. Back Up Beton'!S692</f>
        <v>0</v>
      </c>
      <c r="L104" s="101">
        <f>'2. Back Up Beton'!V692</f>
        <v>0</v>
      </c>
      <c r="M104" s="147">
        <f>'2. Back Up Beton'!Y692</f>
        <v>0</v>
      </c>
      <c r="N104" s="150"/>
    </row>
    <row r="105" spans="2:14" s="35" customFormat="1" ht="17.100000000000001" customHeight="1">
      <c r="B105" s="105"/>
      <c r="C105" s="54">
        <f t="shared" si="21"/>
        <v>18200</v>
      </c>
      <c r="D105" s="96">
        <f t="shared" si="22"/>
        <v>18300</v>
      </c>
      <c r="E105" s="111">
        <v>5</v>
      </c>
      <c r="F105" s="112">
        <f t="shared" si="19"/>
        <v>0</v>
      </c>
      <c r="G105" s="113" t="str">
        <f t="shared" si="20"/>
        <v>B</v>
      </c>
      <c r="H105" s="101">
        <f>'2. Back Up Beton'!J700</f>
        <v>0</v>
      </c>
      <c r="I105" s="101">
        <f>'2. Back Up Beton'!M700</f>
        <v>0</v>
      </c>
      <c r="J105" s="101">
        <f>'2. Back Up Beton'!P700</f>
        <v>0</v>
      </c>
      <c r="K105" s="101">
        <f>'2. Back Up Beton'!S700</f>
        <v>0</v>
      </c>
      <c r="L105" s="101">
        <f>'2. Back Up Beton'!V700</f>
        <v>0</v>
      </c>
      <c r="M105" s="147">
        <f>'2. Back Up Beton'!Y700</f>
        <v>0</v>
      </c>
      <c r="N105" s="150"/>
    </row>
    <row r="106" spans="2:14" s="35" customFormat="1" ht="17.100000000000001" customHeight="1">
      <c r="B106" s="105"/>
      <c r="C106" s="54">
        <f t="shared" si="21"/>
        <v>18300</v>
      </c>
      <c r="D106" s="96">
        <f t="shared" si="22"/>
        <v>18400</v>
      </c>
      <c r="E106" s="111">
        <v>5</v>
      </c>
      <c r="F106" s="112">
        <f t="shared" si="19"/>
        <v>0</v>
      </c>
      <c r="G106" s="113" t="str">
        <f t="shared" si="20"/>
        <v>B</v>
      </c>
      <c r="H106" s="101">
        <f>'2. Back Up Beton'!J708</f>
        <v>0</v>
      </c>
      <c r="I106" s="101">
        <f>'2. Back Up Beton'!M708</f>
        <v>0</v>
      </c>
      <c r="J106" s="101">
        <f>'2. Back Up Beton'!P708</f>
        <v>0</v>
      </c>
      <c r="K106" s="101">
        <f>'2. Back Up Beton'!S708</f>
        <v>0</v>
      </c>
      <c r="L106" s="101">
        <f>'2. Back Up Beton'!V708</f>
        <v>0</v>
      </c>
      <c r="M106" s="147">
        <f>'2. Back Up Beton'!Y708</f>
        <v>0</v>
      </c>
      <c r="N106" s="150"/>
    </row>
    <row r="107" spans="2:14" s="35" customFormat="1" ht="17.100000000000001" customHeight="1">
      <c r="B107" s="105"/>
      <c r="C107" s="54">
        <f t="shared" si="21"/>
        <v>18400</v>
      </c>
      <c r="D107" s="96">
        <f t="shared" si="22"/>
        <v>18500</v>
      </c>
      <c r="E107" s="111">
        <v>5</v>
      </c>
      <c r="F107" s="112">
        <f t="shared" si="19"/>
        <v>0</v>
      </c>
      <c r="G107" s="113" t="str">
        <f t="shared" si="20"/>
        <v>B</v>
      </c>
      <c r="H107" s="101">
        <f>'2. Back Up Beton'!J716</f>
        <v>0</v>
      </c>
      <c r="I107" s="101">
        <f>'2. Back Up Beton'!M716</f>
        <v>0</v>
      </c>
      <c r="J107" s="101">
        <f>'2. Back Up Beton'!P716</f>
        <v>0</v>
      </c>
      <c r="K107" s="101">
        <f>'2. Back Up Beton'!S716</f>
        <v>0</v>
      </c>
      <c r="L107" s="101">
        <f>'2. Back Up Beton'!V716</f>
        <v>0</v>
      </c>
      <c r="M107" s="147">
        <f>'2. Back Up Beton'!Y716</f>
        <v>0</v>
      </c>
      <c r="N107" s="150"/>
    </row>
    <row r="108" spans="2:14" s="35" customFormat="1" ht="17.100000000000001" customHeight="1">
      <c r="B108" s="105"/>
      <c r="C108" s="54">
        <f t="shared" si="21"/>
        <v>18500</v>
      </c>
      <c r="D108" s="96">
        <f t="shared" si="22"/>
        <v>18600</v>
      </c>
      <c r="E108" s="111">
        <v>5</v>
      </c>
      <c r="F108" s="112">
        <f t="shared" si="19"/>
        <v>15</v>
      </c>
      <c r="G108" s="113" t="str">
        <f t="shared" si="20"/>
        <v>B</v>
      </c>
      <c r="H108" s="101">
        <f>'2. Back Up Beton'!J724</f>
        <v>0</v>
      </c>
      <c r="I108" s="101">
        <f>'2. Back Up Beton'!M724</f>
        <v>75</v>
      </c>
      <c r="J108" s="101">
        <f>'2. Back Up Beton'!P724</f>
        <v>0</v>
      </c>
      <c r="K108" s="101">
        <f>'2. Back Up Beton'!S724</f>
        <v>0</v>
      </c>
      <c r="L108" s="101">
        <f>'2. Back Up Beton'!V724</f>
        <v>0</v>
      </c>
      <c r="M108" s="147">
        <f>'2. Back Up Beton'!Y724</f>
        <v>0</v>
      </c>
      <c r="N108" s="150"/>
    </row>
    <row r="109" spans="2:14" s="35" customFormat="1" ht="17.100000000000001" customHeight="1">
      <c r="B109" s="105"/>
      <c r="C109" s="54">
        <f t="shared" si="21"/>
        <v>18600</v>
      </c>
      <c r="D109" s="96">
        <f t="shared" si="22"/>
        <v>18700</v>
      </c>
      <c r="E109" s="111">
        <v>5</v>
      </c>
      <c r="F109" s="112">
        <f t="shared" si="19"/>
        <v>4</v>
      </c>
      <c r="G109" s="113" t="str">
        <f t="shared" si="20"/>
        <v>B</v>
      </c>
      <c r="H109" s="101">
        <f>'2. Back Up Beton'!J732</f>
        <v>0</v>
      </c>
      <c r="I109" s="101">
        <f>'2. Back Up Beton'!M732</f>
        <v>20</v>
      </c>
      <c r="J109" s="101">
        <f>'2. Back Up Beton'!P732</f>
        <v>0</v>
      </c>
      <c r="K109" s="101">
        <f>'2. Back Up Beton'!S732</f>
        <v>0</v>
      </c>
      <c r="L109" s="101">
        <f>'2. Back Up Beton'!V732</f>
        <v>0</v>
      </c>
      <c r="M109" s="147">
        <f>'2. Back Up Beton'!Y732</f>
        <v>0</v>
      </c>
      <c r="N109" s="150"/>
    </row>
    <row r="110" spans="2:14" s="35" customFormat="1" ht="17.100000000000001" customHeight="1">
      <c r="B110" s="105"/>
      <c r="C110" s="54">
        <f t="shared" si="21"/>
        <v>18700</v>
      </c>
      <c r="D110" s="96">
        <f t="shared" si="22"/>
        <v>18800</v>
      </c>
      <c r="E110" s="111">
        <v>5</v>
      </c>
      <c r="F110" s="112">
        <f t="shared" si="19"/>
        <v>140</v>
      </c>
      <c r="G110" s="113" t="str">
        <f t="shared" si="20"/>
        <v>RB</v>
      </c>
      <c r="H110" s="101">
        <f>'2. Back Up Beton'!J740</f>
        <v>0</v>
      </c>
      <c r="I110" s="101">
        <f>'2. Back Up Beton'!M740</f>
        <v>300</v>
      </c>
      <c r="J110" s="101">
        <f>'2. Back Up Beton'!P740</f>
        <v>200</v>
      </c>
      <c r="K110" s="101">
        <f>'2. Back Up Beton'!S740</f>
        <v>0</v>
      </c>
      <c r="L110" s="101">
        <f>'2. Back Up Beton'!V740</f>
        <v>0</v>
      </c>
      <c r="M110" s="147">
        <f>'2. Back Up Beton'!Y740</f>
        <v>0</v>
      </c>
      <c r="N110" s="150"/>
    </row>
    <row r="111" spans="2:14" s="35" customFormat="1" ht="17.100000000000001" customHeight="1">
      <c r="B111" s="105"/>
      <c r="C111" s="54">
        <f t="shared" si="21"/>
        <v>18800</v>
      </c>
      <c r="D111" s="96">
        <f t="shared" si="22"/>
        <v>18900</v>
      </c>
      <c r="E111" s="111">
        <v>5</v>
      </c>
      <c r="F111" s="112">
        <f t="shared" si="19"/>
        <v>140</v>
      </c>
      <c r="G111" s="113" t="str">
        <f t="shared" si="20"/>
        <v>RB</v>
      </c>
      <c r="H111" s="101">
        <f>'2. Back Up Beton'!J748</f>
        <v>0</v>
      </c>
      <c r="I111" s="101">
        <f>'2. Back Up Beton'!M748</f>
        <v>200</v>
      </c>
      <c r="J111" s="101">
        <f>'2. Back Up Beton'!P748</f>
        <v>250</v>
      </c>
      <c r="K111" s="101">
        <f>'2. Back Up Beton'!S748</f>
        <v>0</v>
      </c>
      <c r="L111" s="101">
        <f>'2. Back Up Beton'!V748</f>
        <v>0</v>
      </c>
      <c r="M111" s="147">
        <f>'2. Back Up Beton'!Y748</f>
        <v>0</v>
      </c>
      <c r="N111" s="150"/>
    </row>
    <row r="112" spans="2:14" s="35" customFormat="1" ht="17.100000000000001" customHeight="1">
      <c r="B112" s="105"/>
      <c r="C112" s="54">
        <f t="shared" si="21"/>
        <v>18900</v>
      </c>
      <c r="D112" s="96">
        <f t="shared" si="22"/>
        <v>19000</v>
      </c>
      <c r="E112" s="111">
        <v>5</v>
      </c>
      <c r="F112" s="112">
        <f t="shared" si="19"/>
        <v>200</v>
      </c>
      <c r="G112" s="113" t="str">
        <f t="shared" si="20"/>
        <v>RB</v>
      </c>
      <c r="H112" s="101">
        <f>'2. Back Up Beton'!J756</f>
        <v>0</v>
      </c>
      <c r="I112" s="101">
        <f>'2. Back Up Beton'!M756</f>
        <v>0</v>
      </c>
      <c r="J112" s="101">
        <f>'2. Back Up Beton'!P756</f>
        <v>500</v>
      </c>
      <c r="K112" s="101">
        <f>'2. Back Up Beton'!S756</f>
        <v>0</v>
      </c>
      <c r="L112" s="101">
        <f>'2. Back Up Beton'!V756</f>
        <v>0</v>
      </c>
      <c r="M112" s="147">
        <f>'2. Back Up Beton'!Y756</f>
        <v>0</v>
      </c>
      <c r="N112" s="150"/>
    </row>
    <row r="113" spans="2:14" s="35" customFormat="1" ht="17.100000000000001" customHeight="1">
      <c r="B113" s="105"/>
      <c r="C113" s="54">
        <f t="shared" si="21"/>
        <v>19000</v>
      </c>
      <c r="D113" s="96">
        <f t="shared" si="22"/>
        <v>19100</v>
      </c>
      <c r="E113" s="111">
        <v>5</v>
      </c>
      <c r="F113" s="112">
        <f t="shared" si="19"/>
        <v>200</v>
      </c>
      <c r="G113" s="113" t="str">
        <f t="shared" si="20"/>
        <v>RB</v>
      </c>
      <c r="H113" s="101">
        <f>'2. Back Up Beton'!J764</f>
        <v>0</v>
      </c>
      <c r="I113" s="101">
        <f>'2. Back Up Beton'!M764</f>
        <v>0</v>
      </c>
      <c r="J113" s="101">
        <f>'2. Back Up Beton'!P764</f>
        <v>500</v>
      </c>
      <c r="K113" s="101">
        <f>'2. Back Up Beton'!S764</f>
        <v>0</v>
      </c>
      <c r="L113" s="101">
        <f>'2. Back Up Beton'!V764</f>
        <v>0</v>
      </c>
      <c r="M113" s="147">
        <f>'2. Back Up Beton'!Y764</f>
        <v>0</v>
      </c>
      <c r="N113" s="150"/>
    </row>
    <row r="114" spans="2:14" s="35" customFormat="1" ht="17.100000000000001" customHeight="1">
      <c r="B114" s="105"/>
      <c r="C114" s="54">
        <f t="shared" si="21"/>
        <v>19100</v>
      </c>
      <c r="D114" s="96">
        <f t="shared" si="22"/>
        <v>19200</v>
      </c>
      <c r="E114" s="111">
        <v>5</v>
      </c>
      <c r="F114" s="112">
        <f t="shared" si="19"/>
        <v>100</v>
      </c>
      <c r="G114" s="113" t="str">
        <f t="shared" si="20"/>
        <v>RR</v>
      </c>
      <c r="H114" s="101">
        <f>'2. Back Up Beton'!J772</f>
        <v>0</v>
      </c>
      <c r="I114" s="101">
        <f>'2. Back Up Beton'!M772</f>
        <v>500</v>
      </c>
      <c r="J114" s="101">
        <f>'2. Back Up Beton'!P772</f>
        <v>0</v>
      </c>
      <c r="K114" s="101">
        <f>'2. Back Up Beton'!S772</f>
        <v>0</v>
      </c>
      <c r="L114" s="101">
        <f>'2. Back Up Beton'!V772</f>
        <v>0</v>
      </c>
      <c r="M114" s="147">
        <f>'2. Back Up Beton'!Y772</f>
        <v>0</v>
      </c>
      <c r="N114" s="150"/>
    </row>
    <row r="115" spans="2:14" s="35" customFormat="1" ht="17.100000000000001" customHeight="1">
      <c r="B115" s="105"/>
      <c r="C115" s="54">
        <f t="shared" si="21"/>
        <v>19200</v>
      </c>
      <c r="D115" s="96">
        <f t="shared" si="22"/>
        <v>19300</v>
      </c>
      <c r="E115" s="111">
        <v>5</v>
      </c>
      <c r="F115" s="112">
        <f t="shared" si="19"/>
        <v>45</v>
      </c>
      <c r="G115" s="113" t="str">
        <f t="shared" si="20"/>
        <v>S</v>
      </c>
      <c r="H115" s="101">
        <f>'2. Back Up Beton'!J780</f>
        <v>0</v>
      </c>
      <c r="I115" s="101">
        <f>'2. Back Up Beton'!M780</f>
        <v>225</v>
      </c>
      <c r="J115" s="101">
        <f>'2. Back Up Beton'!P780</f>
        <v>0</v>
      </c>
      <c r="K115" s="101">
        <f>'2. Back Up Beton'!S780</f>
        <v>0</v>
      </c>
      <c r="L115" s="101">
        <f>'2. Back Up Beton'!V780</f>
        <v>0</v>
      </c>
      <c r="M115" s="147">
        <f>'2. Back Up Beton'!Y780</f>
        <v>0</v>
      </c>
      <c r="N115" s="150"/>
    </row>
    <row r="116" spans="2:14" s="35" customFormat="1" ht="17.100000000000001" customHeight="1">
      <c r="B116" s="105"/>
      <c r="C116" s="54">
        <f t="shared" si="21"/>
        <v>19300</v>
      </c>
      <c r="D116" s="96">
        <f t="shared" si="22"/>
        <v>19400</v>
      </c>
      <c r="E116" s="111">
        <v>5</v>
      </c>
      <c r="F116" s="112">
        <f t="shared" si="19"/>
        <v>50</v>
      </c>
      <c r="G116" s="113" t="str">
        <f t="shared" si="20"/>
        <v>S</v>
      </c>
      <c r="H116" s="101">
        <f>'2. Back Up Beton'!J788</f>
        <v>0</v>
      </c>
      <c r="I116" s="101">
        <f>'2. Back Up Beton'!M788</f>
        <v>250</v>
      </c>
      <c r="J116" s="101">
        <f>'2. Back Up Beton'!P788</f>
        <v>0</v>
      </c>
      <c r="K116" s="101">
        <f>'2. Back Up Beton'!S788</f>
        <v>0</v>
      </c>
      <c r="L116" s="101">
        <f>'2. Back Up Beton'!V788</f>
        <v>0</v>
      </c>
      <c r="M116" s="147">
        <f>'2. Back Up Beton'!Y788</f>
        <v>0</v>
      </c>
      <c r="N116" s="150"/>
    </row>
    <row r="117" spans="2:14" s="35" customFormat="1" ht="17.100000000000001" customHeight="1">
      <c r="B117" s="105"/>
      <c r="C117" s="54">
        <f t="shared" si="21"/>
        <v>19400</v>
      </c>
      <c r="D117" s="96">
        <f t="shared" si="22"/>
        <v>19500</v>
      </c>
      <c r="E117" s="111">
        <v>5</v>
      </c>
      <c r="F117" s="112">
        <f t="shared" si="19"/>
        <v>200</v>
      </c>
      <c r="G117" s="113" t="str">
        <f t="shared" si="20"/>
        <v>RB</v>
      </c>
      <c r="H117" s="101">
        <f>'2. Back Up Beton'!J796</f>
        <v>0</v>
      </c>
      <c r="I117" s="101">
        <f>'2. Back Up Beton'!M796</f>
        <v>0</v>
      </c>
      <c r="J117" s="101">
        <f>'2. Back Up Beton'!P796</f>
        <v>500</v>
      </c>
      <c r="K117" s="101">
        <f>'2. Back Up Beton'!S796</f>
        <v>0</v>
      </c>
      <c r="L117" s="101">
        <f>'2. Back Up Beton'!V796</f>
        <v>0</v>
      </c>
      <c r="M117" s="147">
        <f>'2. Back Up Beton'!Y796</f>
        <v>0</v>
      </c>
      <c r="N117" s="150"/>
    </row>
    <row r="118" spans="2:14" s="35" customFormat="1" ht="17.100000000000001" customHeight="1">
      <c r="B118" s="105"/>
      <c r="C118" s="54">
        <f t="shared" si="21"/>
        <v>19500</v>
      </c>
      <c r="D118" s="96">
        <f t="shared" si="22"/>
        <v>19600</v>
      </c>
      <c r="E118" s="111">
        <v>5</v>
      </c>
      <c r="F118" s="112">
        <f t="shared" si="19"/>
        <v>12.5</v>
      </c>
      <c r="G118" s="113" t="str">
        <f t="shared" si="20"/>
        <v>B</v>
      </c>
      <c r="H118" s="101">
        <f>'2. Back Up Beton'!J804</f>
        <v>125</v>
      </c>
      <c r="I118" s="101">
        <f>'2. Back Up Beton'!M804</f>
        <v>0</v>
      </c>
      <c r="J118" s="101">
        <f>'2. Back Up Beton'!P804</f>
        <v>0</v>
      </c>
      <c r="K118" s="101">
        <f>'2. Back Up Beton'!S804</f>
        <v>0</v>
      </c>
      <c r="L118" s="101">
        <f>'2. Back Up Beton'!V804</f>
        <v>0</v>
      </c>
      <c r="M118" s="147">
        <f>'2. Back Up Beton'!Y804</f>
        <v>0</v>
      </c>
      <c r="N118" s="150"/>
    </row>
    <row r="119" spans="2:14" s="35" customFormat="1" ht="17.100000000000001" customHeight="1">
      <c r="B119" s="105"/>
      <c r="C119" s="54">
        <f t="shared" si="21"/>
        <v>19600</v>
      </c>
      <c r="D119" s="96">
        <f t="shared" si="22"/>
        <v>19700</v>
      </c>
      <c r="E119" s="111">
        <v>5</v>
      </c>
      <c r="F119" s="112">
        <f t="shared" si="19"/>
        <v>10</v>
      </c>
      <c r="G119" s="113" t="str">
        <f t="shared" si="20"/>
        <v>B</v>
      </c>
      <c r="H119" s="101">
        <f>'2. Back Up Beton'!J812</f>
        <v>100</v>
      </c>
      <c r="I119" s="101">
        <f>'2. Back Up Beton'!M812</f>
        <v>0</v>
      </c>
      <c r="J119" s="101">
        <f>'2. Back Up Beton'!P812</f>
        <v>0</v>
      </c>
      <c r="K119" s="101">
        <f>'2. Back Up Beton'!S812</f>
        <v>0</v>
      </c>
      <c r="L119" s="101">
        <f>'2. Back Up Beton'!V812</f>
        <v>0</v>
      </c>
      <c r="M119" s="147">
        <f>'2. Back Up Beton'!Y812</f>
        <v>0</v>
      </c>
      <c r="N119" s="150"/>
    </row>
    <row r="120" spans="2:14" s="35" customFormat="1" ht="17.100000000000001" customHeight="1">
      <c r="B120" s="105"/>
      <c r="C120" s="54">
        <f t="shared" si="21"/>
        <v>19700</v>
      </c>
      <c r="D120" s="96">
        <f t="shared" si="22"/>
        <v>19800</v>
      </c>
      <c r="E120" s="111">
        <v>5</v>
      </c>
      <c r="F120" s="112">
        <f t="shared" si="19"/>
        <v>17.5</v>
      </c>
      <c r="G120" s="113" t="str">
        <f t="shared" si="20"/>
        <v>B</v>
      </c>
      <c r="H120" s="101">
        <f>'2. Back Up Beton'!J820</f>
        <v>175</v>
      </c>
      <c r="I120" s="101">
        <f>'2. Back Up Beton'!M820</f>
        <v>0</v>
      </c>
      <c r="J120" s="101">
        <f>'2. Back Up Beton'!P820</f>
        <v>0</v>
      </c>
      <c r="K120" s="101">
        <f>'2. Back Up Beton'!S820</f>
        <v>0</v>
      </c>
      <c r="L120" s="101">
        <f>'2. Back Up Beton'!V820</f>
        <v>0</v>
      </c>
      <c r="M120" s="147">
        <f>'2. Back Up Beton'!Y820</f>
        <v>0</v>
      </c>
      <c r="N120" s="150"/>
    </row>
    <row r="121" spans="2:14" s="35" customFormat="1" ht="17.100000000000001" customHeight="1">
      <c r="B121" s="105"/>
      <c r="C121" s="54">
        <f t="shared" si="21"/>
        <v>19800</v>
      </c>
      <c r="D121" s="96">
        <f t="shared" si="22"/>
        <v>19900</v>
      </c>
      <c r="E121" s="111">
        <v>5</v>
      </c>
      <c r="F121" s="112">
        <f t="shared" si="19"/>
        <v>60</v>
      </c>
      <c r="G121" s="113" t="str">
        <f t="shared" si="20"/>
        <v>S</v>
      </c>
      <c r="H121" s="101">
        <f>'2. Back Up Beton'!J828</f>
        <v>0</v>
      </c>
      <c r="I121" s="101">
        <f>'2. Back Up Beton'!M828</f>
        <v>300</v>
      </c>
      <c r="J121" s="101">
        <f>'2. Back Up Beton'!P828</f>
        <v>0</v>
      </c>
      <c r="K121" s="101">
        <f>'2. Back Up Beton'!S828</f>
        <v>0</v>
      </c>
      <c r="L121" s="101">
        <f>'2. Back Up Beton'!V828</f>
        <v>0</v>
      </c>
      <c r="M121" s="147">
        <f>'2. Back Up Beton'!Y828</f>
        <v>0</v>
      </c>
      <c r="N121" s="150"/>
    </row>
    <row r="122" spans="2:14" s="35" customFormat="1" ht="17.100000000000001" customHeight="1">
      <c r="B122" s="105"/>
      <c r="C122" s="54">
        <f t="shared" si="21"/>
        <v>19900</v>
      </c>
      <c r="D122" s="96">
        <f t="shared" si="22"/>
        <v>20000</v>
      </c>
      <c r="E122" s="111">
        <v>5</v>
      </c>
      <c r="F122" s="112">
        <f t="shared" si="19"/>
        <v>30</v>
      </c>
      <c r="G122" s="113" t="str">
        <f t="shared" si="20"/>
        <v>S</v>
      </c>
      <c r="H122" s="101">
        <f>'2. Back Up Beton'!J836</f>
        <v>0</v>
      </c>
      <c r="I122" s="101">
        <f>'2. Back Up Beton'!M836</f>
        <v>150</v>
      </c>
      <c r="J122" s="101">
        <f>'2. Back Up Beton'!P836</f>
        <v>0</v>
      </c>
      <c r="K122" s="101">
        <f>'2. Back Up Beton'!S836</f>
        <v>0</v>
      </c>
      <c r="L122" s="101">
        <f>'2. Back Up Beton'!V836</f>
        <v>0</v>
      </c>
      <c r="M122" s="147">
        <f>'2. Back Up Beton'!Y836</f>
        <v>0</v>
      </c>
      <c r="N122" s="150"/>
    </row>
    <row r="123" spans="2:14" s="35" customFormat="1" ht="17.100000000000001" customHeight="1">
      <c r="B123" s="105"/>
      <c r="C123" s="54">
        <f t="shared" si="21"/>
        <v>20000</v>
      </c>
      <c r="D123" s="96">
        <f t="shared" si="22"/>
        <v>20100</v>
      </c>
      <c r="E123" s="111">
        <v>5</v>
      </c>
      <c r="F123" s="112">
        <f t="shared" si="19"/>
        <v>60</v>
      </c>
      <c r="G123" s="113" t="str">
        <f t="shared" si="20"/>
        <v>S</v>
      </c>
      <c r="H123" s="101">
        <f>'2. Back Up Beton'!J844</f>
        <v>0</v>
      </c>
      <c r="I123" s="101">
        <f>'2. Back Up Beton'!M844</f>
        <v>300</v>
      </c>
      <c r="J123" s="101">
        <f>'2. Back Up Beton'!P844</f>
        <v>0</v>
      </c>
      <c r="K123" s="101">
        <f>'2. Back Up Beton'!S844</f>
        <v>0</v>
      </c>
      <c r="L123" s="101">
        <f>'2. Back Up Beton'!V844</f>
        <v>0</v>
      </c>
      <c r="M123" s="147">
        <f>'2. Back Up Beton'!Y844</f>
        <v>0</v>
      </c>
      <c r="N123" s="150"/>
    </row>
    <row r="124" spans="2:14" s="35" customFormat="1" ht="17.100000000000001" customHeight="1">
      <c r="B124" s="105"/>
      <c r="C124" s="54">
        <f t="shared" si="21"/>
        <v>20100</v>
      </c>
      <c r="D124" s="96">
        <f t="shared" si="22"/>
        <v>20200</v>
      </c>
      <c r="E124" s="111">
        <v>5</v>
      </c>
      <c r="F124" s="112">
        <f t="shared" si="19"/>
        <v>110</v>
      </c>
      <c r="G124" s="113" t="str">
        <f t="shared" si="20"/>
        <v>RB</v>
      </c>
      <c r="H124" s="101">
        <f>'2. Back Up Beton'!J852</f>
        <v>0</v>
      </c>
      <c r="I124" s="101">
        <f>'2. Back Up Beton'!M852</f>
        <v>250</v>
      </c>
      <c r="J124" s="101">
        <f>'2. Back Up Beton'!P852</f>
        <v>150</v>
      </c>
      <c r="K124" s="101">
        <f>'2. Back Up Beton'!S852</f>
        <v>0</v>
      </c>
      <c r="L124" s="101">
        <f>'2. Back Up Beton'!V852</f>
        <v>0</v>
      </c>
      <c r="M124" s="147">
        <f>'2. Back Up Beton'!Y852</f>
        <v>0</v>
      </c>
      <c r="N124" s="150"/>
    </row>
    <row r="125" spans="2:14" s="35" customFormat="1" ht="17.100000000000001" customHeight="1">
      <c r="B125" s="105"/>
      <c r="C125" s="54">
        <f t="shared" si="21"/>
        <v>20200</v>
      </c>
      <c r="D125" s="96">
        <f t="shared" si="22"/>
        <v>20300</v>
      </c>
      <c r="E125" s="111">
        <v>5</v>
      </c>
      <c r="F125" s="112">
        <f t="shared" si="19"/>
        <v>100</v>
      </c>
      <c r="G125" s="113" t="str">
        <f t="shared" si="20"/>
        <v>RR</v>
      </c>
      <c r="H125" s="101">
        <f>'2. Back Up Beton'!J860</f>
        <v>0</v>
      </c>
      <c r="I125" s="101">
        <f>'2. Back Up Beton'!M860</f>
        <v>500</v>
      </c>
      <c r="J125" s="101">
        <f>'2. Back Up Beton'!P860</f>
        <v>0</v>
      </c>
      <c r="K125" s="101">
        <f>'2. Back Up Beton'!S860</f>
        <v>0</v>
      </c>
      <c r="L125" s="101">
        <f>'2. Back Up Beton'!V860</f>
        <v>0</v>
      </c>
      <c r="M125" s="147">
        <f>'2. Back Up Beton'!Y860</f>
        <v>0</v>
      </c>
      <c r="N125" s="150"/>
    </row>
    <row r="126" spans="2:14" s="35" customFormat="1" ht="17.100000000000001" customHeight="1">
      <c r="B126" s="105"/>
      <c r="C126" s="54">
        <f t="shared" si="21"/>
        <v>20300</v>
      </c>
      <c r="D126" s="96">
        <f t="shared" si="22"/>
        <v>20400</v>
      </c>
      <c r="E126" s="111">
        <v>5</v>
      </c>
      <c r="F126" s="112">
        <f t="shared" si="19"/>
        <v>100</v>
      </c>
      <c r="G126" s="113" t="str">
        <f t="shared" si="20"/>
        <v>RR</v>
      </c>
      <c r="H126" s="101">
        <f>'2. Back Up Beton'!J868</f>
        <v>0</v>
      </c>
      <c r="I126" s="101">
        <f>'2. Back Up Beton'!M868</f>
        <v>500</v>
      </c>
      <c r="J126" s="101">
        <f>'2. Back Up Beton'!P868</f>
        <v>0</v>
      </c>
      <c r="K126" s="101">
        <f>'2. Back Up Beton'!S868</f>
        <v>0</v>
      </c>
      <c r="L126" s="101">
        <f>'2. Back Up Beton'!V868</f>
        <v>0</v>
      </c>
      <c r="M126" s="147">
        <f>'2. Back Up Beton'!Y868</f>
        <v>0</v>
      </c>
      <c r="N126" s="150"/>
    </row>
    <row r="127" spans="2:14" s="35" customFormat="1" ht="17.100000000000001" customHeight="1">
      <c r="B127" s="105"/>
      <c r="C127" s="54">
        <f t="shared" si="21"/>
        <v>20400</v>
      </c>
      <c r="D127" s="96">
        <f t="shared" si="22"/>
        <v>20500</v>
      </c>
      <c r="E127" s="111">
        <v>5</v>
      </c>
      <c r="F127" s="112">
        <f t="shared" si="19"/>
        <v>90</v>
      </c>
      <c r="G127" s="113" t="str">
        <f t="shared" si="20"/>
        <v>RR</v>
      </c>
      <c r="H127" s="101">
        <f>'2. Back Up Beton'!J876</f>
        <v>0</v>
      </c>
      <c r="I127" s="101">
        <f>'2. Back Up Beton'!M876</f>
        <v>250</v>
      </c>
      <c r="J127" s="101">
        <f>'2. Back Up Beton'!P876</f>
        <v>0</v>
      </c>
      <c r="K127" s="101">
        <f>'2. Back Up Beton'!S876</f>
        <v>10</v>
      </c>
      <c r="L127" s="101">
        <f>'2. Back Up Beton'!V876</f>
        <v>0</v>
      </c>
      <c r="M127" s="147">
        <f>'2. Back Up Beton'!Y876</f>
        <v>0</v>
      </c>
      <c r="N127" s="150"/>
    </row>
    <row r="128" spans="2:14" s="35" customFormat="1" ht="17.100000000000001" customHeight="1">
      <c r="B128" s="105"/>
      <c r="C128" s="54">
        <f t="shared" si="21"/>
        <v>20500</v>
      </c>
      <c r="D128" s="96">
        <f t="shared" si="22"/>
        <v>20600</v>
      </c>
      <c r="E128" s="111">
        <v>5</v>
      </c>
      <c r="F128" s="112">
        <f t="shared" si="19"/>
        <v>106</v>
      </c>
      <c r="G128" s="113" t="str">
        <f t="shared" si="20"/>
        <v>RB</v>
      </c>
      <c r="H128" s="101">
        <f>'2. Back Up Beton'!J884</f>
        <v>0</v>
      </c>
      <c r="I128" s="101">
        <f>'2. Back Up Beton'!M884</f>
        <v>350</v>
      </c>
      <c r="J128" s="101">
        <f>'2. Back Up Beton'!P884</f>
        <v>90</v>
      </c>
      <c r="K128" s="101">
        <f>'2. Back Up Beton'!S884</f>
        <v>0</v>
      </c>
      <c r="L128" s="101">
        <f>'2. Back Up Beton'!V884</f>
        <v>0</v>
      </c>
      <c r="M128" s="147">
        <f>'2. Back Up Beton'!Y884</f>
        <v>0</v>
      </c>
      <c r="N128" s="150"/>
    </row>
    <row r="129" spans="2:14" s="35" customFormat="1" ht="17.100000000000001" customHeight="1">
      <c r="B129" s="105"/>
      <c r="C129" s="54">
        <f t="shared" si="21"/>
        <v>20600</v>
      </c>
      <c r="D129" s="96">
        <f t="shared" si="22"/>
        <v>20700</v>
      </c>
      <c r="E129" s="111">
        <v>5</v>
      </c>
      <c r="F129" s="112">
        <f t="shared" si="19"/>
        <v>66</v>
      </c>
      <c r="G129" s="113" t="str">
        <f t="shared" si="20"/>
        <v>S</v>
      </c>
      <c r="H129" s="101">
        <f>'2. Back Up Beton'!J892</f>
        <v>0</v>
      </c>
      <c r="I129" s="101">
        <f>'2. Back Up Beton'!M892</f>
        <v>300</v>
      </c>
      <c r="J129" s="101">
        <f>'2. Back Up Beton'!P892</f>
        <v>15</v>
      </c>
      <c r="K129" s="101">
        <f>'2. Back Up Beton'!S892</f>
        <v>0</v>
      </c>
      <c r="L129" s="101">
        <f>'2. Back Up Beton'!V892</f>
        <v>0</v>
      </c>
      <c r="M129" s="147">
        <f>'2. Back Up Beton'!Y892</f>
        <v>0</v>
      </c>
      <c r="N129" s="150"/>
    </row>
    <row r="130" spans="2:14" s="35" customFormat="1" ht="17.100000000000001" customHeight="1">
      <c r="B130" s="105"/>
      <c r="C130" s="54">
        <f t="shared" si="21"/>
        <v>20700</v>
      </c>
      <c r="D130" s="96">
        <f t="shared" si="22"/>
        <v>20800</v>
      </c>
      <c r="E130" s="111">
        <v>5</v>
      </c>
      <c r="F130" s="112">
        <f t="shared" si="19"/>
        <v>60</v>
      </c>
      <c r="G130" s="113" t="str">
        <f t="shared" si="20"/>
        <v>S</v>
      </c>
      <c r="H130" s="101">
        <f>'2. Back Up Beton'!J900</f>
        <v>0</v>
      </c>
      <c r="I130" s="101">
        <f>'2. Back Up Beton'!M900</f>
        <v>300</v>
      </c>
      <c r="J130" s="101">
        <f>'2. Back Up Beton'!P900</f>
        <v>0</v>
      </c>
      <c r="K130" s="101">
        <f>'2. Back Up Beton'!S900</f>
        <v>0</v>
      </c>
      <c r="L130" s="101">
        <f>'2. Back Up Beton'!V900</f>
        <v>0</v>
      </c>
      <c r="M130" s="147">
        <f>'2. Back Up Beton'!Y900</f>
        <v>0</v>
      </c>
      <c r="N130" s="150"/>
    </row>
    <row r="131" spans="2:14" s="35" customFormat="1" ht="17.100000000000001" customHeight="1">
      <c r="B131" s="105"/>
      <c r="C131" s="54">
        <f t="shared" si="21"/>
        <v>20800</v>
      </c>
      <c r="D131" s="96">
        <f t="shared" si="22"/>
        <v>20900</v>
      </c>
      <c r="E131" s="111">
        <v>6</v>
      </c>
      <c r="F131" s="112">
        <f t="shared" si="19"/>
        <v>41.666666666666664</v>
      </c>
      <c r="G131" s="113" t="str">
        <f t="shared" si="20"/>
        <v>S</v>
      </c>
      <c r="H131" s="101">
        <f>'2. Back Up Beton'!J908</f>
        <v>0</v>
      </c>
      <c r="I131" s="101">
        <f>'2. Back Up Beton'!M908</f>
        <v>0</v>
      </c>
      <c r="J131" s="101">
        <f>'2. Back Up Beton'!P908</f>
        <v>125</v>
      </c>
      <c r="K131" s="101">
        <f>'2. Back Up Beton'!S908</f>
        <v>0</v>
      </c>
      <c r="L131" s="101">
        <f>'2. Back Up Beton'!V908</f>
        <v>0</v>
      </c>
      <c r="M131" s="147">
        <f>'2. Back Up Beton'!Y908</f>
        <v>0</v>
      </c>
      <c r="N131" s="150"/>
    </row>
    <row r="132" spans="2:14" s="35" customFormat="1" ht="17.100000000000001" customHeight="1">
      <c r="B132" s="105"/>
      <c r="C132" s="54">
        <f t="shared" si="21"/>
        <v>20900</v>
      </c>
      <c r="D132" s="96">
        <f t="shared" si="22"/>
        <v>21000</v>
      </c>
      <c r="E132" s="111">
        <v>6</v>
      </c>
      <c r="F132" s="112">
        <f t="shared" si="19"/>
        <v>0</v>
      </c>
      <c r="G132" s="113" t="str">
        <f t="shared" si="20"/>
        <v>B</v>
      </c>
      <c r="H132" s="101">
        <f>'2. Back Up Beton'!J916</f>
        <v>0</v>
      </c>
      <c r="I132" s="101">
        <f>'2. Back Up Beton'!M916</f>
        <v>0</v>
      </c>
      <c r="J132" s="101">
        <f>'2. Back Up Beton'!P916</f>
        <v>0</v>
      </c>
      <c r="K132" s="101">
        <f>'2. Back Up Beton'!S916</f>
        <v>0</v>
      </c>
      <c r="L132" s="101">
        <f>'2. Back Up Beton'!V916</f>
        <v>0</v>
      </c>
      <c r="M132" s="147">
        <f>'2. Back Up Beton'!Y916</f>
        <v>0</v>
      </c>
      <c r="N132" s="150"/>
    </row>
    <row r="133" spans="2:14" s="35" customFormat="1" ht="17.100000000000001" customHeight="1">
      <c r="B133" s="105"/>
      <c r="C133" s="54">
        <f t="shared" si="21"/>
        <v>21000</v>
      </c>
      <c r="D133" s="96">
        <f t="shared" si="22"/>
        <v>21100</v>
      </c>
      <c r="E133" s="111">
        <v>6</v>
      </c>
      <c r="F133" s="112">
        <f t="shared" si="19"/>
        <v>0</v>
      </c>
      <c r="G133" s="113" t="str">
        <f t="shared" si="20"/>
        <v>B</v>
      </c>
      <c r="H133" s="101">
        <f>'2. Back Up Beton'!J924</f>
        <v>0</v>
      </c>
      <c r="I133" s="101">
        <f>'2. Back Up Beton'!M924</f>
        <v>0</v>
      </c>
      <c r="J133" s="101">
        <f>'2. Back Up Beton'!P924</f>
        <v>0</v>
      </c>
      <c r="K133" s="101">
        <f>'2. Back Up Beton'!S924</f>
        <v>0</v>
      </c>
      <c r="L133" s="101">
        <f>'2. Back Up Beton'!V924</f>
        <v>0</v>
      </c>
      <c r="M133" s="147">
        <f>'2. Back Up Beton'!Y924</f>
        <v>0</v>
      </c>
      <c r="N133" s="150"/>
    </row>
    <row r="134" spans="2:14" s="35" customFormat="1" ht="17.100000000000001" customHeight="1">
      <c r="B134" s="105"/>
      <c r="C134" s="54">
        <f t="shared" si="21"/>
        <v>21100</v>
      </c>
      <c r="D134" s="96">
        <f t="shared" si="22"/>
        <v>21200</v>
      </c>
      <c r="E134" s="111">
        <v>6</v>
      </c>
      <c r="F134" s="112">
        <f t="shared" si="19"/>
        <v>0</v>
      </c>
      <c r="G134" s="113" t="str">
        <f t="shared" si="20"/>
        <v>B</v>
      </c>
      <c r="H134" s="101">
        <f>'2. Back Up Beton'!J932</f>
        <v>0</v>
      </c>
      <c r="I134" s="101">
        <f>'2. Back Up Beton'!M932</f>
        <v>0</v>
      </c>
      <c r="J134" s="101">
        <f>'2. Back Up Beton'!P932</f>
        <v>0</v>
      </c>
      <c r="K134" s="101">
        <f>'2. Back Up Beton'!S932</f>
        <v>0</v>
      </c>
      <c r="L134" s="101">
        <f>'2. Back Up Beton'!V932</f>
        <v>0</v>
      </c>
      <c r="M134" s="147">
        <f>'2. Back Up Beton'!Y932</f>
        <v>0</v>
      </c>
      <c r="N134" s="150"/>
    </row>
    <row r="135" spans="2:14" s="35" customFormat="1" ht="17.100000000000001" customHeight="1">
      <c r="B135" s="105"/>
      <c r="C135" s="54">
        <f t="shared" si="21"/>
        <v>21200</v>
      </c>
      <c r="D135" s="96">
        <f t="shared" si="22"/>
        <v>21300</v>
      </c>
      <c r="E135" s="111">
        <v>6</v>
      </c>
      <c r="F135" s="112">
        <f t="shared" si="19"/>
        <v>0</v>
      </c>
      <c r="G135" s="113" t="str">
        <f t="shared" si="20"/>
        <v>B</v>
      </c>
      <c r="H135" s="101">
        <f>'2. Back Up Beton'!J940</f>
        <v>0</v>
      </c>
      <c r="I135" s="101">
        <f>'2. Back Up Beton'!M940</f>
        <v>0</v>
      </c>
      <c r="J135" s="101">
        <f>'2. Back Up Beton'!P940</f>
        <v>0</v>
      </c>
      <c r="K135" s="101">
        <f>'2. Back Up Beton'!S940</f>
        <v>0</v>
      </c>
      <c r="L135" s="101">
        <f>'2. Back Up Beton'!V940</f>
        <v>0</v>
      </c>
      <c r="M135" s="147">
        <f>'2. Back Up Beton'!Y940</f>
        <v>0</v>
      </c>
      <c r="N135" s="150"/>
    </row>
    <row r="136" spans="2:14" s="35" customFormat="1" ht="17.100000000000001" customHeight="1">
      <c r="B136" s="105"/>
      <c r="C136" s="54">
        <f t="shared" ref="C136:C138" si="35">D135</f>
        <v>21300</v>
      </c>
      <c r="D136" s="96">
        <f t="shared" ref="D136:D138" si="36">C136+100</f>
        <v>21400</v>
      </c>
      <c r="E136" s="111">
        <v>6</v>
      </c>
      <c r="F136" s="112">
        <f t="shared" ref="F136:F138" si="37">(100/((D136-C136)*E136))*((H136*0.5)+(I136*1)+(J136*2)+(K136*20)+(L136*15)+(M136*1.5))</f>
        <v>0</v>
      </c>
      <c r="G136" s="113" t="str">
        <f t="shared" ref="G136:G138" si="38">IF(F136&lt;=25,"B",IF(F136&lt;=75,"S",IF(F136&lt;=100,"RR","RB")))</f>
        <v>B</v>
      </c>
      <c r="H136" s="101">
        <f>'2. Back Up Beton'!J948</f>
        <v>0</v>
      </c>
      <c r="I136" s="101">
        <f>'2. Back Up Beton'!M948</f>
        <v>0</v>
      </c>
      <c r="J136" s="101">
        <f>'2. Back Up Beton'!P948</f>
        <v>0</v>
      </c>
      <c r="K136" s="101">
        <f>'2. Back Up Beton'!S948</f>
        <v>0</v>
      </c>
      <c r="L136" s="101">
        <f>'2. Back Up Beton'!V948</f>
        <v>0</v>
      </c>
      <c r="M136" s="147">
        <f>'2. Back Up Beton'!Y948</f>
        <v>0</v>
      </c>
      <c r="N136" s="150"/>
    </row>
    <row r="137" spans="2:14" s="35" customFormat="1" ht="17.100000000000001" customHeight="1">
      <c r="B137" s="105"/>
      <c r="C137" s="54">
        <f t="shared" si="35"/>
        <v>21400</v>
      </c>
      <c r="D137" s="96">
        <f t="shared" si="36"/>
        <v>21500</v>
      </c>
      <c r="E137" s="111">
        <v>6</v>
      </c>
      <c r="F137" s="112">
        <f t="shared" si="37"/>
        <v>0</v>
      </c>
      <c r="G137" s="113" t="str">
        <f t="shared" si="38"/>
        <v>B</v>
      </c>
      <c r="H137" s="101">
        <f>'2. Back Up Beton'!J956</f>
        <v>0</v>
      </c>
      <c r="I137" s="101">
        <f>'2. Back Up Beton'!M956</f>
        <v>0</v>
      </c>
      <c r="J137" s="101">
        <f>'2. Back Up Beton'!P956</f>
        <v>0</v>
      </c>
      <c r="K137" s="101">
        <f>'2. Back Up Beton'!S956</f>
        <v>0</v>
      </c>
      <c r="L137" s="101">
        <f>'2. Back Up Beton'!V956</f>
        <v>0</v>
      </c>
      <c r="M137" s="147">
        <f>'2. Back Up Beton'!Y956</f>
        <v>0</v>
      </c>
      <c r="N137" s="150"/>
    </row>
    <row r="138" spans="2:14" s="35" customFormat="1" ht="17.100000000000001" customHeight="1">
      <c r="B138" s="105"/>
      <c r="C138" s="54">
        <f t="shared" si="35"/>
        <v>21500</v>
      </c>
      <c r="D138" s="96">
        <f t="shared" si="36"/>
        <v>21600</v>
      </c>
      <c r="E138" s="111">
        <v>6</v>
      </c>
      <c r="F138" s="112">
        <f t="shared" si="37"/>
        <v>0</v>
      </c>
      <c r="G138" s="113" t="str">
        <f t="shared" si="38"/>
        <v>B</v>
      </c>
      <c r="H138" s="101">
        <f>'2. Back Up Beton'!J964</f>
        <v>0</v>
      </c>
      <c r="I138" s="101">
        <f>'2. Back Up Beton'!M964</f>
        <v>0</v>
      </c>
      <c r="J138" s="101">
        <f>'2. Back Up Beton'!P964</f>
        <v>0</v>
      </c>
      <c r="K138" s="101">
        <f>'2. Back Up Beton'!S964</f>
        <v>0</v>
      </c>
      <c r="L138" s="101">
        <f>'2. Back Up Beton'!V964</f>
        <v>0</v>
      </c>
      <c r="M138" s="147">
        <f>'2. Back Up Beton'!Y964</f>
        <v>0</v>
      </c>
      <c r="N138" s="150"/>
    </row>
    <row r="139" spans="2:14" s="35" customFormat="1" ht="17.100000000000001" customHeight="1">
      <c r="B139" s="105"/>
      <c r="C139" s="54">
        <f t="shared" ref="C139" si="39">D138</f>
        <v>21600</v>
      </c>
      <c r="D139" s="96">
        <f t="shared" ref="D139" si="40">C139+100</f>
        <v>21700</v>
      </c>
      <c r="E139" s="111">
        <v>6</v>
      </c>
      <c r="F139" s="112">
        <f t="shared" ref="F139" si="41">(100/((D139-C139)*E139))*((H139*0.5)+(I139*1)+(J139*2)+(K139*20)+(L139*15)+(M139*1.5))</f>
        <v>0</v>
      </c>
      <c r="G139" s="113" t="str">
        <f t="shared" ref="G139" si="42">IF(F139&lt;=25,"B",IF(F139&lt;=75,"S",IF(F139&lt;=100,"RR","RB")))</f>
        <v>B</v>
      </c>
      <c r="H139" s="101">
        <f>'2. Back Up Beton'!J972</f>
        <v>0</v>
      </c>
      <c r="I139" s="101">
        <f>'2. Back Up Beton'!M972</f>
        <v>0</v>
      </c>
      <c r="J139" s="101">
        <f>'2. Back Up Beton'!P972</f>
        <v>0</v>
      </c>
      <c r="K139" s="101">
        <f>'2. Back Up Beton'!S972</f>
        <v>0</v>
      </c>
      <c r="L139" s="101">
        <f>'2. Back Up Beton'!V972</f>
        <v>0</v>
      </c>
      <c r="M139" s="147">
        <f>'2. Back Up Beton'!Y972</f>
        <v>0</v>
      </c>
      <c r="N139" s="150"/>
    </row>
    <row r="140" spans="2:14" s="35" customFormat="1" ht="17.100000000000001" customHeight="1">
      <c r="B140" s="248"/>
      <c r="C140" s="249">
        <f>D139</f>
        <v>21700</v>
      </c>
      <c r="D140" s="250">
        <f>NOTE!L21</f>
        <v>21780</v>
      </c>
      <c r="E140" s="251">
        <v>5</v>
      </c>
      <c r="F140" s="112">
        <f t="shared" si="19"/>
        <v>0</v>
      </c>
      <c r="G140" s="113" t="str">
        <f t="shared" si="20"/>
        <v>B</v>
      </c>
      <c r="H140" s="101">
        <f>'2. Back Up Beton'!J980</f>
        <v>0</v>
      </c>
      <c r="I140" s="101">
        <f>'2. Back Up Beton'!M980</f>
        <v>0</v>
      </c>
      <c r="J140" s="101">
        <f>'2. Back Up Beton'!P980</f>
        <v>0</v>
      </c>
      <c r="K140" s="101">
        <f>'2. Back Up Beton'!S980</f>
        <v>0</v>
      </c>
      <c r="L140" s="101">
        <f>'2. Back Up Beton'!V980</f>
        <v>0</v>
      </c>
      <c r="M140" s="147">
        <f>'2. Back Up Beton'!Y980</f>
        <v>0</v>
      </c>
      <c r="N140" s="150"/>
    </row>
    <row r="141" spans="2:14" s="35" customFormat="1" ht="17.100000000000001" customHeight="1">
      <c r="B141" s="105"/>
      <c r="C141" s="54">
        <f>NOTE!J23</f>
        <v>22150</v>
      </c>
      <c r="D141" s="96">
        <f>C141+50</f>
        <v>22200</v>
      </c>
      <c r="E141" s="111">
        <v>5</v>
      </c>
      <c r="F141" s="112">
        <f t="shared" si="19"/>
        <v>50</v>
      </c>
      <c r="G141" s="113" t="str">
        <f t="shared" si="20"/>
        <v>S</v>
      </c>
      <c r="H141" s="101">
        <f>'2. Back Up Beton'!J988</f>
        <v>250</v>
      </c>
      <c r="I141" s="101">
        <f>'2. Back Up Beton'!M988</f>
        <v>0</v>
      </c>
      <c r="J141" s="101">
        <f>'2. Back Up Beton'!P988</f>
        <v>0</v>
      </c>
      <c r="K141" s="101">
        <f>'2. Back Up Beton'!S988</f>
        <v>0</v>
      </c>
      <c r="L141" s="101">
        <f>'2. Back Up Beton'!V988</f>
        <v>0</v>
      </c>
      <c r="M141" s="147">
        <f>'2. Back Up Beton'!Y988</f>
        <v>0</v>
      </c>
      <c r="N141" s="150"/>
    </row>
    <row r="142" spans="2:14" s="35" customFormat="1" ht="17.100000000000001" customHeight="1">
      <c r="B142" s="105"/>
      <c r="C142" s="54">
        <f>D141</f>
        <v>22200</v>
      </c>
      <c r="D142" s="96">
        <f>C142+100</f>
        <v>22300</v>
      </c>
      <c r="E142" s="111">
        <v>5</v>
      </c>
      <c r="F142" s="112">
        <f t="shared" ref="F142" si="43">(100/((D142-C142)*E142))*((H142*0.5)+(I142*1)+(J142*2)+(K142*20)+(L142*15)+(M142*1.5))</f>
        <v>50</v>
      </c>
      <c r="G142" s="113" t="str">
        <f t="shared" ref="G142" si="44">IF(F142&lt;=25,"B",IF(F142&lt;=75,"S",IF(F142&lt;=100,"RR","RB")))</f>
        <v>S</v>
      </c>
      <c r="H142" s="101">
        <f>'2. Back Up Beton'!J996</f>
        <v>500</v>
      </c>
      <c r="I142" s="101">
        <f>'2. Back Up Beton'!M996</f>
        <v>0</v>
      </c>
      <c r="J142" s="101">
        <f>'2. Back Up Beton'!P996</f>
        <v>0</v>
      </c>
      <c r="K142" s="101">
        <f>'2. Back Up Beton'!S996</f>
        <v>0</v>
      </c>
      <c r="L142" s="101">
        <f>'2. Back Up Beton'!V996</f>
        <v>0</v>
      </c>
      <c r="M142" s="147">
        <f>'2. Back Up Beton'!Y996</f>
        <v>0</v>
      </c>
      <c r="N142" s="150"/>
    </row>
    <row r="143" spans="2:14" s="35" customFormat="1" ht="17.100000000000001" customHeight="1">
      <c r="B143" s="248"/>
      <c r="C143" s="249">
        <f>D142</f>
        <v>22300</v>
      </c>
      <c r="D143" s="250">
        <f>NOTE!L23</f>
        <v>22350</v>
      </c>
      <c r="E143" s="251">
        <v>5</v>
      </c>
      <c r="F143" s="112">
        <f t="shared" si="19"/>
        <v>50</v>
      </c>
      <c r="G143" s="113" t="str">
        <f t="shared" si="20"/>
        <v>S</v>
      </c>
      <c r="H143" s="101">
        <f>'2. Back Up Beton'!J1004</f>
        <v>250</v>
      </c>
      <c r="I143" s="101">
        <f>'2. Back Up Beton'!M1004</f>
        <v>0</v>
      </c>
      <c r="J143" s="101">
        <f>'2. Back Up Beton'!P1004</f>
        <v>0</v>
      </c>
      <c r="K143" s="101">
        <f>'2. Back Up Beton'!S1004</f>
        <v>0</v>
      </c>
      <c r="L143" s="101">
        <f>'2. Back Up Beton'!V1004</f>
        <v>0</v>
      </c>
      <c r="M143" s="147">
        <f>'2. Back Up Beton'!Y1004</f>
        <v>0</v>
      </c>
      <c r="N143" s="150"/>
    </row>
    <row r="144" spans="2:14" s="35" customFormat="1" ht="17.100000000000001" customHeight="1">
      <c r="B144" s="105"/>
      <c r="C144" s="54">
        <f>NOTE!J25</f>
        <v>22600</v>
      </c>
      <c r="D144" s="96">
        <v>22700</v>
      </c>
      <c r="E144" s="111">
        <v>5</v>
      </c>
      <c r="F144" s="112">
        <f t="shared" si="19"/>
        <v>3</v>
      </c>
      <c r="G144" s="113" t="str">
        <f t="shared" si="20"/>
        <v>B</v>
      </c>
      <c r="H144" s="101">
        <f>'2. Back Up Beton'!J1012</f>
        <v>0</v>
      </c>
      <c r="I144" s="101">
        <f>'2. Back Up Beton'!M1012</f>
        <v>15</v>
      </c>
      <c r="J144" s="101">
        <f>'2. Back Up Beton'!P1012</f>
        <v>0</v>
      </c>
      <c r="K144" s="101">
        <f>'2. Back Up Beton'!S1012</f>
        <v>0</v>
      </c>
      <c r="L144" s="101">
        <f>'2. Back Up Beton'!V1012</f>
        <v>0</v>
      </c>
      <c r="M144" s="147">
        <f>'2. Back Up Beton'!Y1012</f>
        <v>0</v>
      </c>
      <c r="N144" s="150"/>
    </row>
    <row r="145" spans="2:14" s="35" customFormat="1" ht="17.100000000000001" customHeight="1">
      <c r="B145" s="105"/>
      <c r="C145" s="54">
        <f t="shared" si="21"/>
        <v>22700</v>
      </c>
      <c r="D145" s="96">
        <f t="shared" si="22"/>
        <v>22800</v>
      </c>
      <c r="E145" s="111">
        <v>5</v>
      </c>
      <c r="F145" s="112">
        <f t="shared" si="19"/>
        <v>0.60000000000000009</v>
      </c>
      <c r="G145" s="113" t="str">
        <f t="shared" si="20"/>
        <v>B</v>
      </c>
      <c r="H145" s="101">
        <f>'2. Back Up Beton'!J1020</f>
        <v>6</v>
      </c>
      <c r="I145" s="101">
        <f>'2. Back Up Beton'!M1020</f>
        <v>0</v>
      </c>
      <c r="J145" s="101">
        <f>'2. Back Up Beton'!P1020</f>
        <v>0</v>
      </c>
      <c r="K145" s="101">
        <f>'2. Back Up Beton'!S1020</f>
        <v>0</v>
      </c>
      <c r="L145" s="101">
        <f>'2. Back Up Beton'!V1020</f>
        <v>0</v>
      </c>
      <c r="M145" s="147">
        <f>'2. Back Up Beton'!Y1020</f>
        <v>0</v>
      </c>
      <c r="N145" s="150"/>
    </row>
    <row r="146" spans="2:14" s="35" customFormat="1" ht="17.100000000000001" customHeight="1">
      <c r="B146" s="105"/>
      <c r="C146" s="54">
        <f t="shared" si="21"/>
        <v>22800</v>
      </c>
      <c r="D146" s="96">
        <f t="shared" si="22"/>
        <v>22900</v>
      </c>
      <c r="E146" s="111">
        <v>5</v>
      </c>
      <c r="F146" s="112">
        <f t="shared" si="19"/>
        <v>12</v>
      </c>
      <c r="G146" s="113" t="str">
        <f t="shared" si="20"/>
        <v>B</v>
      </c>
      <c r="H146" s="101">
        <f>'2. Back Up Beton'!J1028</f>
        <v>0</v>
      </c>
      <c r="I146" s="101">
        <f>'2. Back Up Beton'!M1028</f>
        <v>60</v>
      </c>
      <c r="J146" s="101">
        <f>'2. Back Up Beton'!P1028</f>
        <v>0</v>
      </c>
      <c r="K146" s="101">
        <f>'2. Back Up Beton'!S1028</f>
        <v>0</v>
      </c>
      <c r="L146" s="101">
        <f>'2. Back Up Beton'!V1028</f>
        <v>0</v>
      </c>
      <c r="M146" s="147">
        <f>'2. Back Up Beton'!Y1028</f>
        <v>0</v>
      </c>
      <c r="N146" s="150"/>
    </row>
    <row r="147" spans="2:14" s="35" customFormat="1" ht="17.100000000000001" customHeight="1">
      <c r="B147" s="105"/>
      <c r="C147" s="54">
        <f t="shared" si="21"/>
        <v>22900</v>
      </c>
      <c r="D147" s="96">
        <f t="shared" si="22"/>
        <v>23000</v>
      </c>
      <c r="E147" s="111">
        <v>5</v>
      </c>
      <c r="F147" s="112">
        <f t="shared" si="19"/>
        <v>9</v>
      </c>
      <c r="G147" s="113" t="str">
        <f t="shared" si="20"/>
        <v>B</v>
      </c>
      <c r="H147" s="101">
        <f>'2. Back Up Beton'!J1036</f>
        <v>0</v>
      </c>
      <c r="I147" s="101">
        <f>'2. Back Up Beton'!M1036</f>
        <v>45</v>
      </c>
      <c r="J147" s="101">
        <f>'2. Back Up Beton'!P1036</f>
        <v>0</v>
      </c>
      <c r="K147" s="101">
        <f>'2. Back Up Beton'!S1036</f>
        <v>0</v>
      </c>
      <c r="L147" s="101">
        <f>'2. Back Up Beton'!V1036</f>
        <v>0</v>
      </c>
      <c r="M147" s="147">
        <f>'2. Back Up Beton'!Y1036</f>
        <v>0</v>
      </c>
      <c r="N147" s="150"/>
    </row>
    <row r="148" spans="2:14" s="35" customFormat="1" ht="17.100000000000001" customHeight="1">
      <c r="B148" s="105"/>
      <c r="C148" s="54">
        <f t="shared" si="21"/>
        <v>23000</v>
      </c>
      <c r="D148" s="96">
        <f t="shared" si="22"/>
        <v>23100</v>
      </c>
      <c r="E148" s="111">
        <v>5</v>
      </c>
      <c r="F148" s="112">
        <f t="shared" si="19"/>
        <v>20</v>
      </c>
      <c r="G148" s="113" t="str">
        <f t="shared" si="20"/>
        <v>B</v>
      </c>
      <c r="H148" s="101">
        <f>'2. Back Up Beton'!J1044</f>
        <v>0</v>
      </c>
      <c r="I148" s="101">
        <f>'2. Back Up Beton'!M1044</f>
        <v>0</v>
      </c>
      <c r="J148" s="101">
        <f>'2. Back Up Beton'!P1044</f>
        <v>0</v>
      </c>
      <c r="K148" s="101">
        <f>'2. Back Up Beton'!S1044</f>
        <v>5</v>
      </c>
      <c r="L148" s="101">
        <f>'2. Back Up Beton'!V1044</f>
        <v>0</v>
      </c>
      <c r="M148" s="147">
        <f>'2. Back Up Beton'!Y1044</f>
        <v>0</v>
      </c>
      <c r="N148" s="150"/>
    </row>
    <row r="149" spans="2:14" s="35" customFormat="1" ht="17.100000000000001" customHeight="1">
      <c r="B149" s="105"/>
      <c r="C149" s="54">
        <f t="shared" si="21"/>
        <v>23100</v>
      </c>
      <c r="D149" s="96">
        <f t="shared" si="22"/>
        <v>23200</v>
      </c>
      <c r="E149" s="111">
        <v>5</v>
      </c>
      <c r="F149" s="112">
        <f t="shared" si="19"/>
        <v>50</v>
      </c>
      <c r="G149" s="113" t="str">
        <f t="shared" si="20"/>
        <v>S</v>
      </c>
      <c r="H149" s="101">
        <f>'2. Back Up Beton'!J1052</f>
        <v>500</v>
      </c>
      <c r="I149" s="101">
        <f>'2. Back Up Beton'!M1052</f>
        <v>0</v>
      </c>
      <c r="J149" s="101">
        <f>'2. Back Up Beton'!P1052</f>
        <v>0</v>
      </c>
      <c r="K149" s="101">
        <f>'2. Back Up Beton'!S1052</f>
        <v>0</v>
      </c>
      <c r="L149" s="101">
        <f>'2. Back Up Beton'!V1052</f>
        <v>0</v>
      </c>
      <c r="M149" s="147">
        <f>'2. Back Up Beton'!Y1052</f>
        <v>0</v>
      </c>
      <c r="N149" s="150"/>
    </row>
    <row r="150" spans="2:14" s="35" customFormat="1" ht="17.100000000000001" customHeight="1">
      <c r="B150" s="105"/>
      <c r="C150" s="54">
        <f t="shared" si="21"/>
        <v>23200</v>
      </c>
      <c r="D150" s="96">
        <f t="shared" si="22"/>
        <v>23300</v>
      </c>
      <c r="E150" s="111">
        <v>5</v>
      </c>
      <c r="F150" s="112">
        <f t="shared" si="19"/>
        <v>45</v>
      </c>
      <c r="G150" s="113" t="str">
        <f t="shared" si="20"/>
        <v>S</v>
      </c>
      <c r="H150" s="101">
        <f>'2. Back Up Beton'!J1060</f>
        <v>450</v>
      </c>
      <c r="I150" s="101">
        <f>'2. Back Up Beton'!M1060</f>
        <v>0</v>
      </c>
      <c r="J150" s="101">
        <f>'2. Back Up Beton'!P1060</f>
        <v>0</v>
      </c>
      <c r="K150" s="101">
        <f>'2. Back Up Beton'!S1060</f>
        <v>0</v>
      </c>
      <c r="L150" s="101">
        <f>'2. Back Up Beton'!V1060</f>
        <v>0</v>
      </c>
      <c r="M150" s="147">
        <f>'2. Back Up Beton'!Y1060</f>
        <v>0</v>
      </c>
      <c r="N150" s="150"/>
    </row>
    <row r="151" spans="2:14" s="35" customFormat="1" ht="17.100000000000001" customHeight="1">
      <c r="B151" s="105"/>
      <c r="C151" s="54">
        <f t="shared" si="21"/>
        <v>23300</v>
      </c>
      <c r="D151" s="96">
        <f t="shared" si="22"/>
        <v>23400</v>
      </c>
      <c r="E151" s="111">
        <v>5</v>
      </c>
      <c r="F151" s="112">
        <f t="shared" si="19"/>
        <v>30</v>
      </c>
      <c r="G151" s="113" t="str">
        <f t="shared" si="20"/>
        <v>S</v>
      </c>
      <c r="H151" s="101">
        <f>'2. Back Up Beton'!J1068</f>
        <v>300</v>
      </c>
      <c r="I151" s="101">
        <f>'2. Back Up Beton'!M1068</f>
        <v>0</v>
      </c>
      <c r="J151" s="101">
        <f>'2. Back Up Beton'!P1068</f>
        <v>0</v>
      </c>
      <c r="K151" s="101">
        <f>'2. Back Up Beton'!S1068</f>
        <v>0</v>
      </c>
      <c r="L151" s="101">
        <f>'2. Back Up Beton'!V1068</f>
        <v>0</v>
      </c>
      <c r="M151" s="147">
        <f>'2. Back Up Beton'!Y1068</f>
        <v>0</v>
      </c>
      <c r="N151" s="150"/>
    </row>
    <row r="152" spans="2:14" s="35" customFormat="1" ht="17.100000000000001" customHeight="1">
      <c r="B152" s="105"/>
      <c r="C152" s="54">
        <f t="shared" si="21"/>
        <v>23400</v>
      </c>
      <c r="D152" s="96">
        <f t="shared" si="22"/>
        <v>23500</v>
      </c>
      <c r="E152" s="111">
        <v>5</v>
      </c>
      <c r="F152" s="112">
        <f t="shared" si="19"/>
        <v>50</v>
      </c>
      <c r="G152" s="113" t="str">
        <f t="shared" si="20"/>
        <v>S</v>
      </c>
      <c r="H152" s="101">
        <f>'2. Back Up Beton'!J1076</f>
        <v>500</v>
      </c>
      <c r="I152" s="101">
        <f>'2. Back Up Beton'!M1076</f>
        <v>0</v>
      </c>
      <c r="J152" s="101">
        <f>'2. Back Up Beton'!P1076</f>
        <v>0</v>
      </c>
      <c r="K152" s="101">
        <f>'2. Back Up Beton'!S1076</f>
        <v>0</v>
      </c>
      <c r="L152" s="101">
        <f>'2. Back Up Beton'!V1076</f>
        <v>0</v>
      </c>
      <c r="M152" s="147">
        <f>'2. Back Up Beton'!Y1076</f>
        <v>0</v>
      </c>
      <c r="N152" s="150"/>
    </row>
    <row r="153" spans="2:14" s="35" customFormat="1" ht="17.100000000000001" customHeight="1">
      <c r="B153" s="105"/>
      <c r="C153" s="54">
        <f t="shared" si="21"/>
        <v>23500</v>
      </c>
      <c r="D153" s="96">
        <f t="shared" si="22"/>
        <v>23600</v>
      </c>
      <c r="E153" s="111">
        <v>5</v>
      </c>
      <c r="F153" s="112">
        <f t="shared" si="19"/>
        <v>50</v>
      </c>
      <c r="G153" s="113" t="str">
        <f t="shared" si="20"/>
        <v>S</v>
      </c>
      <c r="H153" s="101">
        <f>'2. Back Up Beton'!J1084</f>
        <v>500</v>
      </c>
      <c r="I153" s="101">
        <f>'2. Back Up Beton'!M1084</f>
        <v>0</v>
      </c>
      <c r="J153" s="101">
        <f>'2. Back Up Beton'!P1084</f>
        <v>0</v>
      </c>
      <c r="K153" s="101">
        <f>'2. Back Up Beton'!S1084</f>
        <v>0</v>
      </c>
      <c r="L153" s="101">
        <f>'2. Back Up Beton'!V1084</f>
        <v>0</v>
      </c>
      <c r="M153" s="147">
        <f>'2. Back Up Beton'!Y1084</f>
        <v>0</v>
      </c>
      <c r="N153" s="150"/>
    </row>
    <row r="154" spans="2:14" s="35" customFormat="1" ht="17.100000000000001" customHeight="1">
      <c r="B154" s="105"/>
      <c r="C154" s="54">
        <f t="shared" si="21"/>
        <v>23600</v>
      </c>
      <c r="D154" s="96">
        <f t="shared" si="22"/>
        <v>23700</v>
      </c>
      <c r="E154" s="111">
        <v>5</v>
      </c>
      <c r="F154" s="112">
        <f t="shared" si="19"/>
        <v>50</v>
      </c>
      <c r="G154" s="113" t="str">
        <f t="shared" si="20"/>
        <v>S</v>
      </c>
      <c r="H154" s="101">
        <f>'2. Back Up Beton'!J1092</f>
        <v>500</v>
      </c>
      <c r="I154" s="101">
        <f>'2. Back Up Beton'!M1092</f>
        <v>0</v>
      </c>
      <c r="J154" s="101">
        <f>'2. Back Up Beton'!P1092</f>
        <v>0</v>
      </c>
      <c r="K154" s="101">
        <f>'2. Back Up Beton'!S1092</f>
        <v>0</v>
      </c>
      <c r="L154" s="101">
        <f>'2. Back Up Beton'!V1092</f>
        <v>0</v>
      </c>
      <c r="M154" s="147">
        <f>'2. Back Up Beton'!Y1092</f>
        <v>0</v>
      </c>
      <c r="N154" s="150"/>
    </row>
    <row r="155" spans="2:14" s="35" customFormat="1" ht="17.100000000000001" customHeight="1">
      <c r="B155" s="105"/>
      <c r="C155" s="54">
        <f t="shared" si="21"/>
        <v>23700</v>
      </c>
      <c r="D155" s="96">
        <f t="shared" si="22"/>
        <v>23800</v>
      </c>
      <c r="E155" s="111">
        <v>5</v>
      </c>
      <c r="F155" s="112">
        <f t="shared" si="19"/>
        <v>10</v>
      </c>
      <c r="G155" s="113" t="str">
        <f t="shared" si="20"/>
        <v>B</v>
      </c>
      <c r="H155" s="101">
        <f>'2. Back Up Beton'!J1100</f>
        <v>100</v>
      </c>
      <c r="I155" s="101">
        <f>'2. Back Up Beton'!M1100</f>
        <v>0</v>
      </c>
      <c r="J155" s="101">
        <f>'2. Back Up Beton'!P1100</f>
        <v>0</v>
      </c>
      <c r="K155" s="101">
        <f>'2. Back Up Beton'!S1100</f>
        <v>0</v>
      </c>
      <c r="L155" s="101">
        <f>'2. Back Up Beton'!V1100</f>
        <v>0</v>
      </c>
      <c r="M155" s="147">
        <f>'2. Back Up Beton'!Y1100</f>
        <v>0</v>
      </c>
      <c r="N155" s="150"/>
    </row>
    <row r="156" spans="2:14" s="35" customFormat="1" ht="17.100000000000001" customHeight="1">
      <c r="B156" s="105"/>
      <c r="C156" s="54">
        <f t="shared" si="21"/>
        <v>23800</v>
      </c>
      <c r="D156" s="96">
        <f t="shared" si="22"/>
        <v>23900</v>
      </c>
      <c r="E156" s="111">
        <v>5</v>
      </c>
      <c r="F156" s="112">
        <f t="shared" si="19"/>
        <v>50</v>
      </c>
      <c r="G156" s="113" t="str">
        <f t="shared" si="20"/>
        <v>S</v>
      </c>
      <c r="H156" s="101">
        <f>'2. Back Up Beton'!J1108</f>
        <v>500</v>
      </c>
      <c r="I156" s="101">
        <f>'2. Back Up Beton'!M1108</f>
        <v>0</v>
      </c>
      <c r="J156" s="101">
        <f>'2. Back Up Beton'!P1108</f>
        <v>0</v>
      </c>
      <c r="K156" s="101">
        <f>'2. Back Up Beton'!S1108</f>
        <v>0</v>
      </c>
      <c r="L156" s="101">
        <f>'2. Back Up Beton'!V1108</f>
        <v>0</v>
      </c>
      <c r="M156" s="147">
        <f>'2. Back Up Beton'!Y1108</f>
        <v>0</v>
      </c>
      <c r="N156" s="150"/>
    </row>
    <row r="157" spans="2:14" s="35" customFormat="1" ht="17.100000000000001" customHeight="1">
      <c r="B157" s="105"/>
      <c r="C157" s="54">
        <f t="shared" si="21"/>
        <v>23900</v>
      </c>
      <c r="D157" s="96">
        <f t="shared" si="22"/>
        <v>24000</v>
      </c>
      <c r="E157" s="111">
        <v>5</v>
      </c>
      <c r="F157" s="112">
        <f t="shared" si="19"/>
        <v>50</v>
      </c>
      <c r="G157" s="113" t="str">
        <f t="shared" si="20"/>
        <v>S</v>
      </c>
      <c r="H157" s="101">
        <f>'2. Back Up Beton'!J1116</f>
        <v>500</v>
      </c>
      <c r="I157" s="101">
        <f>'2. Back Up Beton'!M1116</f>
        <v>0</v>
      </c>
      <c r="J157" s="101">
        <f>'2. Back Up Beton'!P1116</f>
        <v>0</v>
      </c>
      <c r="K157" s="101">
        <f>'2. Back Up Beton'!S1116</f>
        <v>0</v>
      </c>
      <c r="L157" s="101">
        <f>'2. Back Up Beton'!V1116</f>
        <v>0</v>
      </c>
      <c r="M157" s="147">
        <f>'2. Back Up Beton'!Y1116</f>
        <v>0</v>
      </c>
      <c r="N157" s="150"/>
    </row>
    <row r="158" spans="2:14" s="35" customFormat="1" ht="17.100000000000001" customHeight="1">
      <c r="B158" s="252"/>
      <c r="C158" s="253"/>
      <c r="D158" s="253"/>
      <c r="E158" s="254"/>
      <c r="F158" s="255"/>
      <c r="G158" s="254"/>
      <c r="H158" s="256"/>
      <c r="I158" s="256"/>
      <c r="J158" s="256"/>
      <c r="K158" s="256"/>
      <c r="L158" s="256"/>
      <c r="M158" s="256"/>
      <c r="N158" s="257"/>
    </row>
    <row r="159" spans="2:14" s="35" customFormat="1" ht="17.100000000000001" customHeight="1">
      <c r="B159" s="258"/>
      <c r="C159" s="49"/>
      <c r="D159" s="49"/>
      <c r="E159" s="259"/>
      <c r="F159" s="260"/>
      <c r="G159" s="259"/>
      <c r="H159" s="261"/>
      <c r="I159" s="261"/>
      <c r="J159" s="261"/>
      <c r="K159" s="261"/>
      <c r="L159" s="261"/>
      <c r="M159" s="261"/>
      <c r="N159" s="262"/>
    </row>
    <row r="160" spans="2:14" s="35" customFormat="1" ht="17.100000000000001" customHeight="1">
      <c r="B160" s="258"/>
      <c r="C160" s="49"/>
      <c r="D160" s="49"/>
      <c r="E160" s="259"/>
      <c r="F160" s="260"/>
      <c r="G160" s="259"/>
      <c r="H160" s="261"/>
      <c r="I160" s="261"/>
      <c r="J160" s="261"/>
      <c r="K160" s="261"/>
      <c r="L160" s="261"/>
      <c r="M160" s="261"/>
      <c r="N160" s="262"/>
    </row>
    <row r="161" spans="2:14" s="35" customFormat="1" ht="17.100000000000001" customHeight="1">
      <c r="B161" s="258"/>
      <c r="C161" s="49"/>
      <c r="D161" s="49"/>
      <c r="E161" s="259"/>
      <c r="F161" s="260"/>
      <c r="G161" s="259"/>
      <c r="H161" s="261"/>
      <c r="I161" s="261"/>
      <c r="J161" s="261"/>
      <c r="K161" s="261"/>
      <c r="L161" s="261"/>
      <c r="M161" s="261"/>
      <c r="N161" s="262"/>
    </row>
    <row r="162" spans="2:14" s="35" customFormat="1" ht="17.100000000000001" customHeight="1">
      <c r="B162" s="258"/>
      <c r="C162" s="49"/>
      <c r="D162" s="49"/>
      <c r="E162" s="259"/>
      <c r="F162" s="260"/>
      <c r="G162" s="259"/>
      <c r="H162" s="261"/>
      <c r="I162" s="261"/>
      <c r="J162" s="261"/>
      <c r="K162" s="261"/>
      <c r="L162" s="261"/>
      <c r="M162" s="261"/>
      <c r="N162" s="262"/>
    </row>
    <row r="163" spans="2:14" s="35" customFormat="1" ht="17.100000000000001" customHeight="1">
      <c r="B163" s="258"/>
      <c r="C163" s="49"/>
      <c r="D163" s="49"/>
      <c r="E163" s="259"/>
      <c r="F163" s="260"/>
      <c r="G163" s="259"/>
      <c r="H163" s="261"/>
      <c r="I163" s="261"/>
      <c r="J163" s="261"/>
      <c r="K163" s="261"/>
      <c r="L163" s="261"/>
      <c r="M163" s="261"/>
      <c r="N163" s="262"/>
    </row>
    <row r="164" spans="2:14" s="35" customFormat="1" ht="17.100000000000001" customHeight="1">
      <c r="B164" s="258"/>
      <c r="C164" s="49"/>
      <c r="D164" s="49"/>
      <c r="E164" s="259"/>
      <c r="F164" s="260"/>
      <c r="G164" s="259"/>
      <c r="H164" s="261"/>
      <c r="I164" s="261"/>
      <c r="J164" s="261"/>
      <c r="K164" s="261"/>
      <c r="L164" s="261"/>
      <c r="M164" s="261"/>
      <c r="N164" s="262"/>
    </row>
    <row r="165" spans="2:14" s="35" customFormat="1" ht="17.100000000000001" customHeight="1">
      <c r="B165" s="258"/>
      <c r="C165" s="49"/>
      <c r="D165" s="49"/>
      <c r="E165" s="259"/>
      <c r="F165" s="260"/>
      <c r="G165" s="259"/>
      <c r="H165" s="261"/>
      <c r="I165" s="261"/>
      <c r="J165" s="261"/>
      <c r="K165" s="261"/>
      <c r="L165" s="261"/>
      <c r="M165" s="261"/>
      <c r="N165" s="262"/>
    </row>
    <row r="166" spans="2:14" s="35" customFormat="1" ht="17.100000000000001" customHeight="1">
      <c r="B166" s="258"/>
      <c r="C166" s="49"/>
      <c r="D166" s="49"/>
      <c r="E166" s="259"/>
      <c r="F166" s="260"/>
      <c r="G166" s="259"/>
      <c r="H166" s="261"/>
      <c r="I166" s="261"/>
      <c r="J166" s="261"/>
      <c r="K166" s="261"/>
      <c r="L166" s="261"/>
      <c r="M166" s="261"/>
      <c r="N166" s="262"/>
    </row>
    <row r="167" spans="2:14" s="35" customFormat="1" ht="17.100000000000001" customHeight="1">
      <c r="B167" s="258"/>
      <c r="C167" s="49"/>
      <c r="D167" s="49"/>
      <c r="E167" s="259"/>
      <c r="F167" s="260"/>
      <c r="G167" s="259"/>
      <c r="H167" s="261"/>
      <c r="I167" s="261"/>
      <c r="J167" s="261"/>
      <c r="K167" s="261"/>
      <c r="L167" s="261"/>
      <c r="M167" s="261"/>
      <c r="N167" s="262"/>
    </row>
    <row r="168" spans="2:14" s="35" customFormat="1" ht="17.100000000000001" customHeight="1">
      <c r="B168" s="258"/>
      <c r="C168" s="49"/>
      <c r="D168" s="49"/>
      <c r="E168" s="259"/>
      <c r="F168" s="260"/>
      <c r="G168" s="259"/>
      <c r="H168" s="261"/>
      <c r="I168" s="261"/>
      <c r="J168" s="261"/>
      <c r="K168" s="261"/>
      <c r="L168" s="261"/>
      <c r="M168" s="261"/>
      <c r="N168" s="262"/>
    </row>
    <row r="169" spans="2:14" s="35" customFormat="1" ht="17.100000000000001" customHeight="1">
      <c r="B169" s="258"/>
      <c r="C169" s="49"/>
      <c r="D169" s="49"/>
      <c r="E169" s="259"/>
      <c r="F169" s="260"/>
      <c r="G169" s="259"/>
      <c r="H169" s="261"/>
      <c r="I169" s="261"/>
      <c r="J169" s="261"/>
      <c r="K169" s="261"/>
      <c r="L169" s="261"/>
      <c r="M169" s="261"/>
      <c r="N169" s="262"/>
    </row>
    <row r="170" spans="2:14" s="35" customFormat="1" ht="17.100000000000001" customHeight="1">
      <c r="B170" s="258"/>
      <c r="C170" s="49"/>
      <c r="D170" s="49"/>
      <c r="E170" s="259"/>
      <c r="F170" s="260"/>
      <c r="G170" s="259"/>
      <c r="H170" s="261"/>
      <c r="I170" s="261"/>
      <c r="J170" s="261"/>
      <c r="K170" s="261"/>
      <c r="L170" s="261"/>
      <c r="M170" s="261"/>
      <c r="N170" s="262"/>
    </row>
    <row r="171" spans="2:14" s="35" customFormat="1" ht="17.100000000000001" customHeight="1">
      <c r="B171" s="258"/>
      <c r="C171" s="49"/>
      <c r="D171" s="49"/>
      <c r="E171" s="259"/>
      <c r="F171" s="260"/>
      <c r="G171" s="259"/>
      <c r="H171" s="261"/>
      <c r="I171" s="261"/>
      <c r="J171" s="261"/>
      <c r="K171" s="261"/>
      <c r="L171" s="261"/>
      <c r="M171" s="261"/>
      <c r="N171" s="262"/>
    </row>
    <row r="172" spans="2:14" s="35" customFormat="1" ht="17.100000000000001" customHeight="1">
      <c r="B172" s="258"/>
      <c r="C172" s="49"/>
      <c r="D172" s="49"/>
      <c r="E172" s="259"/>
      <c r="F172" s="260"/>
      <c r="G172" s="259"/>
      <c r="H172" s="261"/>
      <c r="I172" s="261"/>
      <c r="J172" s="261"/>
      <c r="K172" s="261"/>
      <c r="L172" s="261"/>
      <c r="M172" s="261"/>
      <c r="N172" s="262"/>
    </row>
    <row r="173" spans="2:14" s="35" customFormat="1" ht="17.100000000000001" customHeight="1">
      <c r="B173" s="258"/>
      <c r="C173" s="49"/>
      <c r="D173" s="49"/>
      <c r="E173" s="259"/>
      <c r="F173" s="260"/>
      <c r="G173" s="259"/>
      <c r="H173" s="261"/>
      <c r="I173" s="261"/>
      <c r="J173" s="261"/>
      <c r="K173" s="261"/>
      <c r="L173" s="261"/>
      <c r="M173" s="261"/>
      <c r="N173" s="262"/>
    </row>
    <row r="174" spans="2:14" s="35" customFormat="1" ht="17.100000000000001" customHeight="1">
      <c r="B174" s="258"/>
      <c r="C174" s="49"/>
      <c r="D174" s="49"/>
      <c r="E174" s="259"/>
      <c r="F174" s="260"/>
      <c r="G174" s="259"/>
      <c r="H174" s="261"/>
      <c r="I174" s="261"/>
      <c r="J174" s="261"/>
      <c r="K174" s="261"/>
      <c r="L174" s="261"/>
      <c r="M174" s="261"/>
      <c r="N174" s="262"/>
    </row>
    <row r="175" spans="2:14" s="35" customFormat="1" ht="17.100000000000001" customHeight="1">
      <c r="B175" s="258"/>
      <c r="C175" s="49"/>
      <c r="D175" s="49"/>
      <c r="E175" s="259"/>
      <c r="F175" s="260"/>
      <c r="G175" s="259"/>
      <c r="H175" s="261"/>
      <c r="I175" s="261"/>
      <c r="J175" s="261"/>
      <c r="K175" s="261"/>
      <c r="L175" s="261"/>
      <c r="M175" s="261"/>
      <c r="N175" s="262"/>
    </row>
    <row r="176" spans="2:14" s="35" customFormat="1" ht="17.100000000000001" customHeight="1">
      <c r="B176" s="258"/>
      <c r="C176" s="49"/>
      <c r="D176" s="49"/>
      <c r="E176" s="259"/>
      <c r="F176" s="260"/>
      <c r="G176" s="259"/>
      <c r="H176" s="261"/>
      <c r="I176" s="261"/>
      <c r="J176" s="261"/>
      <c r="K176" s="261"/>
      <c r="L176" s="261"/>
      <c r="M176" s="261"/>
      <c r="N176" s="262"/>
    </row>
    <row r="177" spans="2:14" s="35" customFormat="1" ht="17.100000000000001" customHeight="1">
      <c r="B177" s="258"/>
      <c r="C177" s="49"/>
      <c r="D177" s="49"/>
      <c r="E177" s="259"/>
      <c r="F177" s="260"/>
      <c r="G177" s="259"/>
      <c r="H177" s="261"/>
      <c r="I177" s="261"/>
      <c r="J177" s="261"/>
      <c r="K177" s="261"/>
      <c r="L177" s="261"/>
      <c r="M177" s="261"/>
      <c r="N177" s="262"/>
    </row>
    <row r="178" spans="2:14" s="35" customFormat="1" ht="17.100000000000001" customHeight="1">
      <c r="B178" s="258"/>
      <c r="C178" s="49"/>
      <c r="D178" s="49"/>
      <c r="E178" s="259"/>
      <c r="F178" s="260"/>
      <c r="G178" s="259"/>
      <c r="H178" s="261"/>
      <c r="I178" s="261"/>
      <c r="J178" s="261"/>
      <c r="K178" s="261"/>
      <c r="L178" s="261"/>
      <c r="M178" s="261"/>
      <c r="N178" s="262"/>
    </row>
    <row r="179" spans="2:14" s="35" customFormat="1" ht="17.100000000000001" customHeight="1">
      <c r="B179" s="258"/>
      <c r="C179" s="49"/>
      <c r="D179" s="49"/>
      <c r="E179" s="259"/>
      <c r="F179" s="260"/>
      <c r="G179" s="259"/>
      <c r="H179" s="261"/>
      <c r="I179" s="261"/>
      <c r="J179" s="261"/>
      <c r="K179" s="261"/>
      <c r="L179" s="261"/>
      <c r="M179" s="261"/>
      <c r="N179" s="262"/>
    </row>
    <row r="180" spans="2:14" s="35" customFormat="1" ht="17.100000000000001" customHeight="1">
      <c r="B180" s="258"/>
      <c r="C180" s="49"/>
      <c r="D180" s="49"/>
      <c r="E180" s="259"/>
      <c r="F180" s="260"/>
      <c r="G180" s="259"/>
      <c r="H180" s="261"/>
      <c r="I180" s="261"/>
      <c r="J180" s="261"/>
      <c r="K180" s="261"/>
      <c r="L180" s="261"/>
      <c r="M180" s="261"/>
      <c r="N180" s="262"/>
    </row>
    <row r="181" spans="2:14" s="35" customFormat="1" ht="17.100000000000001" customHeight="1">
      <c r="B181" s="258"/>
      <c r="C181" s="49"/>
      <c r="D181" s="49"/>
      <c r="E181" s="259"/>
      <c r="F181" s="260"/>
      <c r="G181" s="259"/>
      <c r="H181" s="261"/>
      <c r="I181" s="261"/>
      <c r="J181" s="261"/>
      <c r="K181" s="261"/>
      <c r="L181" s="261"/>
      <c r="M181" s="261"/>
      <c r="N181" s="262"/>
    </row>
    <row r="182" spans="2:14" s="35" customFormat="1" ht="17.100000000000001" customHeight="1">
      <c r="B182" s="258"/>
      <c r="C182" s="49"/>
      <c r="D182" s="49"/>
      <c r="E182" s="259"/>
      <c r="F182" s="260"/>
      <c r="G182" s="259"/>
      <c r="H182" s="261"/>
      <c r="I182" s="261"/>
      <c r="J182" s="261"/>
      <c r="K182" s="261"/>
      <c r="L182" s="261"/>
      <c r="M182" s="261"/>
      <c r="N182" s="262"/>
    </row>
    <row r="183" spans="2:14" s="35" customFormat="1" ht="17.100000000000001" customHeight="1">
      <c r="B183" s="258"/>
      <c r="C183" s="49"/>
      <c r="D183" s="49"/>
      <c r="E183" s="259"/>
      <c r="F183" s="260"/>
      <c r="G183" s="259"/>
      <c r="H183" s="261"/>
      <c r="I183" s="261"/>
      <c r="J183" s="261"/>
      <c r="K183" s="261"/>
      <c r="L183" s="261"/>
      <c r="M183" s="261"/>
      <c r="N183" s="262"/>
    </row>
    <row r="184" spans="2:14" s="35" customFormat="1" ht="17.100000000000001" customHeight="1">
      <c r="B184" s="258"/>
      <c r="C184" s="49"/>
      <c r="D184" s="49"/>
      <c r="E184" s="259"/>
      <c r="F184" s="260"/>
      <c r="G184" s="259"/>
      <c r="H184" s="261"/>
      <c r="I184" s="261"/>
      <c r="J184" s="261"/>
      <c r="K184" s="261"/>
      <c r="L184" s="261"/>
      <c r="M184" s="261"/>
      <c r="N184" s="262"/>
    </row>
    <row r="185" spans="2:14" s="35" customFormat="1" ht="17.100000000000001" customHeight="1">
      <c r="B185" s="258"/>
      <c r="C185" s="49"/>
      <c r="D185" s="49"/>
      <c r="E185" s="259"/>
      <c r="F185" s="260"/>
      <c r="G185" s="259"/>
      <c r="H185" s="261"/>
      <c r="I185" s="261"/>
      <c r="J185" s="261"/>
      <c r="K185" s="261"/>
      <c r="L185" s="261"/>
      <c r="M185" s="261"/>
      <c r="N185" s="262"/>
    </row>
    <row r="186" spans="2:14" s="35" customFormat="1" ht="17.100000000000001" customHeight="1">
      <c r="B186" s="258"/>
      <c r="C186" s="49"/>
      <c r="D186" s="49"/>
      <c r="E186" s="259"/>
      <c r="F186" s="260"/>
      <c r="G186" s="259"/>
      <c r="H186" s="261"/>
      <c r="I186" s="261"/>
      <c r="J186" s="261"/>
      <c r="K186" s="261"/>
      <c r="L186" s="261"/>
      <c r="M186" s="261"/>
      <c r="N186" s="262"/>
    </row>
    <row r="187" spans="2:14" s="35" customFormat="1" ht="17.100000000000001" customHeight="1">
      <c r="B187" s="258"/>
      <c r="C187" s="49"/>
      <c r="D187" s="49"/>
      <c r="E187" s="259"/>
      <c r="F187" s="260"/>
      <c r="G187" s="259"/>
      <c r="H187" s="261"/>
      <c r="I187" s="261"/>
      <c r="J187" s="261"/>
      <c r="K187" s="261"/>
      <c r="L187" s="261"/>
      <c r="M187" s="261"/>
      <c r="N187" s="262"/>
    </row>
    <row r="188" spans="2:14" s="35" customFormat="1" ht="17.100000000000001" customHeight="1">
      <c r="B188" s="258"/>
      <c r="C188" s="49"/>
      <c r="D188" s="49"/>
      <c r="E188" s="259"/>
      <c r="F188" s="260"/>
      <c r="G188" s="259"/>
      <c r="H188" s="261"/>
      <c r="I188" s="261"/>
      <c r="J188" s="261"/>
      <c r="K188" s="261"/>
      <c r="L188" s="261"/>
      <c r="M188" s="261"/>
      <c r="N188" s="262"/>
    </row>
    <row r="189" spans="2:14" s="35" customFormat="1" ht="17.100000000000001" customHeight="1">
      <c r="B189" s="258"/>
      <c r="C189" s="49"/>
      <c r="D189" s="49"/>
      <c r="E189" s="259"/>
      <c r="F189" s="260"/>
      <c r="G189" s="259"/>
      <c r="H189" s="261"/>
      <c r="I189" s="261"/>
      <c r="J189" s="261"/>
      <c r="K189" s="261"/>
      <c r="L189" s="261"/>
      <c r="M189" s="261"/>
      <c r="N189" s="262"/>
    </row>
    <row r="190" spans="2:14" s="35" customFormat="1" ht="17.100000000000001" customHeight="1">
      <c r="B190" s="258"/>
      <c r="C190" s="49"/>
      <c r="D190" s="49"/>
      <c r="E190" s="259"/>
      <c r="F190" s="260"/>
      <c r="G190" s="259"/>
      <c r="H190" s="261"/>
      <c r="I190" s="261"/>
      <c r="J190" s="261"/>
      <c r="K190" s="261"/>
      <c r="L190" s="261"/>
      <c r="M190" s="261"/>
      <c r="N190" s="262"/>
    </row>
    <row r="191" spans="2:14" s="35" customFormat="1" ht="17.100000000000001" customHeight="1">
      <c r="B191" s="258"/>
      <c r="C191" s="49"/>
      <c r="D191" s="49"/>
      <c r="E191" s="259"/>
      <c r="F191" s="260"/>
      <c r="G191" s="259"/>
      <c r="H191" s="261"/>
      <c r="I191" s="261"/>
      <c r="J191" s="261"/>
      <c r="K191" s="261"/>
      <c r="L191" s="261"/>
      <c r="M191" s="261"/>
      <c r="N191" s="262"/>
    </row>
    <row r="192" spans="2:14" s="35" customFormat="1" ht="17.100000000000001" customHeight="1">
      <c r="B192" s="258"/>
      <c r="C192" s="49"/>
      <c r="D192" s="49"/>
      <c r="E192" s="259"/>
      <c r="F192" s="260"/>
      <c r="G192" s="259"/>
      <c r="H192" s="261"/>
      <c r="I192" s="261"/>
      <c r="J192" s="261"/>
      <c r="K192" s="261"/>
      <c r="L192" s="261"/>
      <c r="M192" s="261"/>
      <c r="N192" s="262"/>
    </row>
    <row r="193" spans="2:14" s="35" customFormat="1" ht="17.100000000000001" customHeight="1">
      <c r="B193" s="258"/>
      <c r="C193" s="49"/>
      <c r="D193" s="49"/>
      <c r="E193" s="259"/>
      <c r="F193" s="260"/>
      <c r="G193" s="259"/>
      <c r="H193" s="261"/>
      <c r="I193" s="261"/>
      <c r="J193" s="261"/>
      <c r="K193" s="261"/>
      <c r="L193" s="261"/>
      <c r="M193" s="261"/>
      <c r="N193" s="262"/>
    </row>
    <row r="194" spans="2:14" s="35" customFormat="1" ht="17.100000000000001" customHeight="1">
      <c r="B194" s="258"/>
      <c r="C194" s="49"/>
      <c r="D194" s="49"/>
      <c r="E194" s="259"/>
      <c r="F194" s="260"/>
      <c r="G194" s="259"/>
      <c r="H194" s="261"/>
      <c r="I194" s="261"/>
      <c r="J194" s="261"/>
      <c r="K194" s="261"/>
      <c r="L194" s="261"/>
      <c r="M194" s="261"/>
      <c r="N194" s="262"/>
    </row>
    <row r="195" spans="2:14" s="35" customFormat="1" ht="17.100000000000001" customHeight="1">
      <c r="B195" s="258"/>
      <c r="C195" s="49"/>
      <c r="D195" s="49"/>
      <c r="E195" s="259"/>
      <c r="F195" s="260"/>
      <c r="G195" s="259"/>
      <c r="H195" s="261"/>
      <c r="I195" s="261"/>
      <c r="J195" s="261"/>
      <c r="K195" s="261"/>
      <c r="L195" s="261"/>
      <c r="M195" s="261"/>
      <c r="N195" s="262"/>
    </row>
    <row r="196" spans="2:14" s="35" customFormat="1" ht="17.100000000000001" customHeight="1">
      <c r="B196" s="263"/>
      <c r="C196" s="264"/>
      <c r="D196" s="264"/>
      <c r="E196" s="265"/>
      <c r="F196" s="266"/>
      <c r="G196" s="265"/>
      <c r="H196" s="267"/>
      <c r="I196" s="267"/>
      <c r="J196" s="267"/>
      <c r="K196" s="267"/>
      <c r="L196" s="267"/>
      <c r="M196" s="267"/>
      <c r="N196" s="268"/>
    </row>
    <row r="197" spans="2:14" s="57" customFormat="1" ht="10.199999999999999" customHeight="1" thickBot="1">
      <c r="B197" s="59"/>
      <c r="C197" s="60"/>
      <c r="D197" s="60"/>
      <c r="E197" s="60"/>
      <c r="F197" s="60"/>
      <c r="G197" s="60"/>
      <c r="H197" s="117"/>
      <c r="I197" s="117"/>
      <c r="J197" s="117"/>
      <c r="K197" s="117"/>
      <c r="L197" s="117"/>
      <c r="M197" s="117"/>
      <c r="N197" s="64"/>
    </row>
    <row r="198" spans="2:14" s="57" customFormat="1" ht="5.25" customHeight="1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 spans="2:14" s="57" customFormat="1" ht="12" customHeight="1">
      <c r="B199" s="65" t="s">
        <v>39</v>
      </c>
      <c r="C199" s="14"/>
      <c r="D199" s="14"/>
      <c r="E199" s="14"/>
      <c r="F199" s="14"/>
      <c r="G199" s="14"/>
      <c r="N199" s="66"/>
    </row>
    <row r="200" spans="2:14" s="57" customFormat="1" ht="3" customHeight="1">
      <c r="B200" s="65"/>
      <c r="C200" s="14"/>
      <c r="D200" s="14"/>
      <c r="E200" s="14"/>
      <c r="F200" s="14"/>
      <c r="G200" s="14"/>
      <c r="N200" s="66"/>
    </row>
    <row r="201" spans="2:14" s="57" customFormat="1" ht="15" customHeight="1">
      <c r="B201" s="65" t="s">
        <v>41</v>
      </c>
      <c r="D201" s="14"/>
      <c r="E201" s="14"/>
      <c r="F201" s="14"/>
      <c r="G201" s="14"/>
      <c r="H201" s="57" t="s">
        <v>179</v>
      </c>
      <c r="N201" s="14"/>
    </row>
    <row r="202" spans="2:14" s="67" customFormat="1" ht="15" customHeight="1">
      <c r="B202" s="68" t="s">
        <v>42</v>
      </c>
      <c r="C202" s="69" t="s">
        <v>43</v>
      </c>
      <c r="D202" s="70"/>
      <c r="E202" s="70"/>
      <c r="F202" s="70"/>
      <c r="G202" s="70"/>
      <c r="H202" s="70">
        <v>1</v>
      </c>
      <c r="N202" s="69"/>
    </row>
    <row r="203" spans="2:14" s="67" customFormat="1" ht="15" customHeight="1">
      <c r="B203" s="68" t="s">
        <v>44</v>
      </c>
      <c r="C203" s="69" t="s">
        <v>45</v>
      </c>
      <c r="D203" s="70"/>
      <c r="E203" s="70"/>
      <c r="F203" s="70"/>
      <c r="G203" s="70"/>
      <c r="H203" s="70">
        <v>2</v>
      </c>
      <c r="N203" s="69"/>
    </row>
    <row r="204" spans="2:14" s="67" customFormat="1" ht="15" customHeight="1">
      <c r="B204" s="68" t="s">
        <v>46</v>
      </c>
      <c r="C204" s="69" t="s">
        <v>47</v>
      </c>
      <c r="D204" s="70"/>
      <c r="E204" s="70"/>
      <c r="F204" s="70"/>
      <c r="G204" s="70"/>
      <c r="H204" s="70">
        <v>3</v>
      </c>
      <c r="N204" s="69"/>
    </row>
    <row r="205" spans="2:14" s="67" customFormat="1" ht="15" customHeight="1">
      <c r="B205" s="68" t="s">
        <v>48</v>
      </c>
      <c r="C205" s="69" t="s">
        <v>49</v>
      </c>
      <c r="D205" s="70"/>
      <c r="E205" s="70"/>
      <c r="F205" s="70"/>
      <c r="G205" s="70"/>
      <c r="H205" s="70">
        <v>4</v>
      </c>
      <c r="N205" s="69"/>
    </row>
    <row r="206" spans="2:14" s="67" customFormat="1" ht="15" customHeight="1">
      <c r="B206" s="68" t="s">
        <v>50</v>
      </c>
      <c r="C206" s="69" t="s">
        <v>51</v>
      </c>
      <c r="D206" s="70"/>
      <c r="E206" s="70"/>
      <c r="F206" s="70"/>
      <c r="G206" s="70"/>
      <c r="N206" s="68"/>
    </row>
    <row r="207" spans="2:14" s="67" customFormat="1" ht="15" customHeight="1">
      <c r="B207" s="68" t="s">
        <v>52</v>
      </c>
      <c r="C207" s="69" t="s">
        <v>53</v>
      </c>
      <c r="D207" s="70"/>
      <c r="E207" s="70"/>
      <c r="F207" s="70"/>
      <c r="G207" s="70"/>
      <c r="H207" s="67" t="s">
        <v>185</v>
      </c>
    </row>
    <row r="208" spans="2:14" s="67" customFormat="1" ht="15" customHeight="1">
      <c r="B208" s="68" t="s">
        <v>54</v>
      </c>
      <c r="C208" s="69" t="s">
        <v>55</v>
      </c>
      <c r="D208" s="70"/>
      <c r="E208" s="70"/>
      <c r="F208" s="70"/>
      <c r="G208" s="70"/>
      <c r="H208" s="70">
        <v>1</v>
      </c>
      <c r="N208" s="69"/>
    </row>
    <row r="209" spans="2:14" s="67" customFormat="1" ht="15" customHeight="1">
      <c r="B209" s="68" t="s">
        <v>56</v>
      </c>
      <c r="C209" s="69" t="s">
        <v>57</v>
      </c>
      <c r="D209" s="70"/>
      <c r="E209" s="70"/>
      <c r="F209" s="70"/>
      <c r="G209" s="70"/>
      <c r="H209" s="70">
        <v>2</v>
      </c>
      <c r="N209" s="69"/>
    </row>
    <row r="210" spans="2:14" s="71" customFormat="1" ht="15" customHeight="1">
      <c r="B210" s="68" t="s">
        <v>58</v>
      </c>
      <c r="C210" s="69" t="s">
        <v>59</v>
      </c>
      <c r="D210" s="70"/>
      <c r="E210" s="70"/>
      <c r="F210" s="70"/>
      <c r="G210" s="70"/>
      <c r="H210" s="70">
        <v>3</v>
      </c>
    </row>
    <row r="211" spans="2:14" s="72" customFormat="1" ht="15" customHeight="1">
      <c r="B211" s="68" t="s">
        <v>60</v>
      </c>
      <c r="C211" s="69" t="s">
        <v>61</v>
      </c>
      <c r="D211" s="70"/>
      <c r="E211" s="70"/>
      <c r="F211" s="70"/>
      <c r="G211" s="70"/>
      <c r="H211" s="70">
        <v>4</v>
      </c>
      <c r="N211" s="73"/>
    </row>
    <row r="212" spans="2:14" ht="10.199999999999999" customHeight="1">
      <c r="B212" s="68"/>
      <c r="C212" s="70"/>
      <c r="D212" s="70"/>
      <c r="E212" s="70"/>
      <c r="F212" s="70"/>
      <c r="G212" s="70"/>
    </row>
    <row r="213" spans="2:14">
      <c r="B213" s="65" t="s">
        <v>62</v>
      </c>
      <c r="D213" s="70"/>
      <c r="E213" s="70"/>
      <c r="F213" s="70"/>
      <c r="G213" s="70"/>
      <c r="H213" s="1" t="s">
        <v>189</v>
      </c>
    </row>
    <row r="214" spans="2:14">
      <c r="B214" s="68" t="s">
        <v>42</v>
      </c>
      <c r="C214" s="74" t="s">
        <v>63</v>
      </c>
      <c r="D214" s="70"/>
      <c r="E214" s="70"/>
      <c r="F214" s="70"/>
      <c r="G214" s="70"/>
      <c r="H214" s="70">
        <v>1</v>
      </c>
    </row>
    <row r="215" spans="2:14">
      <c r="B215" s="68" t="s">
        <v>44</v>
      </c>
      <c r="C215" s="74" t="s">
        <v>64</v>
      </c>
      <c r="D215" s="70"/>
      <c r="E215" s="70"/>
      <c r="F215" s="70"/>
      <c r="G215" s="70"/>
      <c r="H215" s="70">
        <v>2</v>
      </c>
    </row>
    <row r="216" spans="2:14">
      <c r="B216" s="68" t="s">
        <v>46</v>
      </c>
      <c r="C216" s="74" t="s">
        <v>65</v>
      </c>
      <c r="D216" s="75"/>
      <c r="E216" s="75"/>
      <c r="F216" s="75"/>
      <c r="G216" s="75"/>
      <c r="H216" s="70">
        <v>3</v>
      </c>
    </row>
    <row r="217" spans="2:14">
      <c r="B217" s="77" t="s">
        <v>66</v>
      </c>
      <c r="C217" s="74" t="s">
        <v>67</v>
      </c>
      <c r="H217" s="70">
        <v>4</v>
      </c>
    </row>
    <row r="218" spans="2:14">
      <c r="B218" s="77" t="s">
        <v>50</v>
      </c>
      <c r="C218" s="74" t="s">
        <v>68</v>
      </c>
      <c r="H218" s="2">
        <v>5</v>
      </c>
    </row>
    <row r="219" spans="2:14">
      <c r="B219" s="77" t="s">
        <v>52</v>
      </c>
      <c r="C219" s="74" t="s">
        <v>69</v>
      </c>
    </row>
    <row r="220" spans="2:14" ht="10.199999999999999" customHeight="1">
      <c r="B220" s="68"/>
      <c r="C220" s="70"/>
      <c r="D220" s="70"/>
      <c r="E220" s="70"/>
      <c r="F220" s="70"/>
      <c r="G220" s="70"/>
    </row>
    <row r="221" spans="2:14">
      <c r="B221" s="65" t="s">
        <v>70</v>
      </c>
    </row>
    <row r="222" spans="2:14">
      <c r="B222" s="68" t="s">
        <v>42</v>
      </c>
      <c r="C222" s="78" t="s">
        <v>43</v>
      </c>
    </row>
    <row r="223" spans="2:14">
      <c r="B223" s="68" t="s">
        <v>44</v>
      </c>
      <c r="C223" s="78" t="s">
        <v>71</v>
      </c>
    </row>
    <row r="224" spans="2:14">
      <c r="B224" s="68" t="s">
        <v>46</v>
      </c>
      <c r="C224" s="78" t="s">
        <v>72</v>
      </c>
    </row>
    <row r="225" spans="2:27" s="1" customFormat="1">
      <c r="B225" s="68" t="s">
        <v>48</v>
      </c>
      <c r="C225" s="78" t="s">
        <v>73</v>
      </c>
      <c r="D225" s="2"/>
      <c r="E225" s="2"/>
      <c r="F225" s="2"/>
      <c r="G225" s="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2:27" s="1" customFormat="1">
      <c r="B226" s="68" t="s">
        <v>50</v>
      </c>
      <c r="C226" s="78" t="s">
        <v>74</v>
      </c>
      <c r="D226" s="2"/>
      <c r="E226" s="2"/>
      <c r="F226" s="2"/>
      <c r="G226" s="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2:27" s="1" customFormat="1">
      <c r="B227" s="68" t="s">
        <v>52</v>
      </c>
      <c r="C227" s="78" t="s">
        <v>75</v>
      </c>
      <c r="D227" s="2"/>
      <c r="E227" s="2"/>
      <c r="F227" s="2"/>
      <c r="G227" s="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2:27" s="1" customFormat="1">
      <c r="B228" s="68" t="s">
        <v>54</v>
      </c>
      <c r="C228" s="78" t="s">
        <v>76</v>
      </c>
      <c r="D228" s="2"/>
      <c r="E228" s="2"/>
      <c r="F228" s="2"/>
      <c r="G228" s="2"/>
      <c r="H228" s="78"/>
      <c r="I228" s="78"/>
      <c r="J228" s="78"/>
      <c r="K228" s="78"/>
      <c r="L228" s="78"/>
      <c r="M228" s="78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2:27" s="1" customFormat="1">
      <c r="B229" s="68" t="s">
        <v>56</v>
      </c>
      <c r="C229" s="78" t="s">
        <v>77</v>
      </c>
      <c r="D229" s="2"/>
      <c r="E229" s="2"/>
      <c r="F229" s="2"/>
      <c r="G229" s="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1" spans="2:27" s="1" customFormat="1">
      <c r="B231" s="65" t="s">
        <v>161</v>
      </c>
      <c r="C231" s="2"/>
      <c r="D231" s="2"/>
      <c r="E231" s="2"/>
      <c r="F231" s="2"/>
      <c r="G231" s="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2:27" s="1" customFormat="1">
      <c r="B232" s="68" t="s">
        <v>42</v>
      </c>
      <c r="C232" s="78" t="s">
        <v>162</v>
      </c>
      <c r="D232" s="2"/>
      <c r="E232" s="2"/>
      <c r="F232" s="2"/>
      <c r="G232" s="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2:27" s="1" customFormat="1">
      <c r="B233" s="68" t="s">
        <v>44</v>
      </c>
      <c r="C233" s="78" t="s">
        <v>163</v>
      </c>
      <c r="D233" s="2"/>
      <c r="E233" s="2"/>
      <c r="F233" s="2"/>
      <c r="G233" s="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2:27" s="1" customFormat="1">
      <c r="B234" s="68" t="s">
        <v>46</v>
      </c>
      <c r="C234" s="78" t="s">
        <v>164</v>
      </c>
      <c r="D234" s="2"/>
      <c r="E234" s="2"/>
      <c r="F234" s="2"/>
      <c r="G234" s="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2:27" s="1" customFormat="1">
      <c r="B235" s="68" t="s">
        <v>48</v>
      </c>
      <c r="C235" s="78" t="s">
        <v>165</v>
      </c>
      <c r="D235" s="2"/>
      <c r="E235" s="2"/>
      <c r="F235" s="2"/>
      <c r="G235" s="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2:27" s="1" customFormat="1">
      <c r="B236" s="68" t="s">
        <v>50</v>
      </c>
      <c r="C236" s="78" t="s">
        <v>166</v>
      </c>
      <c r="D236" s="2"/>
      <c r="E236" s="2"/>
      <c r="F236" s="2"/>
      <c r="G236" s="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2:27" s="1" customFormat="1">
      <c r="B237" s="68" t="s">
        <v>52</v>
      </c>
      <c r="C237" s="78" t="s">
        <v>167</v>
      </c>
      <c r="D237" s="2"/>
      <c r="E237" s="2"/>
      <c r="F237" s="2"/>
      <c r="G237" s="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2:27" s="1" customFormat="1">
      <c r="B238" s="68" t="s">
        <v>54</v>
      </c>
      <c r="C238" s="78" t="s">
        <v>168</v>
      </c>
      <c r="D238" s="2"/>
      <c r="E238" s="2"/>
      <c r="F238" s="2"/>
      <c r="G238" s="2"/>
      <c r="H238" s="78"/>
      <c r="I238" s="78"/>
      <c r="J238" s="78"/>
      <c r="K238" s="78"/>
      <c r="L238" s="78"/>
      <c r="M238" s="78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</sheetData>
  <mergeCells count="7">
    <mergeCell ref="B20:G20"/>
    <mergeCell ref="B6:N6"/>
    <mergeCell ref="C18:E18"/>
    <mergeCell ref="F18:F19"/>
    <mergeCell ref="G18:G19"/>
    <mergeCell ref="H18:M18"/>
    <mergeCell ref="N18:N19"/>
  </mergeCells>
  <conditionalFormatting sqref="G21:G29 G34:G46 G140:G141 G50:G62 G64:G88 G97:G135 G143:G196 G31">
    <cfRule type="cellIs" dxfId="131" priority="57" stopIfTrue="1" operator="equal">
      <formula>"RB"</formula>
    </cfRule>
    <cfRule type="cellIs" dxfId="130" priority="58" stopIfTrue="1" operator="equal">
      <formula>"RR"</formula>
    </cfRule>
    <cfRule type="cellIs" dxfId="129" priority="59" stopIfTrue="1" operator="equal">
      <formula>"B"</formula>
    </cfRule>
    <cfRule type="cellIs" dxfId="128" priority="60" stopIfTrue="1" operator="equal">
      <formula>"S"</formula>
    </cfRule>
  </conditionalFormatting>
  <conditionalFormatting sqref="G30">
    <cfRule type="cellIs" dxfId="127" priority="53" stopIfTrue="1" operator="equal">
      <formula>"RB"</formula>
    </cfRule>
    <cfRule type="cellIs" dxfId="126" priority="54" stopIfTrue="1" operator="equal">
      <formula>"RR"</formula>
    </cfRule>
    <cfRule type="cellIs" dxfId="125" priority="55" stopIfTrue="1" operator="equal">
      <formula>"B"</formula>
    </cfRule>
    <cfRule type="cellIs" dxfId="124" priority="56" stopIfTrue="1" operator="equal">
      <formula>"S"</formula>
    </cfRule>
  </conditionalFormatting>
  <conditionalFormatting sqref="G32">
    <cfRule type="cellIs" dxfId="123" priority="49" stopIfTrue="1" operator="equal">
      <formula>"RB"</formula>
    </cfRule>
    <cfRule type="cellIs" dxfId="122" priority="50" stopIfTrue="1" operator="equal">
      <formula>"RR"</formula>
    </cfRule>
    <cfRule type="cellIs" dxfId="121" priority="51" stopIfTrue="1" operator="equal">
      <formula>"B"</formula>
    </cfRule>
    <cfRule type="cellIs" dxfId="120" priority="52" stopIfTrue="1" operator="equal">
      <formula>"S"</formula>
    </cfRule>
  </conditionalFormatting>
  <conditionalFormatting sqref="G33">
    <cfRule type="cellIs" dxfId="119" priority="45" stopIfTrue="1" operator="equal">
      <formula>"RB"</formula>
    </cfRule>
    <cfRule type="cellIs" dxfId="118" priority="46" stopIfTrue="1" operator="equal">
      <formula>"RR"</formula>
    </cfRule>
    <cfRule type="cellIs" dxfId="117" priority="47" stopIfTrue="1" operator="equal">
      <formula>"B"</formula>
    </cfRule>
    <cfRule type="cellIs" dxfId="116" priority="48" stopIfTrue="1" operator="equal">
      <formula>"S"</formula>
    </cfRule>
  </conditionalFormatting>
  <conditionalFormatting sqref="G136:G138">
    <cfRule type="cellIs" dxfId="115" priority="41" stopIfTrue="1" operator="equal">
      <formula>"RB"</formula>
    </cfRule>
    <cfRule type="cellIs" dxfId="114" priority="42" stopIfTrue="1" operator="equal">
      <formula>"RR"</formula>
    </cfRule>
    <cfRule type="cellIs" dxfId="113" priority="43" stopIfTrue="1" operator="equal">
      <formula>"B"</formula>
    </cfRule>
    <cfRule type="cellIs" dxfId="112" priority="44" stopIfTrue="1" operator="equal">
      <formula>"S"</formula>
    </cfRule>
  </conditionalFormatting>
  <conditionalFormatting sqref="G139">
    <cfRule type="cellIs" dxfId="111" priority="37" stopIfTrue="1" operator="equal">
      <formula>"RB"</formula>
    </cfRule>
    <cfRule type="cellIs" dxfId="110" priority="38" stopIfTrue="1" operator="equal">
      <formula>"RR"</formula>
    </cfRule>
    <cfRule type="cellIs" dxfId="109" priority="39" stopIfTrue="1" operator="equal">
      <formula>"B"</formula>
    </cfRule>
    <cfRule type="cellIs" dxfId="108" priority="40" stopIfTrue="1" operator="equal">
      <formula>"S"</formula>
    </cfRule>
  </conditionalFormatting>
  <conditionalFormatting sqref="G142">
    <cfRule type="cellIs" dxfId="107" priority="33" stopIfTrue="1" operator="equal">
      <formula>"RB"</formula>
    </cfRule>
    <cfRule type="cellIs" dxfId="106" priority="34" stopIfTrue="1" operator="equal">
      <formula>"RR"</formula>
    </cfRule>
    <cfRule type="cellIs" dxfId="105" priority="35" stopIfTrue="1" operator="equal">
      <formula>"B"</formula>
    </cfRule>
    <cfRule type="cellIs" dxfId="104" priority="36" stopIfTrue="1" operator="equal">
      <formula>"S"</formula>
    </cfRule>
  </conditionalFormatting>
  <conditionalFormatting sqref="G49">
    <cfRule type="cellIs" dxfId="103" priority="29" stopIfTrue="1" operator="equal">
      <formula>"RB"</formula>
    </cfRule>
    <cfRule type="cellIs" dxfId="102" priority="30" stopIfTrue="1" operator="equal">
      <formula>"RR"</formula>
    </cfRule>
    <cfRule type="cellIs" dxfId="101" priority="31" stopIfTrue="1" operator="equal">
      <formula>"B"</formula>
    </cfRule>
    <cfRule type="cellIs" dxfId="100" priority="32" stopIfTrue="1" operator="equal">
      <formula>"S"</formula>
    </cfRule>
  </conditionalFormatting>
  <conditionalFormatting sqref="G48">
    <cfRule type="cellIs" dxfId="99" priority="25" stopIfTrue="1" operator="equal">
      <formula>"RB"</formula>
    </cfRule>
    <cfRule type="cellIs" dxfId="98" priority="26" stopIfTrue="1" operator="equal">
      <formula>"RR"</formula>
    </cfRule>
    <cfRule type="cellIs" dxfId="97" priority="27" stopIfTrue="1" operator="equal">
      <formula>"B"</formula>
    </cfRule>
    <cfRule type="cellIs" dxfId="96" priority="28" stopIfTrue="1" operator="equal">
      <formula>"S"</formula>
    </cfRule>
  </conditionalFormatting>
  <conditionalFormatting sqref="G47">
    <cfRule type="cellIs" dxfId="95" priority="21" stopIfTrue="1" operator="equal">
      <formula>"RB"</formula>
    </cfRule>
    <cfRule type="cellIs" dxfId="94" priority="22" stopIfTrue="1" operator="equal">
      <formula>"RR"</formula>
    </cfRule>
    <cfRule type="cellIs" dxfId="93" priority="23" stopIfTrue="1" operator="equal">
      <formula>"B"</formula>
    </cfRule>
    <cfRule type="cellIs" dxfId="92" priority="24" stopIfTrue="1" operator="equal">
      <formula>"S"</formula>
    </cfRule>
  </conditionalFormatting>
  <conditionalFormatting sqref="G63">
    <cfRule type="cellIs" dxfId="91" priority="17" stopIfTrue="1" operator="equal">
      <formula>"RB"</formula>
    </cfRule>
    <cfRule type="cellIs" dxfId="90" priority="18" stopIfTrue="1" operator="equal">
      <formula>"RR"</formula>
    </cfRule>
    <cfRule type="cellIs" dxfId="89" priority="19" stopIfTrue="1" operator="equal">
      <formula>"B"</formula>
    </cfRule>
    <cfRule type="cellIs" dxfId="88" priority="20" stopIfTrue="1" operator="equal">
      <formula>"S"</formula>
    </cfRule>
  </conditionalFormatting>
  <conditionalFormatting sqref="G89:G91">
    <cfRule type="cellIs" dxfId="87" priority="13" stopIfTrue="1" operator="equal">
      <formula>"RB"</formula>
    </cfRule>
    <cfRule type="cellIs" dxfId="86" priority="14" stopIfTrue="1" operator="equal">
      <formula>"RR"</formula>
    </cfRule>
    <cfRule type="cellIs" dxfId="85" priority="15" stopIfTrue="1" operator="equal">
      <formula>"B"</formula>
    </cfRule>
    <cfRule type="cellIs" dxfId="84" priority="16" stopIfTrue="1" operator="equal">
      <formula>"S"</formula>
    </cfRule>
  </conditionalFormatting>
  <conditionalFormatting sqref="G92">
    <cfRule type="cellIs" dxfId="83" priority="9" stopIfTrue="1" operator="equal">
      <formula>"RB"</formula>
    </cfRule>
    <cfRule type="cellIs" dxfId="82" priority="10" stopIfTrue="1" operator="equal">
      <formula>"RR"</formula>
    </cfRule>
    <cfRule type="cellIs" dxfId="81" priority="11" stopIfTrue="1" operator="equal">
      <formula>"B"</formula>
    </cfRule>
    <cfRule type="cellIs" dxfId="80" priority="12" stopIfTrue="1" operator="equal">
      <formula>"S"</formula>
    </cfRule>
  </conditionalFormatting>
  <conditionalFormatting sqref="G93:G95">
    <cfRule type="cellIs" dxfId="79" priority="5" stopIfTrue="1" operator="equal">
      <formula>"RB"</formula>
    </cfRule>
    <cfRule type="cellIs" dxfId="78" priority="6" stopIfTrue="1" operator="equal">
      <formula>"RR"</formula>
    </cfRule>
    <cfRule type="cellIs" dxfId="77" priority="7" stopIfTrue="1" operator="equal">
      <formula>"B"</formula>
    </cfRule>
    <cfRule type="cellIs" dxfId="76" priority="8" stopIfTrue="1" operator="equal">
      <formula>"S"</formula>
    </cfRule>
  </conditionalFormatting>
  <conditionalFormatting sqref="G96">
    <cfRule type="cellIs" dxfId="75" priority="1" stopIfTrue="1" operator="equal">
      <formula>"RB"</formula>
    </cfRule>
    <cfRule type="cellIs" dxfId="74" priority="2" stopIfTrue="1" operator="equal">
      <formula>"RR"</formula>
    </cfRule>
    <cfRule type="cellIs" dxfId="73" priority="3" stopIfTrue="1" operator="equal">
      <formula>"B"</formula>
    </cfRule>
    <cfRule type="cellIs" dxfId="72" priority="4" stopIfTrue="1" operator="equal">
      <formula>"S"</formula>
    </cfRule>
  </conditionalFormatting>
  <printOptions horizontalCentered="1"/>
  <pageMargins left="0.59055118110236227" right="0.27559055118110237" top="0.47244094488188981" bottom="0.31496062992125984" header="0.31496062992125984" footer="0.31496062992125984"/>
  <pageSetup paperSize="9" scale="50" orientation="portrait" horizontalDpi="4294967293" r:id="rId1"/>
  <rowBreaks count="2" manualBreakCount="2">
    <brk id="92" max="14" man="1"/>
    <brk id="106" max="1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AA1166"/>
  <sheetViews>
    <sheetView tabSelected="1" view="pageBreakPreview" topLeftCell="B11" zoomScale="70" zoomScaleNormal="100" zoomScaleSheetLayoutView="70" workbookViewId="0">
      <pane xSplit="5" ySplit="10" topLeftCell="G861" activePane="bottomRight" state="frozen"/>
      <selection activeCell="B11" sqref="B11"/>
      <selection pane="topRight" activeCell="G11" sqref="G11"/>
      <selection pane="bottomLeft" activeCell="B21" sqref="B21"/>
      <selection pane="bottomRight" activeCell="Q870" sqref="Q870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7" width="7.6640625" style="2" customWidth="1"/>
    <col min="8" max="9" width="7.6640625" style="1" customWidth="1"/>
    <col min="10" max="10" width="15.6640625" style="1" customWidth="1"/>
    <col min="11" max="12" width="7.6640625" style="1" customWidth="1"/>
    <col min="13" max="13" width="15.6640625" style="1" customWidth="1"/>
    <col min="14" max="15" width="7.6640625" style="1" customWidth="1"/>
    <col min="16" max="16" width="15.6640625" style="1" customWidth="1"/>
    <col min="17" max="18" width="7.6640625" style="1" customWidth="1"/>
    <col min="19" max="19" width="15.6640625" style="1" customWidth="1"/>
    <col min="20" max="21" width="7.6640625" style="1" customWidth="1"/>
    <col min="22" max="22" width="15.6640625" style="1" customWidth="1"/>
    <col min="23" max="24" width="7.6640625" style="1" customWidth="1"/>
    <col min="25" max="26" width="15.6640625" style="1" customWidth="1"/>
    <col min="27" max="27" width="1" style="4" customWidth="1"/>
    <col min="28" max="260" width="8.88671875" style="4"/>
    <col min="261" max="261" width="7.5546875" style="4" customWidth="1"/>
    <col min="262" max="262" width="7.33203125" style="4" customWidth="1"/>
    <col min="263" max="263" width="9.6640625" style="4" customWidth="1"/>
    <col min="264" max="265" width="6.6640625" style="4" customWidth="1"/>
    <col min="266" max="275" width="6.33203125" style="4" customWidth="1"/>
    <col min="276" max="276" width="9.109375" style="4" customWidth="1"/>
    <col min="277" max="282" width="7.6640625" style="4" customWidth="1"/>
    <col min="283" max="283" width="1.88671875" style="4" customWidth="1"/>
    <col min="284" max="516" width="8.88671875" style="4"/>
    <col min="517" max="517" width="7.5546875" style="4" customWidth="1"/>
    <col min="518" max="518" width="7.33203125" style="4" customWidth="1"/>
    <col min="519" max="519" width="9.6640625" style="4" customWidth="1"/>
    <col min="520" max="521" width="6.6640625" style="4" customWidth="1"/>
    <col min="522" max="531" width="6.33203125" style="4" customWidth="1"/>
    <col min="532" max="532" width="9.109375" style="4" customWidth="1"/>
    <col min="533" max="538" width="7.6640625" style="4" customWidth="1"/>
    <col min="539" max="539" width="1.88671875" style="4" customWidth="1"/>
    <col min="540" max="772" width="8.88671875" style="4"/>
    <col min="773" max="773" width="7.5546875" style="4" customWidth="1"/>
    <col min="774" max="774" width="7.33203125" style="4" customWidth="1"/>
    <col min="775" max="775" width="9.6640625" style="4" customWidth="1"/>
    <col min="776" max="777" width="6.6640625" style="4" customWidth="1"/>
    <col min="778" max="787" width="6.33203125" style="4" customWidth="1"/>
    <col min="788" max="788" width="9.109375" style="4" customWidth="1"/>
    <col min="789" max="794" width="7.6640625" style="4" customWidth="1"/>
    <col min="795" max="795" width="1.88671875" style="4" customWidth="1"/>
    <col min="796" max="1028" width="8.88671875" style="4"/>
    <col min="1029" max="1029" width="7.5546875" style="4" customWidth="1"/>
    <col min="1030" max="1030" width="7.33203125" style="4" customWidth="1"/>
    <col min="1031" max="1031" width="9.6640625" style="4" customWidth="1"/>
    <col min="1032" max="1033" width="6.6640625" style="4" customWidth="1"/>
    <col min="1034" max="1043" width="6.33203125" style="4" customWidth="1"/>
    <col min="1044" max="1044" width="9.109375" style="4" customWidth="1"/>
    <col min="1045" max="1050" width="7.6640625" style="4" customWidth="1"/>
    <col min="1051" max="1051" width="1.88671875" style="4" customWidth="1"/>
    <col min="1052" max="1284" width="8.88671875" style="4"/>
    <col min="1285" max="1285" width="7.5546875" style="4" customWidth="1"/>
    <col min="1286" max="1286" width="7.33203125" style="4" customWidth="1"/>
    <col min="1287" max="1287" width="9.6640625" style="4" customWidth="1"/>
    <col min="1288" max="1289" width="6.6640625" style="4" customWidth="1"/>
    <col min="1290" max="1299" width="6.33203125" style="4" customWidth="1"/>
    <col min="1300" max="1300" width="9.109375" style="4" customWidth="1"/>
    <col min="1301" max="1306" width="7.6640625" style="4" customWidth="1"/>
    <col min="1307" max="1307" width="1.88671875" style="4" customWidth="1"/>
    <col min="1308" max="1540" width="8.88671875" style="4"/>
    <col min="1541" max="1541" width="7.5546875" style="4" customWidth="1"/>
    <col min="1542" max="1542" width="7.33203125" style="4" customWidth="1"/>
    <col min="1543" max="1543" width="9.6640625" style="4" customWidth="1"/>
    <col min="1544" max="1545" width="6.6640625" style="4" customWidth="1"/>
    <col min="1546" max="1555" width="6.33203125" style="4" customWidth="1"/>
    <col min="1556" max="1556" width="9.109375" style="4" customWidth="1"/>
    <col min="1557" max="1562" width="7.6640625" style="4" customWidth="1"/>
    <col min="1563" max="1563" width="1.88671875" style="4" customWidth="1"/>
    <col min="1564" max="1796" width="8.88671875" style="4"/>
    <col min="1797" max="1797" width="7.5546875" style="4" customWidth="1"/>
    <col min="1798" max="1798" width="7.33203125" style="4" customWidth="1"/>
    <col min="1799" max="1799" width="9.6640625" style="4" customWidth="1"/>
    <col min="1800" max="1801" width="6.6640625" style="4" customWidth="1"/>
    <col min="1802" max="1811" width="6.33203125" style="4" customWidth="1"/>
    <col min="1812" max="1812" width="9.109375" style="4" customWidth="1"/>
    <col min="1813" max="1818" width="7.6640625" style="4" customWidth="1"/>
    <col min="1819" max="1819" width="1.88671875" style="4" customWidth="1"/>
    <col min="1820" max="2052" width="8.88671875" style="4"/>
    <col min="2053" max="2053" width="7.5546875" style="4" customWidth="1"/>
    <col min="2054" max="2054" width="7.33203125" style="4" customWidth="1"/>
    <col min="2055" max="2055" width="9.6640625" style="4" customWidth="1"/>
    <col min="2056" max="2057" width="6.6640625" style="4" customWidth="1"/>
    <col min="2058" max="2067" width="6.33203125" style="4" customWidth="1"/>
    <col min="2068" max="2068" width="9.109375" style="4" customWidth="1"/>
    <col min="2069" max="2074" width="7.6640625" style="4" customWidth="1"/>
    <col min="2075" max="2075" width="1.88671875" style="4" customWidth="1"/>
    <col min="2076" max="2308" width="8.88671875" style="4"/>
    <col min="2309" max="2309" width="7.5546875" style="4" customWidth="1"/>
    <col min="2310" max="2310" width="7.33203125" style="4" customWidth="1"/>
    <col min="2311" max="2311" width="9.6640625" style="4" customWidth="1"/>
    <col min="2312" max="2313" width="6.6640625" style="4" customWidth="1"/>
    <col min="2314" max="2323" width="6.33203125" style="4" customWidth="1"/>
    <col min="2324" max="2324" width="9.109375" style="4" customWidth="1"/>
    <col min="2325" max="2330" width="7.6640625" style="4" customWidth="1"/>
    <col min="2331" max="2331" width="1.88671875" style="4" customWidth="1"/>
    <col min="2332" max="2564" width="8.88671875" style="4"/>
    <col min="2565" max="2565" width="7.5546875" style="4" customWidth="1"/>
    <col min="2566" max="2566" width="7.33203125" style="4" customWidth="1"/>
    <col min="2567" max="2567" width="9.6640625" style="4" customWidth="1"/>
    <col min="2568" max="2569" width="6.6640625" style="4" customWidth="1"/>
    <col min="2570" max="2579" width="6.33203125" style="4" customWidth="1"/>
    <col min="2580" max="2580" width="9.109375" style="4" customWidth="1"/>
    <col min="2581" max="2586" width="7.6640625" style="4" customWidth="1"/>
    <col min="2587" max="2587" width="1.88671875" style="4" customWidth="1"/>
    <col min="2588" max="2820" width="8.88671875" style="4"/>
    <col min="2821" max="2821" width="7.5546875" style="4" customWidth="1"/>
    <col min="2822" max="2822" width="7.33203125" style="4" customWidth="1"/>
    <col min="2823" max="2823" width="9.6640625" style="4" customWidth="1"/>
    <col min="2824" max="2825" width="6.6640625" style="4" customWidth="1"/>
    <col min="2826" max="2835" width="6.33203125" style="4" customWidth="1"/>
    <col min="2836" max="2836" width="9.109375" style="4" customWidth="1"/>
    <col min="2837" max="2842" width="7.6640625" style="4" customWidth="1"/>
    <col min="2843" max="2843" width="1.88671875" style="4" customWidth="1"/>
    <col min="2844" max="3076" width="8.88671875" style="4"/>
    <col min="3077" max="3077" width="7.5546875" style="4" customWidth="1"/>
    <col min="3078" max="3078" width="7.33203125" style="4" customWidth="1"/>
    <col min="3079" max="3079" width="9.6640625" style="4" customWidth="1"/>
    <col min="3080" max="3081" width="6.6640625" style="4" customWidth="1"/>
    <col min="3082" max="3091" width="6.33203125" style="4" customWidth="1"/>
    <col min="3092" max="3092" width="9.109375" style="4" customWidth="1"/>
    <col min="3093" max="3098" width="7.6640625" style="4" customWidth="1"/>
    <col min="3099" max="3099" width="1.88671875" style="4" customWidth="1"/>
    <col min="3100" max="3332" width="8.88671875" style="4"/>
    <col min="3333" max="3333" width="7.5546875" style="4" customWidth="1"/>
    <col min="3334" max="3334" width="7.33203125" style="4" customWidth="1"/>
    <col min="3335" max="3335" width="9.6640625" style="4" customWidth="1"/>
    <col min="3336" max="3337" width="6.6640625" style="4" customWidth="1"/>
    <col min="3338" max="3347" width="6.33203125" style="4" customWidth="1"/>
    <col min="3348" max="3348" width="9.109375" style="4" customWidth="1"/>
    <col min="3349" max="3354" width="7.6640625" style="4" customWidth="1"/>
    <col min="3355" max="3355" width="1.88671875" style="4" customWidth="1"/>
    <col min="3356" max="3588" width="8.88671875" style="4"/>
    <col min="3589" max="3589" width="7.5546875" style="4" customWidth="1"/>
    <col min="3590" max="3590" width="7.33203125" style="4" customWidth="1"/>
    <col min="3591" max="3591" width="9.6640625" style="4" customWidth="1"/>
    <col min="3592" max="3593" width="6.6640625" style="4" customWidth="1"/>
    <col min="3594" max="3603" width="6.33203125" style="4" customWidth="1"/>
    <col min="3604" max="3604" width="9.109375" style="4" customWidth="1"/>
    <col min="3605" max="3610" width="7.6640625" style="4" customWidth="1"/>
    <col min="3611" max="3611" width="1.88671875" style="4" customWidth="1"/>
    <col min="3612" max="3844" width="8.88671875" style="4"/>
    <col min="3845" max="3845" width="7.5546875" style="4" customWidth="1"/>
    <col min="3846" max="3846" width="7.33203125" style="4" customWidth="1"/>
    <col min="3847" max="3847" width="9.6640625" style="4" customWidth="1"/>
    <col min="3848" max="3849" width="6.6640625" style="4" customWidth="1"/>
    <col min="3850" max="3859" width="6.33203125" style="4" customWidth="1"/>
    <col min="3860" max="3860" width="9.109375" style="4" customWidth="1"/>
    <col min="3861" max="3866" width="7.6640625" style="4" customWidth="1"/>
    <col min="3867" max="3867" width="1.88671875" style="4" customWidth="1"/>
    <col min="3868" max="4100" width="8.88671875" style="4"/>
    <col min="4101" max="4101" width="7.5546875" style="4" customWidth="1"/>
    <col min="4102" max="4102" width="7.33203125" style="4" customWidth="1"/>
    <col min="4103" max="4103" width="9.6640625" style="4" customWidth="1"/>
    <col min="4104" max="4105" width="6.6640625" style="4" customWidth="1"/>
    <col min="4106" max="4115" width="6.33203125" style="4" customWidth="1"/>
    <col min="4116" max="4116" width="9.109375" style="4" customWidth="1"/>
    <col min="4117" max="4122" width="7.6640625" style="4" customWidth="1"/>
    <col min="4123" max="4123" width="1.88671875" style="4" customWidth="1"/>
    <col min="4124" max="4356" width="8.88671875" style="4"/>
    <col min="4357" max="4357" width="7.5546875" style="4" customWidth="1"/>
    <col min="4358" max="4358" width="7.33203125" style="4" customWidth="1"/>
    <col min="4359" max="4359" width="9.6640625" style="4" customWidth="1"/>
    <col min="4360" max="4361" width="6.6640625" style="4" customWidth="1"/>
    <col min="4362" max="4371" width="6.33203125" style="4" customWidth="1"/>
    <col min="4372" max="4372" width="9.109375" style="4" customWidth="1"/>
    <col min="4373" max="4378" width="7.6640625" style="4" customWidth="1"/>
    <col min="4379" max="4379" width="1.88671875" style="4" customWidth="1"/>
    <col min="4380" max="4612" width="8.88671875" style="4"/>
    <col min="4613" max="4613" width="7.5546875" style="4" customWidth="1"/>
    <col min="4614" max="4614" width="7.33203125" style="4" customWidth="1"/>
    <col min="4615" max="4615" width="9.6640625" style="4" customWidth="1"/>
    <col min="4616" max="4617" width="6.6640625" style="4" customWidth="1"/>
    <col min="4618" max="4627" width="6.33203125" style="4" customWidth="1"/>
    <col min="4628" max="4628" width="9.109375" style="4" customWidth="1"/>
    <col min="4629" max="4634" width="7.6640625" style="4" customWidth="1"/>
    <col min="4635" max="4635" width="1.88671875" style="4" customWidth="1"/>
    <col min="4636" max="4868" width="8.88671875" style="4"/>
    <col min="4869" max="4869" width="7.5546875" style="4" customWidth="1"/>
    <col min="4870" max="4870" width="7.33203125" style="4" customWidth="1"/>
    <col min="4871" max="4871" width="9.6640625" style="4" customWidth="1"/>
    <col min="4872" max="4873" width="6.6640625" style="4" customWidth="1"/>
    <col min="4874" max="4883" width="6.33203125" style="4" customWidth="1"/>
    <col min="4884" max="4884" width="9.109375" style="4" customWidth="1"/>
    <col min="4885" max="4890" width="7.6640625" style="4" customWidth="1"/>
    <col min="4891" max="4891" width="1.88671875" style="4" customWidth="1"/>
    <col min="4892" max="5124" width="8.88671875" style="4"/>
    <col min="5125" max="5125" width="7.5546875" style="4" customWidth="1"/>
    <col min="5126" max="5126" width="7.33203125" style="4" customWidth="1"/>
    <col min="5127" max="5127" width="9.6640625" style="4" customWidth="1"/>
    <col min="5128" max="5129" width="6.6640625" style="4" customWidth="1"/>
    <col min="5130" max="5139" width="6.33203125" style="4" customWidth="1"/>
    <col min="5140" max="5140" width="9.109375" style="4" customWidth="1"/>
    <col min="5141" max="5146" width="7.6640625" style="4" customWidth="1"/>
    <col min="5147" max="5147" width="1.88671875" style="4" customWidth="1"/>
    <col min="5148" max="5380" width="8.88671875" style="4"/>
    <col min="5381" max="5381" width="7.5546875" style="4" customWidth="1"/>
    <col min="5382" max="5382" width="7.33203125" style="4" customWidth="1"/>
    <col min="5383" max="5383" width="9.6640625" style="4" customWidth="1"/>
    <col min="5384" max="5385" width="6.6640625" style="4" customWidth="1"/>
    <col min="5386" max="5395" width="6.33203125" style="4" customWidth="1"/>
    <col min="5396" max="5396" width="9.109375" style="4" customWidth="1"/>
    <col min="5397" max="5402" width="7.6640625" style="4" customWidth="1"/>
    <col min="5403" max="5403" width="1.88671875" style="4" customWidth="1"/>
    <col min="5404" max="5636" width="8.88671875" style="4"/>
    <col min="5637" max="5637" width="7.5546875" style="4" customWidth="1"/>
    <col min="5638" max="5638" width="7.33203125" style="4" customWidth="1"/>
    <col min="5639" max="5639" width="9.6640625" style="4" customWidth="1"/>
    <col min="5640" max="5641" width="6.6640625" style="4" customWidth="1"/>
    <col min="5642" max="5651" width="6.33203125" style="4" customWidth="1"/>
    <col min="5652" max="5652" width="9.109375" style="4" customWidth="1"/>
    <col min="5653" max="5658" width="7.6640625" style="4" customWidth="1"/>
    <col min="5659" max="5659" width="1.88671875" style="4" customWidth="1"/>
    <col min="5660" max="5892" width="8.88671875" style="4"/>
    <col min="5893" max="5893" width="7.5546875" style="4" customWidth="1"/>
    <col min="5894" max="5894" width="7.33203125" style="4" customWidth="1"/>
    <col min="5895" max="5895" width="9.6640625" style="4" customWidth="1"/>
    <col min="5896" max="5897" width="6.6640625" style="4" customWidth="1"/>
    <col min="5898" max="5907" width="6.33203125" style="4" customWidth="1"/>
    <col min="5908" max="5908" width="9.109375" style="4" customWidth="1"/>
    <col min="5909" max="5914" width="7.6640625" style="4" customWidth="1"/>
    <col min="5915" max="5915" width="1.88671875" style="4" customWidth="1"/>
    <col min="5916" max="6148" width="8.88671875" style="4"/>
    <col min="6149" max="6149" width="7.5546875" style="4" customWidth="1"/>
    <col min="6150" max="6150" width="7.33203125" style="4" customWidth="1"/>
    <col min="6151" max="6151" width="9.6640625" style="4" customWidth="1"/>
    <col min="6152" max="6153" width="6.6640625" style="4" customWidth="1"/>
    <col min="6154" max="6163" width="6.33203125" style="4" customWidth="1"/>
    <col min="6164" max="6164" width="9.109375" style="4" customWidth="1"/>
    <col min="6165" max="6170" width="7.6640625" style="4" customWidth="1"/>
    <col min="6171" max="6171" width="1.88671875" style="4" customWidth="1"/>
    <col min="6172" max="6404" width="8.88671875" style="4"/>
    <col min="6405" max="6405" width="7.5546875" style="4" customWidth="1"/>
    <col min="6406" max="6406" width="7.33203125" style="4" customWidth="1"/>
    <col min="6407" max="6407" width="9.6640625" style="4" customWidth="1"/>
    <col min="6408" max="6409" width="6.6640625" style="4" customWidth="1"/>
    <col min="6410" max="6419" width="6.33203125" style="4" customWidth="1"/>
    <col min="6420" max="6420" width="9.109375" style="4" customWidth="1"/>
    <col min="6421" max="6426" width="7.6640625" style="4" customWidth="1"/>
    <col min="6427" max="6427" width="1.88671875" style="4" customWidth="1"/>
    <col min="6428" max="6660" width="8.88671875" style="4"/>
    <col min="6661" max="6661" width="7.5546875" style="4" customWidth="1"/>
    <col min="6662" max="6662" width="7.33203125" style="4" customWidth="1"/>
    <col min="6663" max="6663" width="9.6640625" style="4" customWidth="1"/>
    <col min="6664" max="6665" width="6.6640625" style="4" customWidth="1"/>
    <col min="6666" max="6675" width="6.33203125" style="4" customWidth="1"/>
    <col min="6676" max="6676" width="9.109375" style="4" customWidth="1"/>
    <col min="6677" max="6682" width="7.6640625" style="4" customWidth="1"/>
    <col min="6683" max="6683" width="1.88671875" style="4" customWidth="1"/>
    <col min="6684" max="6916" width="8.88671875" style="4"/>
    <col min="6917" max="6917" width="7.5546875" style="4" customWidth="1"/>
    <col min="6918" max="6918" width="7.33203125" style="4" customWidth="1"/>
    <col min="6919" max="6919" width="9.6640625" style="4" customWidth="1"/>
    <col min="6920" max="6921" width="6.6640625" style="4" customWidth="1"/>
    <col min="6922" max="6931" width="6.33203125" style="4" customWidth="1"/>
    <col min="6932" max="6932" width="9.109375" style="4" customWidth="1"/>
    <col min="6933" max="6938" width="7.6640625" style="4" customWidth="1"/>
    <col min="6939" max="6939" width="1.88671875" style="4" customWidth="1"/>
    <col min="6940" max="7172" width="8.88671875" style="4"/>
    <col min="7173" max="7173" width="7.5546875" style="4" customWidth="1"/>
    <col min="7174" max="7174" width="7.33203125" style="4" customWidth="1"/>
    <col min="7175" max="7175" width="9.6640625" style="4" customWidth="1"/>
    <col min="7176" max="7177" width="6.6640625" style="4" customWidth="1"/>
    <col min="7178" max="7187" width="6.33203125" style="4" customWidth="1"/>
    <col min="7188" max="7188" width="9.109375" style="4" customWidth="1"/>
    <col min="7189" max="7194" width="7.6640625" style="4" customWidth="1"/>
    <col min="7195" max="7195" width="1.88671875" style="4" customWidth="1"/>
    <col min="7196" max="7428" width="8.88671875" style="4"/>
    <col min="7429" max="7429" width="7.5546875" style="4" customWidth="1"/>
    <col min="7430" max="7430" width="7.33203125" style="4" customWidth="1"/>
    <col min="7431" max="7431" width="9.6640625" style="4" customWidth="1"/>
    <col min="7432" max="7433" width="6.6640625" style="4" customWidth="1"/>
    <col min="7434" max="7443" width="6.33203125" style="4" customWidth="1"/>
    <col min="7444" max="7444" width="9.109375" style="4" customWidth="1"/>
    <col min="7445" max="7450" width="7.6640625" style="4" customWidth="1"/>
    <col min="7451" max="7451" width="1.88671875" style="4" customWidth="1"/>
    <col min="7452" max="7684" width="8.88671875" style="4"/>
    <col min="7685" max="7685" width="7.5546875" style="4" customWidth="1"/>
    <col min="7686" max="7686" width="7.33203125" style="4" customWidth="1"/>
    <col min="7687" max="7687" width="9.6640625" style="4" customWidth="1"/>
    <col min="7688" max="7689" width="6.6640625" style="4" customWidth="1"/>
    <col min="7690" max="7699" width="6.33203125" style="4" customWidth="1"/>
    <col min="7700" max="7700" width="9.109375" style="4" customWidth="1"/>
    <col min="7701" max="7706" width="7.6640625" style="4" customWidth="1"/>
    <col min="7707" max="7707" width="1.88671875" style="4" customWidth="1"/>
    <col min="7708" max="7940" width="8.88671875" style="4"/>
    <col min="7941" max="7941" width="7.5546875" style="4" customWidth="1"/>
    <col min="7942" max="7942" width="7.33203125" style="4" customWidth="1"/>
    <col min="7943" max="7943" width="9.6640625" style="4" customWidth="1"/>
    <col min="7944" max="7945" width="6.6640625" style="4" customWidth="1"/>
    <col min="7946" max="7955" width="6.33203125" style="4" customWidth="1"/>
    <col min="7956" max="7956" width="9.109375" style="4" customWidth="1"/>
    <col min="7957" max="7962" width="7.6640625" style="4" customWidth="1"/>
    <col min="7963" max="7963" width="1.88671875" style="4" customWidth="1"/>
    <col min="7964" max="8196" width="8.88671875" style="4"/>
    <col min="8197" max="8197" width="7.5546875" style="4" customWidth="1"/>
    <col min="8198" max="8198" width="7.33203125" style="4" customWidth="1"/>
    <col min="8199" max="8199" width="9.6640625" style="4" customWidth="1"/>
    <col min="8200" max="8201" width="6.6640625" style="4" customWidth="1"/>
    <col min="8202" max="8211" width="6.33203125" style="4" customWidth="1"/>
    <col min="8212" max="8212" width="9.109375" style="4" customWidth="1"/>
    <col min="8213" max="8218" width="7.6640625" style="4" customWidth="1"/>
    <col min="8219" max="8219" width="1.88671875" style="4" customWidth="1"/>
    <col min="8220" max="8452" width="8.88671875" style="4"/>
    <col min="8453" max="8453" width="7.5546875" style="4" customWidth="1"/>
    <col min="8454" max="8454" width="7.33203125" style="4" customWidth="1"/>
    <col min="8455" max="8455" width="9.6640625" style="4" customWidth="1"/>
    <col min="8456" max="8457" width="6.6640625" style="4" customWidth="1"/>
    <col min="8458" max="8467" width="6.33203125" style="4" customWidth="1"/>
    <col min="8468" max="8468" width="9.109375" style="4" customWidth="1"/>
    <col min="8469" max="8474" width="7.6640625" style="4" customWidth="1"/>
    <col min="8475" max="8475" width="1.88671875" style="4" customWidth="1"/>
    <col min="8476" max="8708" width="8.88671875" style="4"/>
    <col min="8709" max="8709" width="7.5546875" style="4" customWidth="1"/>
    <col min="8710" max="8710" width="7.33203125" style="4" customWidth="1"/>
    <col min="8711" max="8711" width="9.6640625" style="4" customWidth="1"/>
    <col min="8712" max="8713" width="6.6640625" style="4" customWidth="1"/>
    <col min="8714" max="8723" width="6.33203125" style="4" customWidth="1"/>
    <col min="8724" max="8724" width="9.109375" style="4" customWidth="1"/>
    <col min="8725" max="8730" width="7.6640625" style="4" customWidth="1"/>
    <col min="8731" max="8731" width="1.88671875" style="4" customWidth="1"/>
    <col min="8732" max="8964" width="8.88671875" style="4"/>
    <col min="8965" max="8965" width="7.5546875" style="4" customWidth="1"/>
    <col min="8966" max="8966" width="7.33203125" style="4" customWidth="1"/>
    <col min="8967" max="8967" width="9.6640625" style="4" customWidth="1"/>
    <col min="8968" max="8969" width="6.6640625" style="4" customWidth="1"/>
    <col min="8970" max="8979" width="6.33203125" style="4" customWidth="1"/>
    <col min="8980" max="8980" width="9.109375" style="4" customWidth="1"/>
    <col min="8981" max="8986" width="7.6640625" style="4" customWidth="1"/>
    <col min="8987" max="8987" width="1.88671875" style="4" customWidth="1"/>
    <col min="8988" max="9220" width="8.88671875" style="4"/>
    <col min="9221" max="9221" width="7.5546875" style="4" customWidth="1"/>
    <col min="9222" max="9222" width="7.33203125" style="4" customWidth="1"/>
    <col min="9223" max="9223" width="9.6640625" style="4" customWidth="1"/>
    <col min="9224" max="9225" width="6.6640625" style="4" customWidth="1"/>
    <col min="9226" max="9235" width="6.33203125" style="4" customWidth="1"/>
    <col min="9236" max="9236" width="9.109375" style="4" customWidth="1"/>
    <col min="9237" max="9242" width="7.6640625" style="4" customWidth="1"/>
    <col min="9243" max="9243" width="1.88671875" style="4" customWidth="1"/>
    <col min="9244" max="9476" width="8.88671875" style="4"/>
    <col min="9477" max="9477" width="7.5546875" style="4" customWidth="1"/>
    <col min="9478" max="9478" width="7.33203125" style="4" customWidth="1"/>
    <col min="9479" max="9479" width="9.6640625" style="4" customWidth="1"/>
    <col min="9480" max="9481" width="6.6640625" style="4" customWidth="1"/>
    <col min="9482" max="9491" width="6.33203125" style="4" customWidth="1"/>
    <col min="9492" max="9492" width="9.109375" style="4" customWidth="1"/>
    <col min="9493" max="9498" width="7.6640625" style="4" customWidth="1"/>
    <col min="9499" max="9499" width="1.88671875" style="4" customWidth="1"/>
    <col min="9500" max="9732" width="8.88671875" style="4"/>
    <col min="9733" max="9733" width="7.5546875" style="4" customWidth="1"/>
    <col min="9734" max="9734" width="7.33203125" style="4" customWidth="1"/>
    <col min="9735" max="9735" width="9.6640625" style="4" customWidth="1"/>
    <col min="9736" max="9737" width="6.6640625" style="4" customWidth="1"/>
    <col min="9738" max="9747" width="6.33203125" style="4" customWidth="1"/>
    <col min="9748" max="9748" width="9.109375" style="4" customWidth="1"/>
    <col min="9749" max="9754" width="7.6640625" style="4" customWidth="1"/>
    <col min="9755" max="9755" width="1.88671875" style="4" customWidth="1"/>
    <col min="9756" max="9988" width="8.88671875" style="4"/>
    <col min="9989" max="9989" width="7.5546875" style="4" customWidth="1"/>
    <col min="9990" max="9990" width="7.33203125" style="4" customWidth="1"/>
    <col min="9991" max="9991" width="9.6640625" style="4" customWidth="1"/>
    <col min="9992" max="9993" width="6.6640625" style="4" customWidth="1"/>
    <col min="9994" max="10003" width="6.33203125" style="4" customWidth="1"/>
    <col min="10004" max="10004" width="9.109375" style="4" customWidth="1"/>
    <col min="10005" max="10010" width="7.6640625" style="4" customWidth="1"/>
    <col min="10011" max="10011" width="1.88671875" style="4" customWidth="1"/>
    <col min="10012" max="10244" width="8.88671875" style="4"/>
    <col min="10245" max="10245" width="7.5546875" style="4" customWidth="1"/>
    <col min="10246" max="10246" width="7.33203125" style="4" customWidth="1"/>
    <col min="10247" max="10247" width="9.6640625" style="4" customWidth="1"/>
    <col min="10248" max="10249" width="6.6640625" style="4" customWidth="1"/>
    <col min="10250" max="10259" width="6.33203125" style="4" customWidth="1"/>
    <col min="10260" max="10260" width="9.109375" style="4" customWidth="1"/>
    <col min="10261" max="10266" width="7.6640625" style="4" customWidth="1"/>
    <col min="10267" max="10267" width="1.88671875" style="4" customWidth="1"/>
    <col min="10268" max="10500" width="8.88671875" style="4"/>
    <col min="10501" max="10501" width="7.5546875" style="4" customWidth="1"/>
    <col min="10502" max="10502" width="7.33203125" style="4" customWidth="1"/>
    <col min="10503" max="10503" width="9.6640625" style="4" customWidth="1"/>
    <col min="10504" max="10505" width="6.6640625" style="4" customWidth="1"/>
    <col min="10506" max="10515" width="6.33203125" style="4" customWidth="1"/>
    <col min="10516" max="10516" width="9.109375" style="4" customWidth="1"/>
    <col min="10517" max="10522" width="7.6640625" style="4" customWidth="1"/>
    <col min="10523" max="10523" width="1.88671875" style="4" customWidth="1"/>
    <col min="10524" max="10756" width="8.88671875" style="4"/>
    <col min="10757" max="10757" width="7.5546875" style="4" customWidth="1"/>
    <col min="10758" max="10758" width="7.33203125" style="4" customWidth="1"/>
    <col min="10759" max="10759" width="9.6640625" style="4" customWidth="1"/>
    <col min="10760" max="10761" width="6.6640625" style="4" customWidth="1"/>
    <col min="10762" max="10771" width="6.33203125" style="4" customWidth="1"/>
    <col min="10772" max="10772" width="9.109375" style="4" customWidth="1"/>
    <col min="10773" max="10778" width="7.6640625" style="4" customWidth="1"/>
    <col min="10779" max="10779" width="1.88671875" style="4" customWidth="1"/>
    <col min="10780" max="11012" width="8.88671875" style="4"/>
    <col min="11013" max="11013" width="7.5546875" style="4" customWidth="1"/>
    <col min="11014" max="11014" width="7.33203125" style="4" customWidth="1"/>
    <col min="11015" max="11015" width="9.6640625" style="4" customWidth="1"/>
    <col min="11016" max="11017" width="6.6640625" style="4" customWidth="1"/>
    <col min="11018" max="11027" width="6.33203125" style="4" customWidth="1"/>
    <col min="11028" max="11028" width="9.109375" style="4" customWidth="1"/>
    <col min="11029" max="11034" width="7.6640625" style="4" customWidth="1"/>
    <col min="11035" max="11035" width="1.88671875" style="4" customWidth="1"/>
    <col min="11036" max="11268" width="8.88671875" style="4"/>
    <col min="11269" max="11269" width="7.5546875" style="4" customWidth="1"/>
    <col min="11270" max="11270" width="7.33203125" style="4" customWidth="1"/>
    <col min="11271" max="11271" width="9.6640625" style="4" customWidth="1"/>
    <col min="11272" max="11273" width="6.6640625" style="4" customWidth="1"/>
    <col min="11274" max="11283" width="6.33203125" style="4" customWidth="1"/>
    <col min="11284" max="11284" width="9.109375" style="4" customWidth="1"/>
    <col min="11285" max="11290" width="7.6640625" style="4" customWidth="1"/>
    <col min="11291" max="11291" width="1.88671875" style="4" customWidth="1"/>
    <col min="11292" max="11524" width="8.88671875" style="4"/>
    <col min="11525" max="11525" width="7.5546875" style="4" customWidth="1"/>
    <col min="11526" max="11526" width="7.33203125" style="4" customWidth="1"/>
    <col min="11527" max="11527" width="9.6640625" style="4" customWidth="1"/>
    <col min="11528" max="11529" width="6.6640625" style="4" customWidth="1"/>
    <col min="11530" max="11539" width="6.33203125" style="4" customWidth="1"/>
    <col min="11540" max="11540" width="9.109375" style="4" customWidth="1"/>
    <col min="11541" max="11546" width="7.6640625" style="4" customWidth="1"/>
    <col min="11547" max="11547" width="1.88671875" style="4" customWidth="1"/>
    <col min="11548" max="11780" width="8.88671875" style="4"/>
    <col min="11781" max="11781" width="7.5546875" style="4" customWidth="1"/>
    <col min="11782" max="11782" width="7.33203125" style="4" customWidth="1"/>
    <col min="11783" max="11783" width="9.6640625" style="4" customWidth="1"/>
    <col min="11784" max="11785" width="6.6640625" style="4" customWidth="1"/>
    <col min="11786" max="11795" width="6.33203125" style="4" customWidth="1"/>
    <col min="11796" max="11796" width="9.109375" style="4" customWidth="1"/>
    <col min="11797" max="11802" width="7.6640625" style="4" customWidth="1"/>
    <col min="11803" max="11803" width="1.88671875" style="4" customWidth="1"/>
    <col min="11804" max="12036" width="8.88671875" style="4"/>
    <col min="12037" max="12037" width="7.5546875" style="4" customWidth="1"/>
    <col min="12038" max="12038" width="7.33203125" style="4" customWidth="1"/>
    <col min="12039" max="12039" width="9.6640625" style="4" customWidth="1"/>
    <col min="12040" max="12041" width="6.6640625" style="4" customWidth="1"/>
    <col min="12042" max="12051" width="6.33203125" style="4" customWidth="1"/>
    <col min="12052" max="12052" width="9.109375" style="4" customWidth="1"/>
    <col min="12053" max="12058" width="7.6640625" style="4" customWidth="1"/>
    <col min="12059" max="12059" width="1.88671875" style="4" customWidth="1"/>
    <col min="12060" max="12292" width="8.88671875" style="4"/>
    <col min="12293" max="12293" width="7.5546875" style="4" customWidth="1"/>
    <col min="12294" max="12294" width="7.33203125" style="4" customWidth="1"/>
    <col min="12295" max="12295" width="9.6640625" style="4" customWidth="1"/>
    <col min="12296" max="12297" width="6.6640625" style="4" customWidth="1"/>
    <col min="12298" max="12307" width="6.33203125" style="4" customWidth="1"/>
    <col min="12308" max="12308" width="9.109375" style="4" customWidth="1"/>
    <col min="12309" max="12314" width="7.6640625" style="4" customWidth="1"/>
    <col min="12315" max="12315" width="1.88671875" style="4" customWidth="1"/>
    <col min="12316" max="12548" width="8.88671875" style="4"/>
    <col min="12549" max="12549" width="7.5546875" style="4" customWidth="1"/>
    <col min="12550" max="12550" width="7.33203125" style="4" customWidth="1"/>
    <col min="12551" max="12551" width="9.6640625" style="4" customWidth="1"/>
    <col min="12552" max="12553" width="6.6640625" style="4" customWidth="1"/>
    <col min="12554" max="12563" width="6.33203125" style="4" customWidth="1"/>
    <col min="12564" max="12564" width="9.109375" style="4" customWidth="1"/>
    <col min="12565" max="12570" width="7.6640625" style="4" customWidth="1"/>
    <col min="12571" max="12571" width="1.88671875" style="4" customWidth="1"/>
    <col min="12572" max="12804" width="8.88671875" style="4"/>
    <col min="12805" max="12805" width="7.5546875" style="4" customWidth="1"/>
    <col min="12806" max="12806" width="7.33203125" style="4" customWidth="1"/>
    <col min="12807" max="12807" width="9.6640625" style="4" customWidth="1"/>
    <col min="12808" max="12809" width="6.6640625" style="4" customWidth="1"/>
    <col min="12810" max="12819" width="6.33203125" style="4" customWidth="1"/>
    <col min="12820" max="12820" width="9.109375" style="4" customWidth="1"/>
    <col min="12821" max="12826" width="7.6640625" style="4" customWidth="1"/>
    <col min="12827" max="12827" width="1.88671875" style="4" customWidth="1"/>
    <col min="12828" max="13060" width="8.88671875" style="4"/>
    <col min="13061" max="13061" width="7.5546875" style="4" customWidth="1"/>
    <col min="13062" max="13062" width="7.33203125" style="4" customWidth="1"/>
    <col min="13063" max="13063" width="9.6640625" style="4" customWidth="1"/>
    <col min="13064" max="13065" width="6.6640625" style="4" customWidth="1"/>
    <col min="13066" max="13075" width="6.33203125" style="4" customWidth="1"/>
    <col min="13076" max="13076" width="9.109375" style="4" customWidth="1"/>
    <col min="13077" max="13082" width="7.6640625" style="4" customWidth="1"/>
    <col min="13083" max="13083" width="1.88671875" style="4" customWidth="1"/>
    <col min="13084" max="13316" width="8.88671875" style="4"/>
    <col min="13317" max="13317" width="7.5546875" style="4" customWidth="1"/>
    <col min="13318" max="13318" width="7.33203125" style="4" customWidth="1"/>
    <col min="13319" max="13319" width="9.6640625" style="4" customWidth="1"/>
    <col min="13320" max="13321" width="6.6640625" style="4" customWidth="1"/>
    <col min="13322" max="13331" width="6.33203125" style="4" customWidth="1"/>
    <col min="13332" max="13332" width="9.109375" style="4" customWidth="1"/>
    <col min="13333" max="13338" width="7.6640625" style="4" customWidth="1"/>
    <col min="13339" max="13339" width="1.88671875" style="4" customWidth="1"/>
    <col min="13340" max="13572" width="8.88671875" style="4"/>
    <col min="13573" max="13573" width="7.5546875" style="4" customWidth="1"/>
    <col min="13574" max="13574" width="7.33203125" style="4" customWidth="1"/>
    <col min="13575" max="13575" width="9.6640625" style="4" customWidth="1"/>
    <col min="13576" max="13577" width="6.6640625" style="4" customWidth="1"/>
    <col min="13578" max="13587" width="6.33203125" style="4" customWidth="1"/>
    <col min="13588" max="13588" width="9.109375" style="4" customWidth="1"/>
    <col min="13589" max="13594" width="7.6640625" style="4" customWidth="1"/>
    <col min="13595" max="13595" width="1.88671875" style="4" customWidth="1"/>
    <col min="13596" max="13828" width="8.88671875" style="4"/>
    <col min="13829" max="13829" width="7.5546875" style="4" customWidth="1"/>
    <col min="13830" max="13830" width="7.33203125" style="4" customWidth="1"/>
    <col min="13831" max="13831" width="9.6640625" style="4" customWidth="1"/>
    <col min="13832" max="13833" width="6.6640625" style="4" customWidth="1"/>
    <col min="13834" max="13843" width="6.33203125" style="4" customWidth="1"/>
    <col min="13844" max="13844" width="9.109375" style="4" customWidth="1"/>
    <col min="13845" max="13850" width="7.6640625" style="4" customWidth="1"/>
    <col min="13851" max="13851" width="1.88671875" style="4" customWidth="1"/>
    <col min="13852" max="14084" width="8.88671875" style="4"/>
    <col min="14085" max="14085" width="7.5546875" style="4" customWidth="1"/>
    <col min="14086" max="14086" width="7.33203125" style="4" customWidth="1"/>
    <col min="14087" max="14087" width="9.6640625" style="4" customWidth="1"/>
    <col min="14088" max="14089" width="6.6640625" style="4" customWidth="1"/>
    <col min="14090" max="14099" width="6.33203125" style="4" customWidth="1"/>
    <col min="14100" max="14100" width="9.109375" style="4" customWidth="1"/>
    <col min="14101" max="14106" width="7.6640625" style="4" customWidth="1"/>
    <col min="14107" max="14107" width="1.88671875" style="4" customWidth="1"/>
    <col min="14108" max="14340" width="8.88671875" style="4"/>
    <col min="14341" max="14341" width="7.5546875" style="4" customWidth="1"/>
    <col min="14342" max="14342" width="7.33203125" style="4" customWidth="1"/>
    <col min="14343" max="14343" width="9.6640625" style="4" customWidth="1"/>
    <col min="14344" max="14345" width="6.6640625" style="4" customWidth="1"/>
    <col min="14346" max="14355" width="6.33203125" style="4" customWidth="1"/>
    <col min="14356" max="14356" width="9.109375" style="4" customWidth="1"/>
    <col min="14357" max="14362" width="7.6640625" style="4" customWidth="1"/>
    <col min="14363" max="14363" width="1.88671875" style="4" customWidth="1"/>
    <col min="14364" max="14596" width="8.88671875" style="4"/>
    <col min="14597" max="14597" width="7.5546875" style="4" customWidth="1"/>
    <col min="14598" max="14598" width="7.33203125" style="4" customWidth="1"/>
    <col min="14599" max="14599" width="9.6640625" style="4" customWidth="1"/>
    <col min="14600" max="14601" width="6.6640625" style="4" customWidth="1"/>
    <col min="14602" max="14611" width="6.33203125" style="4" customWidth="1"/>
    <col min="14612" max="14612" width="9.109375" style="4" customWidth="1"/>
    <col min="14613" max="14618" width="7.6640625" style="4" customWidth="1"/>
    <col min="14619" max="14619" width="1.88671875" style="4" customWidth="1"/>
    <col min="14620" max="14852" width="8.88671875" style="4"/>
    <col min="14853" max="14853" width="7.5546875" style="4" customWidth="1"/>
    <col min="14854" max="14854" width="7.33203125" style="4" customWidth="1"/>
    <col min="14855" max="14855" width="9.6640625" style="4" customWidth="1"/>
    <col min="14856" max="14857" width="6.6640625" style="4" customWidth="1"/>
    <col min="14858" max="14867" width="6.33203125" style="4" customWidth="1"/>
    <col min="14868" max="14868" width="9.109375" style="4" customWidth="1"/>
    <col min="14869" max="14874" width="7.6640625" style="4" customWidth="1"/>
    <col min="14875" max="14875" width="1.88671875" style="4" customWidth="1"/>
    <col min="14876" max="15108" width="8.88671875" style="4"/>
    <col min="15109" max="15109" width="7.5546875" style="4" customWidth="1"/>
    <col min="15110" max="15110" width="7.33203125" style="4" customWidth="1"/>
    <col min="15111" max="15111" width="9.6640625" style="4" customWidth="1"/>
    <col min="15112" max="15113" width="6.6640625" style="4" customWidth="1"/>
    <col min="15114" max="15123" width="6.33203125" style="4" customWidth="1"/>
    <col min="15124" max="15124" width="9.109375" style="4" customWidth="1"/>
    <col min="15125" max="15130" width="7.6640625" style="4" customWidth="1"/>
    <col min="15131" max="15131" width="1.88671875" style="4" customWidth="1"/>
    <col min="15132" max="15364" width="8.88671875" style="4"/>
    <col min="15365" max="15365" width="7.5546875" style="4" customWidth="1"/>
    <col min="15366" max="15366" width="7.33203125" style="4" customWidth="1"/>
    <col min="15367" max="15367" width="9.6640625" style="4" customWidth="1"/>
    <col min="15368" max="15369" width="6.6640625" style="4" customWidth="1"/>
    <col min="15370" max="15379" width="6.33203125" style="4" customWidth="1"/>
    <col min="15380" max="15380" width="9.109375" style="4" customWidth="1"/>
    <col min="15381" max="15386" width="7.6640625" style="4" customWidth="1"/>
    <col min="15387" max="15387" width="1.88671875" style="4" customWidth="1"/>
    <col min="15388" max="15620" width="8.88671875" style="4"/>
    <col min="15621" max="15621" width="7.5546875" style="4" customWidth="1"/>
    <col min="15622" max="15622" width="7.33203125" style="4" customWidth="1"/>
    <col min="15623" max="15623" width="9.6640625" style="4" customWidth="1"/>
    <col min="15624" max="15625" width="6.6640625" style="4" customWidth="1"/>
    <col min="15626" max="15635" width="6.33203125" style="4" customWidth="1"/>
    <col min="15636" max="15636" width="9.109375" style="4" customWidth="1"/>
    <col min="15637" max="15642" width="7.6640625" style="4" customWidth="1"/>
    <col min="15643" max="15643" width="1.88671875" style="4" customWidth="1"/>
    <col min="15644" max="15876" width="8.88671875" style="4"/>
    <col min="15877" max="15877" width="7.5546875" style="4" customWidth="1"/>
    <col min="15878" max="15878" width="7.33203125" style="4" customWidth="1"/>
    <col min="15879" max="15879" width="9.6640625" style="4" customWidth="1"/>
    <col min="15880" max="15881" width="6.6640625" style="4" customWidth="1"/>
    <col min="15882" max="15891" width="6.33203125" style="4" customWidth="1"/>
    <col min="15892" max="15892" width="9.109375" style="4" customWidth="1"/>
    <col min="15893" max="15898" width="7.6640625" style="4" customWidth="1"/>
    <col min="15899" max="15899" width="1.88671875" style="4" customWidth="1"/>
    <col min="15900" max="16132" width="8.88671875" style="4"/>
    <col min="16133" max="16133" width="7.5546875" style="4" customWidth="1"/>
    <col min="16134" max="16134" width="7.33203125" style="4" customWidth="1"/>
    <col min="16135" max="16135" width="9.6640625" style="4" customWidth="1"/>
    <col min="16136" max="16137" width="6.6640625" style="4" customWidth="1"/>
    <col min="16138" max="16147" width="6.33203125" style="4" customWidth="1"/>
    <col min="16148" max="16148" width="9.109375" style="4" customWidth="1"/>
    <col min="16149" max="16154" width="7.6640625" style="4" customWidth="1"/>
    <col min="16155" max="16155" width="1.88671875" style="4" customWidth="1"/>
    <col min="16156" max="16384" width="8.88671875" style="4"/>
  </cols>
  <sheetData>
    <row r="1" spans="2:27" ht="8.25" customHeight="1"/>
    <row r="2" spans="2:27" ht="15" customHeight="1">
      <c r="C2" s="5" t="s">
        <v>0</v>
      </c>
    </row>
    <row r="3" spans="2:27" ht="15" customHeight="1">
      <c r="C3" s="5" t="s">
        <v>1</v>
      </c>
    </row>
    <row r="4" spans="2:27" ht="9" customHeight="1"/>
    <row r="5" spans="2:27" ht="6" customHeight="1"/>
    <row r="6" spans="2:27" ht="16.95" customHeight="1">
      <c r="B6" s="332" t="s">
        <v>159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8"/>
    </row>
    <row r="7" spans="2:27" ht="6.75" customHeight="1" thickBot="1"/>
    <row r="8" spans="2:27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spans="2:27" s="14" customFormat="1" ht="15" customHeight="1">
      <c r="B9" s="15" t="s">
        <v>3</v>
      </c>
      <c r="C9" s="16"/>
      <c r="D9" s="17"/>
      <c r="E9" s="17" t="s">
        <v>4</v>
      </c>
      <c r="F9" s="219" t="str">
        <f>'Link List'!D3</f>
        <v>044</v>
      </c>
      <c r="G9" s="17"/>
      <c r="H9" s="20"/>
      <c r="I9" s="21"/>
      <c r="J9" s="19"/>
      <c r="K9" s="20"/>
      <c r="L9" s="21"/>
      <c r="M9" s="19"/>
      <c r="N9" s="20"/>
      <c r="O9" s="21"/>
      <c r="P9" s="19"/>
      <c r="Q9" s="20"/>
      <c r="R9" s="21"/>
      <c r="S9" s="19"/>
      <c r="T9" s="20"/>
      <c r="U9" s="21"/>
      <c r="V9" s="19"/>
      <c r="W9" s="20"/>
      <c r="X9" s="21"/>
      <c r="Y9" s="19"/>
      <c r="Z9" s="22"/>
    </row>
    <row r="10" spans="2:27" s="14" customFormat="1" ht="6.9" customHeight="1" thickBot="1">
      <c r="B10" s="15"/>
      <c r="C10" s="16"/>
      <c r="D10" s="17"/>
      <c r="E10" s="17"/>
      <c r="F10" s="219"/>
      <c r="G10" s="17"/>
      <c r="H10" s="25"/>
      <c r="I10" s="25"/>
      <c r="J10" s="24"/>
      <c r="K10" s="25"/>
      <c r="L10" s="25"/>
      <c r="M10" s="24"/>
      <c r="N10" s="25"/>
      <c r="O10" s="25"/>
      <c r="P10" s="24"/>
      <c r="Q10" s="25"/>
      <c r="R10" s="25"/>
      <c r="S10" s="24"/>
      <c r="T10" s="25"/>
      <c r="U10" s="25"/>
      <c r="V10" s="24"/>
      <c r="W10" s="25"/>
      <c r="X10" s="25"/>
      <c r="Y10" s="24"/>
      <c r="Z10" s="26"/>
    </row>
    <row r="11" spans="2:27" s="14" customFormat="1" ht="6.9" customHeight="1">
      <c r="B11" s="9"/>
      <c r="C11" s="10"/>
      <c r="D11" s="11"/>
      <c r="E11" s="11"/>
      <c r="F11" s="220"/>
      <c r="G11" s="11"/>
      <c r="H11" s="12"/>
      <c r="I11" s="12"/>
      <c r="J11" s="28"/>
      <c r="K11" s="12"/>
      <c r="L11" s="12"/>
      <c r="M11" s="28"/>
      <c r="N11" s="12"/>
      <c r="O11" s="12"/>
      <c r="P11" s="28"/>
      <c r="Q11" s="12"/>
      <c r="R11" s="12"/>
      <c r="S11" s="28"/>
      <c r="T11" s="12"/>
      <c r="U11" s="12"/>
      <c r="V11" s="28"/>
      <c r="W11" s="12"/>
      <c r="X11" s="12"/>
      <c r="Y11" s="28"/>
      <c r="Z11" s="13"/>
    </row>
    <row r="12" spans="2:27" s="14" customFormat="1" ht="15" customHeight="1">
      <c r="B12" s="15" t="s">
        <v>5</v>
      </c>
      <c r="C12" s="16"/>
      <c r="D12" s="17"/>
      <c r="E12" s="17" t="s">
        <v>4</v>
      </c>
      <c r="F12" s="219" t="str">
        <f>'Link List'!F3</f>
        <v>SP TELUK KILUAN - SP. UMBAR</v>
      </c>
      <c r="G12" s="17"/>
      <c r="H12" s="30"/>
      <c r="I12" s="21"/>
      <c r="J12" s="29"/>
      <c r="K12" s="30"/>
      <c r="L12" s="21"/>
      <c r="M12" s="29"/>
      <c r="N12" s="30"/>
      <c r="O12" s="21"/>
      <c r="P12" s="29"/>
      <c r="Q12" s="30"/>
      <c r="R12" s="21"/>
      <c r="S12" s="29"/>
      <c r="T12" s="30"/>
      <c r="U12" s="21"/>
      <c r="V12" s="29"/>
      <c r="W12" s="30"/>
      <c r="X12" s="21"/>
      <c r="Y12" s="29"/>
      <c r="Z12" s="22"/>
    </row>
    <row r="13" spans="2:27" s="14" customFormat="1" ht="6.9" customHeight="1" thickBot="1">
      <c r="B13" s="15"/>
      <c r="C13" s="16"/>
      <c r="D13" s="31"/>
      <c r="E13" s="31"/>
      <c r="F13" s="221"/>
      <c r="G13" s="31"/>
      <c r="H13" s="25"/>
      <c r="I13" s="25"/>
      <c r="J13" s="24"/>
      <c r="K13" s="25"/>
      <c r="L13" s="25"/>
      <c r="M13" s="24"/>
      <c r="N13" s="25"/>
      <c r="O13" s="25"/>
      <c r="P13" s="24"/>
      <c r="Q13" s="25"/>
      <c r="R13" s="25"/>
      <c r="S13" s="24"/>
      <c r="T13" s="25"/>
      <c r="U13" s="25"/>
      <c r="V13" s="24"/>
      <c r="W13" s="25"/>
      <c r="X13" s="25"/>
      <c r="Y13" s="24"/>
      <c r="Z13" s="26"/>
    </row>
    <row r="14" spans="2:27" s="14" customFormat="1" ht="6.9" customHeight="1">
      <c r="B14" s="9"/>
      <c r="C14" s="10"/>
      <c r="D14" s="11"/>
      <c r="E14" s="11"/>
      <c r="F14" s="220"/>
      <c r="G14" s="11"/>
      <c r="H14" s="12"/>
      <c r="I14" s="12"/>
      <c r="J14" s="28"/>
      <c r="K14" s="12"/>
      <c r="L14" s="12"/>
      <c r="M14" s="28"/>
      <c r="N14" s="12"/>
      <c r="O14" s="12"/>
      <c r="P14" s="28"/>
      <c r="Q14" s="12"/>
      <c r="R14" s="12"/>
      <c r="S14" s="28"/>
      <c r="T14" s="12"/>
      <c r="U14" s="12"/>
      <c r="V14" s="28"/>
      <c r="W14" s="12"/>
      <c r="X14" s="12"/>
      <c r="Y14" s="28"/>
      <c r="Z14" s="13"/>
    </row>
    <row r="15" spans="2:27" s="14" customFormat="1" ht="15" customHeight="1">
      <c r="B15" s="15" t="s">
        <v>157</v>
      </c>
      <c r="C15" s="16"/>
      <c r="D15" s="17"/>
      <c r="E15" s="17" t="s">
        <v>4</v>
      </c>
      <c r="F15" s="219">
        <f>'Link List'!I3</f>
        <v>25.157</v>
      </c>
      <c r="G15" s="17"/>
      <c r="H15" s="30"/>
      <c r="I15" s="21"/>
      <c r="J15" s="92"/>
      <c r="K15" s="30"/>
      <c r="L15" s="21"/>
      <c r="M15" s="92"/>
      <c r="N15" s="30"/>
      <c r="O15" s="21"/>
      <c r="P15" s="92"/>
      <c r="Q15" s="30"/>
      <c r="R15" s="21"/>
      <c r="S15" s="92"/>
      <c r="T15" s="30"/>
      <c r="U15" s="21"/>
      <c r="V15" s="92"/>
      <c r="W15" s="30"/>
      <c r="X15" s="21"/>
      <c r="Y15" s="92"/>
      <c r="Z15" s="22"/>
    </row>
    <row r="16" spans="2:27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</row>
    <row r="17" spans="2:26" s="34" customFormat="1" ht="9.9" customHeight="1" thickBot="1">
      <c r="C17" s="35"/>
      <c r="D17" s="35"/>
      <c r="E17" s="35"/>
      <c r="F17" s="35"/>
      <c r="G17" s="35"/>
    </row>
    <row r="18" spans="2:26" s="34" customFormat="1" ht="25.2" customHeight="1" thickBot="1">
      <c r="B18" s="95"/>
      <c r="C18" s="333" t="s">
        <v>7</v>
      </c>
      <c r="D18" s="333"/>
      <c r="E18" s="334"/>
      <c r="F18" s="335" t="s">
        <v>170</v>
      </c>
      <c r="G18" s="337" t="s">
        <v>173</v>
      </c>
      <c r="H18" s="346" t="s">
        <v>203</v>
      </c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  <c r="Z18" s="347" t="s">
        <v>11</v>
      </c>
    </row>
    <row r="19" spans="2:26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36"/>
      <c r="G19" s="338"/>
      <c r="H19" s="107" t="s">
        <v>15</v>
      </c>
      <c r="I19" s="108" t="s">
        <v>16</v>
      </c>
      <c r="J19" s="109" t="s">
        <v>204</v>
      </c>
      <c r="K19" s="107" t="s">
        <v>15</v>
      </c>
      <c r="L19" s="108" t="s">
        <v>16</v>
      </c>
      <c r="M19" s="109" t="s">
        <v>207</v>
      </c>
      <c r="N19" s="107" t="s">
        <v>15</v>
      </c>
      <c r="O19" s="108" t="s">
        <v>16</v>
      </c>
      <c r="P19" s="109" t="s">
        <v>205</v>
      </c>
      <c r="Q19" s="107" t="s">
        <v>15</v>
      </c>
      <c r="R19" s="108" t="s">
        <v>16</v>
      </c>
      <c r="S19" s="109" t="s">
        <v>206</v>
      </c>
      <c r="T19" s="352" t="s">
        <v>208</v>
      </c>
      <c r="U19" s="353"/>
      <c r="V19" s="354"/>
      <c r="W19" s="352" t="s">
        <v>209</v>
      </c>
      <c r="X19" s="353"/>
      <c r="Y19" s="353"/>
      <c r="Z19" s="348"/>
    </row>
    <row r="20" spans="2:26" s="103" customFormat="1" ht="12" customHeight="1">
      <c r="B20" s="329">
        <v>1</v>
      </c>
      <c r="C20" s="330"/>
      <c r="D20" s="330"/>
      <c r="E20" s="330"/>
      <c r="F20" s="330"/>
      <c r="G20" s="331"/>
      <c r="H20" s="329">
        <v>2</v>
      </c>
      <c r="I20" s="330"/>
      <c r="J20" s="331"/>
      <c r="K20" s="329">
        <v>3</v>
      </c>
      <c r="L20" s="330"/>
      <c r="M20" s="331"/>
      <c r="N20" s="329">
        <v>4</v>
      </c>
      <c r="O20" s="330"/>
      <c r="P20" s="331"/>
      <c r="Q20" s="329">
        <v>5</v>
      </c>
      <c r="R20" s="330"/>
      <c r="S20" s="331"/>
      <c r="T20" s="329"/>
      <c r="U20" s="330"/>
      <c r="V20" s="331"/>
      <c r="W20" s="329">
        <v>7</v>
      </c>
      <c r="X20" s="330"/>
      <c r="Y20" s="330"/>
      <c r="Z20" s="149">
        <v>8</v>
      </c>
    </row>
    <row r="21" spans="2:26" s="35" customFormat="1" ht="17.100000000000001" customHeight="1">
      <c r="B21" s="105"/>
      <c r="C21" s="54">
        <f>'2. Rekap Back Up Beton'!C21</f>
        <v>0</v>
      </c>
      <c r="D21" s="96">
        <f>'2. Rekap Back Up Beton'!D21</f>
        <v>100</v>
      </c>
      <c r="E21" s="111">
        <f>'2. Rekap Back Up Beton'!E21</f>
        <v>5</v>
      </c>
      <c r="F21" s="112">
        <f>(100/((D21-C21)*E21))*((J28*0.5)+(M28*1)+(P28*2)+(S28*20)+(V28*15)+(Y28*1.5))</f>
        <v>0</v>
      </c>
      <c r="G21" s="113" t="str">
        <f>IF(F21&lt;=25,"B",IF(F21&lt;=75,"S",IF(F21&lt;=100,"RR","RB")))</f>
        <v>B</v>
      </c>
      <c r="H21" s="100">
        <v>0</v>
      </c>
      <c r="I21" s="98">
        <v>0</v>
      </c>
      <c r="J21" s="101">
        <f t="shared" ref="J21:J27" si="0">H21*I21</f>
        <v>0</v>
      </c>
      <c r="K21" s="100">
        <v>0</v>
      </c>
      <c r="L21" s="98">
        <v>0</v>
      </c>
      <c r="M21" s="101">
        <f t="shared" ref="M21:M27" si="1">K21*L21</f>
        <v>0</v>
      </c>
      <c r="N21" s="100">
        <v>0</v>
      </c>
      <c r="O21" s="98">
        <v>0</v>
      </c>
      <c r="P21" s="101">
        <f t="shared" ref="P21:P27" si="2">N21*O21</f>
        <v>0</v>
      </c>
      <c r="Q21" s="100">
        <v>0</v>
      </c>
      <c r="R21" s="98">
        <v>0</v>
      </c>
      <c r="S21" s="101">
        <f t="shared" ref="S21:S27" si="3">Q21*R21</f>
        <v>0</v>
      </c>
      <c r="T21" s="100">
        <v>0</v>
      </c>
      <c r="U21" s="98">
        <v>0</v>
      </c>
      <c r="V21" s="101">
        <f>T21*U21</f>
        <v>0</v>
      </c>
      <c r="W21" s="100">
        <v>0</v>
      </c>
      <c r="X21" s="98">
        <v>0</v>
      </c>
      <c r="Y21" s="147">
        <f t="shared" ref="Y21:Y27" si="4">W21*X21</f>
        <v>0</v>
      </c>
      <c r="Z21" s="150"/>
    </row>
    <row r="22" spans="2:26" s="35" customFormat="1" ht="17.100000000000001" customHeight="1">
      <c r="B22" s="105"/>
      <c r="C22" s="54"/>
      <c r="D22" s="96"/>
      <c r="E22" s="111"/>
      <c r="F22" s="112"/>
      <c r="G22" s="113"/>
      <c r="H22" s="100">
        <v>0</v>
      </c>
      <c r="I22" s="98">
        <v>0</v>
      </c>
      <c r="J22" s="101">
        <f t="shared" si="0"/>
        <v>0</v>
      </c>
      <c r="K22" s="100">
        <v>0</v>
      </c>
      <c r="L22" s="98">
        <v>0</v>
      </c>
      <c r="M22" s="101">
        <f t="shared" si="1"/>
        <v>0</v>
      </c>
      <c r="N22" s="100">
        <v>0</v>
      </c>
      <c r="O22" s="98">
        <v>0</v>
      </c>
      <c r="P22" s="101">
        <f t="shared" si="2"/>
        <v>0</v>
      </c>
      <c r="Q22" s="100">
        <v>0</v>
      </c>
      <c r="R22" s="98">
        <v>0</v>
      </c>
      <c r="S22" s="101">
        <f t="shared" si="3"/>
        <v>0</v>
      </c>
      <c r="T22" s="100">
        <v>0</v>
      </c>
      <c r="U22" s="98">
        <v>0</v>
      </c>
      <c r="V22" s="101">
        <f t="shared" ref="V22:V27" si="5">T22*U22</f>
        <v>0</v>
      </c>
      <c r="W22" s="100">
        <v>0</v>
      </c>
      <c r="X22" s="98">
        <v>0</v>
      </c>
      <c r="Y22" s="147">
        <f t="shared" si="4"/>
        <v>0</v>
      </c>
      <c r="Z22" s="150"/>
    </row>
    <row r="23" spans="2:26" s="35" customFormat="1" ht="17.100000000000001" customHeight="1">
      <c r="B23" s="105"/>
      <c r="C23" s="54"/>
      <c r="D23" s="96"/>
      <c r="E23" s="111"/>
      <c r="F23" s="112"/>
      <c r="G23" s="113"/>
      <c r="H23" s="100">
        <v>0</v>
      </c>
      <c r="I23" s="98">
        <v>0</v>
      </c>
      <c r="J23" s="101">
        <f t="shared" si="0"/>
        <v>0</v>
      </c>
      <c r="K23" s="100">
        <v>0</v>
      </c>
      <c r="L23" s="98">
        <v>0</v>
      </c>
      <c r="M23" s="101">
        <f t="shared" si="1"/>
        <v>0</v>
      </c>
      <c r="N23" s="100">
        <v>0</v>
      </c>
      <c r="O23" s="98">
        <v>0</v>
      </c>
      <c r="P23" s="101">
        <f t="shared" si="2"/>
        <v>0</v>
      </c>
      <c r="Q23" s="100">
        <v>0</v>
      </c>
      <c r="R23" s="98">
        <v>0</v>
      </c>
      <c r="S23" s="101">
        <f t="shared" si="3"/>
        <v>0</v>
      </c>
      <c r="T23" s="100">
        <v>0</v>
      </c>
      <c r="U23" s="98">
        <v>0</v>
      </c>
      <c r="V23" s="101">
        <f t="shared" si="5"/>
        <v>0</v>
      </c>
      <c r="W23" s="100">
        <v>0</v>
      </c>
      <c r="X23" s="98">
        <v>0</v>
      </c>
      <c r="Y23" s="147">
        <f t="shared" si="4"/>
        <v>0</v>
      </c>
      <c r="Z23" s="150"/>
    </row>
    <row r="24" spans="2:26" s="35" customFormat="1" ht="17.100000000000001" customHeight="1">
      <c r="B24" s="105"/>
      <c r="C24" s="54"/>
      <c r="D24" s="96"/>
      <c r="E24" s="111"/>
      <c r="F24" s="112"/>
      <c r="G24" s="113"/>
      <c r="H24" s="100">
        <v>0</v>
      </c>
      <c r="I24" s="98">
        <v>0</v>
      </c>
      <c r="J24" s="101">
        <f t="shared" si="0"/>
        <v>0</v>
      </c>
      <c r="K24" s="100">
        <v>0</v>
      </c>
      <c r="L24" s="98">
        <v>0</v>
      </c>
      <c r="M24" s="101">
        <f t="shared" si="1"/>
        <v>0</v>
      </c>
      <c r="N24" s="100">
        <v>0</v>
      </c>
      <c r="O24" s="98">
        <v>0</v>
      </c>
      <c r="P24" s="101">
        <f t="shared" si="2"/>
        <v>0</v>
      </c>
      <c r="Q24" s="100">
        <v>0</v>
      </c>
      <c r="R24" s="98">
        <v>0</v>
      </c>
      <c r="S24" s="101">
        <f t="shared" si="3"/>
        <v>0</v>
      </c>
      <c r="T24" s="100">
        <v>0</v>
      </c>
      <c r="U24" s="98">
        <v>0</v>
      </c>
      <c r="V24" s="101">
        <f t="shared" si="5"/>
        <v>0</v>
      </c>
      <c r="W24" s="100">
        <v>0</v>
      </c>
      <c r="X24" s="98">
        <v>0</v>
      </c>
      <c r="Y24" s="147">
        <f t="shared" si="4"/>
        <v>0</v>
      </c>
      <c r="Z24" s="150"/>
    </row>
    <row r="25" spans="2:26" s="35" customFormat="1" ht="17.100000000000001" customHeight="1">
      <c r="B25" s="105"/>
      <c r="C25" s="54"/>
      <c r="D25" s="96"/>
      <c r="E25" s="111"/>
      <c r="F25" s="112"/>
      <c r="G25" s="113"/>
      <c r="H25" s="100">
        <v>0</v>
      </c>
      <c r="I25" s="98">
        <v>0</v>
      </c>
      <c r="J25" s="101">
        <f t="shared" si="0"/>
        <v>0</v>
      </c>
      <c r="K25" s="100">
        <v>0</v>
      </c>
      <c r="L25" s="98">
        <v>0</v>
      </c>
      <c r="M25" s="101">
        <f t="shared" si="1"/>
        <v>0</v>
      </c>
      <c r="N25" s="100">
        <v>0</v>
      </c>
      <c r="O25" s="98">
        <v>0</v>
      </c>
      <c r="P25" s="101">
        <f t="shared" si="2"/>
        <v>0</v>
      </c>
      <c r="Q25" s="100">
        <v>0</v>
      </c>
      <c r="R25" s="98">
        <v>0</v>
      </c>
      <c r="S25" s="101">
        <f t="shared" si="3"/>
        <v>0</v>
      </c>
      <c r="T25" s="100">
        <v>0</v>
      </c>
      <c r="U25" s="98">
        <v>0</v>
      </c>
      <c r="V25" s="101">
        <f t="shared" si="5"/>
        <v>0</v>
      </c>
      <c r="W25" s="100">
        <v>0</v>
      </c>
      <c r="X25" s="98">
        <v>0</v>
      </c>
      <c r="Y25" s="147">
        <f t="shared" si="4"/>
        <v>0</v>
      </c>
      <c r="Z25" s="150"/>
    </row>
    <row r="26" spans="2:26" s="35" customFormat="1" ht="17.100000000000001" customHeight="1">
      <c r="B26" s="105"/>
      <c r="C26" s="54"/>
      <c r="D26" s="96"/>
      <c r="E26" s="111"/>
      <c r="F26" s="112"/>
      <c r="G26" s="113"/>
      <c r="H26" s="100">
        <v>0</v>
      </c>
      <c r="I26" s="98">
        <v>0</v>
      </c>
      <c r="J26" s="101">
        <f t="shared" si="0"/>
        <v>0</v>
      </c>
      <c r="K26" s="100">
        <v>0</v>
      </c>
      <c r="L26" s="98">
        <v>0</v>
      </c>
      <c r="M26" s="101">
        <f t="shared" si="1"/>
        <v>0</v>
      </c>
      <c r="N26" s="100">
        <v>0</v>
      </c>
      <c r="O26" s="98">
        <v>0</v>
      </c>
      <c r="P26" s="101">
        <f t="shared" si="2"/>
        <v>0</v>
      </c>
      <c r="Q26" s="100">
        <v>0</v>
      </c>
      <c r="R26" s="98">
        <v>0</v>
      </c>
      <c r="S26" s="101">
        <f t="shared" si="3"/>
        <v>0</v>
      </c>
      <c r="T26" s="100">
        <v>0</v>
      </c>
      <c r="U26" s="98">
        <v>0</v>
      </c>
      <c r="V26" s="101">
        <f t="shared" si="5"/>
        <v>0</v>
      </c>
      <c r="W26" s="100">
        <v>0</v>
      </c>
      <c r="X26" s="98">
        <v>0</v>
      </c>
      <c r="Y26" s="147">
        <f t="shared" si="4"/>
        <v>0</v>
      </c>
      <c r="Z26" s="150"/>
    </row>
    <row r="27" spans="2:26" s="35" customFormat="1" ht="17.100000000000001" customHeight="1">
      <c r="B27" s="105"/>
      <c r="C27" s="54"/>
      <c r="D27" s="96"/>
      <c r="E27" s="111"/>
      <c r="F27" s="112"/>
      <c r="G27" s="113"/>
      <c r="H27" s="100">
        <v>0</v>
      </c>
      <c r="I27" s="98">
        <v>0</v>
      </c>
      <c r="J27" s="101">
        <f t="shared" si="0"/>
        <v>0</v>
      </c>
      <c r="K27" s="100">
        <v>0</v>
      </c>
      <c r="L27" s="98">
        <v>0</v>
      </c>
      <c r="M27" s="101">
        <f t="shared" si="1"/>
        <v>0</v>
      </c>
      <c r="N27" s="100">
        <v>0</v>
      </c>
      <c r="O27" s="98">
        <v>0</v>
      </c>
      <c r="P27" s="101">
        <f t="shared" si="2"/>
        <v>0</v>
      </c>
      <c r="Q27" s="100">
        <v>0</v>
      </c>
      <c r="R27" s="98">
        <v>0</v>
      </c>
      <c r="S27" s="101">
        <f t="shared" si="3"/>
        <v>0</v>
      </c>
      <c r="T27" s="100">
        <v>0</v>
      </c>
      <c r="U27" s="98">
        <v>0</v>
      </c>
      <c r="V27" s="101">
        <f t="shared" si="5"/>
        <v>0</v>
      </c>
      <c r="W27" s="100">
        <v>0</v>
      </c>
      <c r="X27" s="98">
        <v>0</v>
      </c>
      <c r="Y27" s="147">
        <f t="shared" si="4"/>
        <v>0</v>
      </c>
      <c r="Z27" s="150"/>
    </row>
    <row r="28" spans="2:26" s="126" customFormat="1" ht="17.100000000000001" customHeight="1">
      <c r="B28" s="118"/>
      <c r="C28" s="119"/>
      <c r="D28" s="120"/>
      <c r="E28" s="121"/>
      <c r="F28" s="122"/>
      <c r="G28" s="123"/>
      <c r="H28" s="341" t="s">
        <v>201</v>
      </c>
      <c r="I28" s="342"/>
      <c r="J28" s="124">
        <f>SUM(J21:J27)</f>
        <v>0</v>
      </c>
      <c r="K28" s="341" t="s">
        <v>201</v>
      </c>
      <c r="L28" s="342"/>
      <c r="M28" s="124">
        <f>SUM(M21:M27)</f>
        <v>0</v>
      </c>
      <c r="N28" s="341" t="s">
        <v>201</v>
      </c>
      <c r="O28" s="342"/>
      <c r="P28" s="124">
        <f>SUM(P21:P27)</f>
        <v>0</v>
      </c>
      <c r="Q28" s="341" t="s">
        <v>201</v>
      </c>
      <c r="R28" s="342"/>
      <c r="S28" s="124">
        <f>SUM(S21:S27)</f>
        <v>0</v>
      </c>
      <c r="T28" s="341" t="s">
        <v>201</v>
      </c>
      <c r="U28" s="342"/>
      <c r="V28" s="124">
        <f>SUM(V21:V27)</f>
        <v>0</v>
      </c>
      <c r="W28" s="341" t="s">
        <v>201</v>
      </c>
      <c r="X28" s="342"/>
      <c r="Y28" s="127">
        <f>SUM(Y21:Y27)</f>
        <v>0</v>
      </c>
      <c r="Z28" s="151"/>
    </row>
    <row r="29" spans="2:26" s="35" customFormat="1" ht="17.100000000000001" customHeight="1">
      <c r="B29" s="105"/>
      <c r="C29" s="54">
        <f>'2. Rekap Back Up Beton'!C22</f>
        <v>100</v>
      </c>
      <c r="D29" s="96">
        <f>'2. Rekap Back Up Beton'!D22</f>
        <v>200</v>
      </c>
      <c r="E29" s="111">
        <f>'2. Rekap Back Up Beton'!E22</f>
        <v>5</v>
      </c>
      <c r="F29" s="112">
        <f>(100/((D29-C29)*E29))*((J36*0.5)+(M36*1)+(P36*2)+(S36*20)+(V36*15)+(Y36*1.5))</f>
        <v>0</v>
      </c>
      <c r="G29" s="113" t="str">
        <f>IF(F29&lt;=25,"B",IF(F29&lt;=75,"S",IF(F29&lt;=100,"RR","RB")))</f>
        <v>B</v>
      </c>
      <c r="H29" s="100">
        <v>0</v>
      </c>
      <c r="I29" s="98">
        <v>0</v>
      </c>
      <c r="J29" s="101">
        <f t="shared" ref="J29:J35" si="6">H29*I29</f>
        <v>0</v>
      </c>
      <c r="K29" s="100">
        <v>0</v>
      </c>
      <c r="L29" s="98">
        <v>0</v>
      </c>
      <c r="M29" s="101">
        <f t="shared" ref="M29:M35" si="7">K29*L29</f>
        <v>0</v>
      </c>
      <c r="N29" s="100">
        <v>0</v>
      </c>
      <c r="O29" s="98">
        <v>4</v>
      </c>
      <c r="P29" s="101">
        <f t="shared" ref="P29:P35" si="8">N29*O29</f>
        <v>0</v>
      </c>
      <c r="Q29" s="100">
        <v>0</v>
      </c>
      <c r="R29" s="98">
        <v>0</v>
      </c>
      <c r="S29" s="101">
        <f t="shared" ref="S29:S35" si="9">Q29*R29</f>
        <v>0</v>
      </c>
      <c r="T29" s="100">
        <v>0</v>
      </c>
      <c r="U29" s="98">
        <v>0</v>
      </c>
      <c r="V29" s="101">
        <f>T29*U29</f>
        <v>0</v>
      </c>
      <c r="W29" s="100">
        <v>0</v>
      </c>
      <c r="X29" s="98">
        <v>0</v>
      </c>
      <c r="Y29" s="147">
        <f t="shared" ref="Y29:Y35" si="10">W29*X29</f>
        <v>0</v>
      </c>
      <c r="Z29" s="150"/>
    </row>
    <row r="30" spans="2:26" s="35" customFormat="1" ht="17.100000000000001" customHeight="1">
      <c r="B30" s="105"/>
      <c r="C30" s="54"/>
      <c r="D30" s="96"/>
      <c r="E30" s="111"/>
      <c r="F30" s="112"/>
      <c r="G30" s="113"/>
      <c r="H30" s="100">
        <v>0</v>
      </c>
      <c r="I30" s="98">
        <v>0</v>
      </c>
      <c r="J30" s="101">
        <f t="shared" si="6"/>
        <v>0</v>
      </c>
      <c r="K30" s="100">
        <v>0</v>
      </c>
      <c r="L30" s="98">
        <v>0</v>
      </c>
      <c r="M30" s="101">
        <f t="shared" si="7"/>
        <v>0</v>
      </c>
      <c r="N30" s="100">
        <v>0</v>
      </c>
      <c r="O30" s="98">
        <v>0</v>
      </c>
      <c r="P30" s="101">
        <f t="shared" si="8"/>
        <v>0</v>
      </c>
      <c r="Q30" s="100">
        <v>0</v>
      </c>
      <c r="R30" s="98">
        <v>0</v>
      </c>
      <c r="S30" s="101">
        <f t="shared" si="9"/>
        <v>0</v>
      </c>
      <c r="T30" s="100">
        <v>0</v>
      </c>
      <c r="U30" s="98">
        <v>0</v>
      </c>
      <c r="V30" s="101">
        <f t="shared" ref="V30:V35" si="11">T30*U30</f>
        <v>0</v>
      </c>
      <c r="W30" s="100">
        <v>0</v>
      </c>
      <c r="X30" s="98">
        <v>0</v>
      </c>
      <c r="Y30" s="147">
        <f t="shared" si="10"/>
        <v>0</v>
      </c>
      <c r="Z30" s="150"/>
    </row>
    <row r="31" spans="2:26" s="35" customFormat="1" ht="17.100000000000001" customHeight="1">
      <c r="B31" s="105"/>
      <c r="C31" s="54"/>
      <c r="D31" s="96"/>
      <c r="E31" s="111"/>
      <c r="F31" s="112"/>
      <c r="G31" s="113"/>
      <c r="H31" s="100">
        <v>0</v>
      </c>
      <c r="I31" s="98">
        <v>0</v>
      </c>
      <c r="J31" s="101">
        <f t="shared" si="6"/>
        <v>0</v>
      </c>
      <c r="K31" s="100">
        <v>0</v>
      </c>
      <c r="L31" s="98">
        <v>0</v>
      </c>
      <c r="M31" s="101">
        <f t="shared" si="7"/>
        <v>0</v>
      </c>
      <c r="N31" s="100">
        <v>0</v>
      </c>
      <c r="O31" s="98">
        <v>0</v>
      </c>
      <c r="P31" s="101">
        <f t="shared" si="8"/>
        <v>0</v>
      </c>
      <c r="Q31" s="100">
        <v>0</v>
      </c>
      <c r="R31" s="98">
        <v>0</v>
      </c>
      <c r="S31" s="101">
        <f t="shared" si="9"/>
        <v>0</v>
      </c>
      <c r="T31" s="100">
        <v>0</v>
      </c>
      <c r="U31" s="98">
        <v>0</v>
      </c>
      <c r="V31" s="101">
        <f t="shared" si="11"/>
        <v>0</v>
      </c>
      <c r="W31" s="100">
        <v>0</v>
      </c>
      <c r="X31" s="98">
        <v>0</v>
      </c>
      <c r="Y31" s="147">
        <f t="shared" si="10"/>
        <v>0</v>
      </c>
      <c r="Z31" s="150"/>
    </row>
    <row r="32" spans="2:26" s="35" customFormat="1" ht="17.100000000000001" customHeight="1">
      <c r="B32" s="105"/>
      <c r="C32" s="54"/>
      <c r="D32" s="96"/>
      <c r="E32" s="111"/>
      <c r="F32" s="112"/>
      <c r="G32" s="113"/>
      <c r="H32" s="100">
        <v>0</v>
      </c>
      <c r="I32" s="98">
        <v>0</v>
      </c>
      <c r="J32" s="101">
        <f t="shared" si="6"/>
        <v>0</v>
      </c>
      <c r="K32" s="100">
        <v>0</v>
      </c>
      <c r="L32" s="98">
        <v>0</v>
      </c>
      <c r="M32" s="101">
        <f t="shared" si="7"/>
        <v>0</v>
      </c>
      <c r="N32" s="100">
        <v>0</v>
      </c>
      <c r="O32" s="98">
        <v>0</v>
      </c>
      <c r="P32" s="101">
        <f t="shared" si="8"/>
        <v>0</v>
      </c>
      <c r="Q32" s="100">
        <v>0</v>
      </c>
      <c r="R32" s="98">
        <v>0</v>
      </c>
      <c r="S32" s="101">
        <f t="shared" si="9"/>
        <v>0</v>
      </c>
      <c r="T32" s="100">
        <v>0</v>
      </c>
      <c r="U32" s="98">
        <v>0</v>
      </c>
      <c r="V32" s="101">
        <f t="shared" si="11"/>
        <v>0</v>
      </c>
      <c r="W32" s="100">
        <v>0</v>
      </c>
      <c r="X32" s="98">
        <v>0</v>
      </c>
      <c r="Y32" s="147">
        <f t="shared" si="10"/>
        <v>0</v>
      </c>
      <c r="Z32" s="150"/>
    </row>
    <row r="33" spans="2:26" s="35" customFormat="1" ht="17.100000000000001" customHeight="1">
      <c r="B33" s="105"/>
      <c r="C33" s="54"/>
      <c r="D33" s="96"/>
      <c r="E33" s="111"/>
      <c r="F33" s="112"/>
      <c r="G33" s="113"/>
      <c r="H33" s="100">
        <v>0</v>
      </c>
      <c r="I33" s="98">
        <v>0</v>
      </c>
      <c r="J33" s="101">
        <f t="shared" si="6"/>
        <v>0</v>
      </c>
      <c r="K33" s="100">
        <v>0</v>
      </c>
      <c r="L33" s="98">
        <v>0</v>
      </c>
      <c r="M33" s="101">
        <f t="shared" si="7"/>
        <v>0</v>
      </c>
      <c r="N33" s="100">
        <v>0</v>
      </c>
      <c r="O33" s="98">
        <v>0</v>
      </c>
      <c r="P33" s="101">
        <f t="shared" si="8"/>
        <v>0</v>
      </c>
      <c r="Q33" s="100">
        <v>0</v>
      </c>
      <c r="R33" s="98">
        <v>0</v>
      </c>
      <c r="S33" s="101">
        <f t="shared" si="9"/>
        <v>0</v>
      </c>
      <c r="T33" s="100">
        <v>0</v>
      </c>
      <c r="U33" s="98">
        <v>0</v>
      </c>
      <c r="V33" s="101">
        <f t="shared" si="11"/>
        <v>0</v>
      </c>
      <c r="W33" s="100">
        <v>0</v>
      </c>
      <c r="X33" s="98">
        <v>0</v>
      </c>
      <c r="Y33" s="147">
        <f t="shared" si="10"/>
        <v>0</v>
      </c>
      <c r="Z33" s="150"/>
    </row>
    <row r="34" spans="2:26" s="35" customFormat="1" ht="17.100000000000001" customHeight="1">
      <c r="B34" s="105"/>
      <c r="C34" s="54"/>
      <c r="D34" s="96"/>
      <c r="E34" s="111"/>
      <c r="F34" s="112"/>
      <c r="G34" s="113"/>
      <c r="H34" s="100">
        <v>0</v>
      </c>
      <c r="I34" s="98">
        <v>0</v>
      </c>
      <c r="J34" s="101">
        <f t="shared" si="6"/>
        <v>0</v>
      </c>
      <c r="K34" s="100">
        <v>0</v>
      </c>
      <c r="L34" s="98">
        <v>0</v>
      </c>
      <c r="M34" s="101">
        <f t="shared" si="7"/>
        <v>0</v>
      </c>
      <c r="N34" s="100">
        <v>0</v>
      </c>
      <c r="O34" s="98">
        <v>0</v>
      </c>
      <c r="P34" s="101">
        <f t="shared" si="8"/>
        <v>0</v>
      </c>
      <c r="Q34" s="100">
        <v>0</v>
      </c>
      <c r="R34" s="98">
        <v>0</v>
      </c>
      <c r="S34" s="101">
        <f t="shared" si="9"/>
        <v>0</v>
      </c>
      <c r="T34" s="100">
        <v>0</v>
      </c>
      <c r="U34" s="98">
        <v>0</v>
      </c>
      <c r="V34" s="101">
        <f t="shared" si="11"/>
        <v>0</v>
      </c>
      <c r="W34" s="100">
        <v>0</v>
      </c>
      <c r="X34" s="98">
        <v>0</v>
      </c>
      <c r="Y34" s="147">
        <f t="shared" si="10"/>
        <v>0</v>
      </c>
      <c r="Z34" s="150"/>
    </row>
    <row r="35" spans="2:26" s="35" customFormat="1" ht="17.100000000000001" customHeight="1">
      <c r="B35" s="105"/>
      <c r="C35" s="54"/>
      <c r="D35" s="96"/>
      <c r="E35" s="111"/>
      <c r="F35" s="112"/>
      <c r="G35" s="113"/>
      <c r="H35" s="100">
        <v>0</v>
      </c>
      <c r="I35" s="98">
        <v>0</v>
      </c>
      <c r="J35" s="101">
        <f t="shared" si="6"/>
        <v>0</v>
      </c>
      <c r="K35" s="100">
        <v>0</v>
      </c>
      <c r="L35" s="98">
        <v>0</v>
      </c>
      <c r="M35" s="101">
        <f t="shared" si="7"/>
        <v>0</v>
      </c>
      <c r="N35" s="100">
        <v>0</v>
      </c>
      <c r="O35" s="98">
        <v>0</v>
      </c>
      <c r="P35" s="101">
        <f t="shared" si="8"/>
        <v>0</v>
      </c>
      <c r="Q35" s="100">
        <v>0</v>
      </c>
      <c r="R35" s="98">
        <v>0</v>
      </c>
      <c r="S35" s="101">
        <f t="shared" si="9"/>
        <v>0</v>
      </c>
      <c r="T35" s="100">
        <v>0</v>
      </c>
      <c r="U35" s="98">
        <v>0</v>
      </c>
      <c r="V35" s="101">
        <f t="shared" si="11"/>
        <v>0</v>
      </c>
      <c r="W35" s="100">
        <v>0</v>
      </c>
      <c r="X35" s="98">
        <v>0</v>
      </c>
      <c r="Y35" s="147">
        <f t="shared" si="10"/>
        <v>0</v>
      </c>
      <c r="Z35" s="150"/>
    </row>
    <row r="36" spans="2:26" s="126" customFormat="1" ht="17.100000000000001" customHeight="1">
      <c r="B36" s="118"/>
      <c r="C36" s="119"/>
      <c r="D36" s="120"/>
      <c r="E36" s="121"/>
      <c r="F36" s="122"/>
      <c r="G36" s="123"/>
      <c r="H36" s="341" t="s">
        <v>201</v>
      </c>
      <c r="I36" s="342"/>
      <c r="J36" s="124">
        <f>SUM(J29:J35)</f>
        <v>0</v>
      </c>
      <c r="K36" s="341" t="s">
        <v>201</v>
      </c>
      <c r="L36" s="342"/>
      <c r="M36" s="124">
        <f>SUM(M29:M35)</f>
        <v>0</v>
      </c>
      <c r="N36" s="341" t="s">
        <v>201</v>
      </c>
      <c r="O36" s="342"/>
      <c r="P36" s="124">
        <f>SUM(P29:P35)</f>
        <v>0</v>
      </c>
      <c r="Q36" s="341" t="s">
        <v>201</v>
      </c>
      <c r="R36" s="342"/>
      <c r="S36" s="124">
        <f>SUM(S29:S35)</f>
        <v>0</v>
      </c>
      <c r="T36" s="341" t="s">
        <v>201</v>
      </c>
      <c r="U36" s="342"/>
      <c r="V36" s="124">
        <f>SUM(V29:V35)</f>
        <v>0</v>
      </c>
      <c r="W36" s="341" t="s">
        <v>201</v>
      </c>
      <c r="X36" s="342"/>
      <c r="Y36" s="127">
        <f>SUM(Y29:Y35)</f>
        <v>0</v>
      </c>
      <c r="Z36" s="151"/>
    </row>
    <row r="37" spans="2:26" s="35" customFormat="1" ht="17.100000000000001" customHeight="1">
      <c r="B37" s="105"/>
      <c r="C37" s="54">
        <f>'2. Rekap Back Up Beton'!C23</f>
        <v>200</v>
      </c>
      <c r="D37" s="96">
        <f>'2. Rekap Back Up Beton'!D23</f>
        <v>300</v>
      </c>
      <c r="E37" s="111">
        <f>'2. Rekap Back Up Beton'!E23</f>
        <v>5</v>
      </c>
      <c r="F37" s="112">
        <f>(100/((D37-C37)*E37))*((J44*0.5)+(M44*1)+(P44*2)+(S44*20)+(V44*15)+(Y44*1.5))</f>
        <v>4</v>
      </c>
      <c r="G37" s="113" t="str">
        <f>IF(F37&lt;=25,"B",IF(F37&lt;=75,"S",IF(F37&lt;=100,"RR","RB")))</f>
        <v>B</v>
      </c>
      <c r="H37" s="100">
        <v>0</v>
      </c>
      <c r="I37" s="98">
        <v>0</v>
      </c>
      <c r="J37" s="101">
        <f t="shared" ref="J37:J43" si="12">H37*I37</f>
        <v>0</v>
      </c>
      <c r="K37" s="100">
        <v>0</v>
      </c>
      <c r="L37" s="98">
        <v>0</v>
      </c>
      <c r="M37" s="101">
        <f t="shared" ref="M37:M43" si="13">K37*L37</f>
        <v>0</v>
      </c>
      <c r="N37" s="100">
        <v>0</v>
      </c>
      <c r="O37" s="98">
        <v>4</v>
      </c>
      <c r="P37" s="101">
        <f t="shared" ref="P37:P43" si="14">N37*O37</f>
        <v>0</v>
      </c>
      <c r="Q37" s="100">
        <v>1</v>
      </c>
      <c r="R37" s="98">
        <v>1</v>
      </c>
      <c r="S37" s="101">
        <f t="shared" ref="S37:S43" si="15">Q37*R37</f>
        <v>1</v>
      </c>
      <c r="T37" s="100">
        <v>0</v>
      </c>
      <c r="U37" s="98">
        <v>0</v>
      </c>
      <c r="V37" s="101">
        <f>T37*U37</f>
        <v>0</v>
      </c>
      <c r="W37" s="100">
        <v>0</v>
      </c>
      <c r="X37" s="98">
        <v>0</v>
      </c>
      <c r="Y37" s="147">
        <f t="shared" ref="Y37:Y43" si="16">W37*X37</f>
        <v>0</v>
      </c>
      <c r="Z37" s="150"/>
    </row>
    <row r="38" spans="2:26" s="35" customFormat="1" ht="17.100000000000001" customHeight="1">
      <c r="B38" s="105"/>
      <c r="C38" s="54"/>
      <c r="D38" s="96"/>
      <c r="E38" s="111"/>
      <c r="F38" s="112"/>
      <c r="G38" s="113"/>
      <c r="H38" s="100">
        <v>0</v>
      </c>
      <c r="I38" s="98">
        <v>0</v>
      </c>
      <c r="J38" s="101">
        <f t="shared" si="12"/>
        <v>0</v>
      </c>
      <c r="K38" s="100">
        <v>0</v>
      </c>
      <c r="L38" s="98">
        <v>0</v>
      </c>
      <c r="M38" s="101">
        <f t="shared" si="13"/>
        <v>0</v>
      </c>
      <c r="N38" s="100">
        <v>0</v>
      </c>
      <c r="O38" s="98">
        <v>0</v>
      </c>
      <c r="P38" s="101">
        <f t="shared" si="14"/>
        <v>0</v>
      </c>
      <c r="Q38" s="100">
        <v>0</v>
      </c>
      <c r="R38" s="98">
        <v>0</v>
      </c>
      <c r="S38" s="101">
        <f t="shared" si="15"/>
        <v>0</v>
      </c>
      <c r="T38" s="100">
        <v>0</v>
      </c>
      <c r="U38" s="98">
        <v>0</v>
      </c>
      <c r="V38" s="101">
        <f t="shared" ref="V38:V43" si="17">T38*U38</f>
        <v>0</v>
      </c>
      <c r="W38" s="100">
        <v>0</v>
      </c>
      <c r="X38" s="98">
        <v>0</v>
      </c>
      <c r="Y38" s="147">
        <f t="shared" si="16"/>
        <v>0</v>
      </c>
      <c r="Z38" s="150"/>
    </row>
    <row r="39" spans="2:26" s="35" customFormat="1" ht="17.100000000000001" customHeight="1">
      <c r="B39" s="105"/>
      <c r="C39" s="54"/>
      <c r="D39" s="96"/>
      <c r="E39" s="111"/>
      <c r="F39" s="112"/>
      <c r="G39" s="113"/>
      <c r="H39" s="100">
        <v>0</v>
      </c>
      <c r="I39" s="98">
        <v>0</v>
      </c>
      <c r="J39" s="101">
        <f t="shared" si="12"/>
        <v>0</v>
      </c>
      <c r="K39" s="100">
        <v>0</v>
      </c>
      <c r="L39" s="98">
        <v>0</v>
      </c>
      <c r="M39" s="101">
        <f t="shared" si="13"/>
        <v>0</v>
      </c>
      <c r="N39" s="100">
        <v>0</v>
      </c>
      <c r="O39" s="98">
        <v>0</v>
      </c>
      <c r="P39" s="101">
        <f t="shared" si="14"/>
        <v>0</v>
      </c>
      <c r="Q39" s="100">
        <v>0</v>
      </c>
      <c r="R39" s="98">
        <v>0</v>
      </c>
      <c r="S39" s="101">
        <f t="shared" si="15"/>
        <v>0</v>
      </c>
      <c r="T39" s="100">
        <v>0</v>
      </c>
      <c r="U39" s="98">
        <v>0</v>
      </c>
      <c r="V39" s="101">
        <f t="shared" si="17"/>
        <v>0</v>
      </c>
      <c r="W39" s="100">
        <v>0</v>
      </c>
      <c r="X39" s="98">
        <v>0</v>
      </c>
      <c r="Y39" s="147">
        <f t="shared" si="16"/>
        <v>0</v>
      </c>
      <c r="Z39" s="150"/>
    </row>
    <row r="40" spans="2:26" s="35" customFormat="1" ht="17.100000000000001" customHeight="1">
      <c r="B40" s="105"/>
      <c r="C40" s="54"/>
      <c r="D40" s="96"/>
      <c r="E40" s="111"/>
      <c r="F40" s="112"/>
      <c r="G40" s="113"/>
      <c r="H40" s="100">
        <v>0</v>
      </c>
      <c r="I40" s="98">
        <v>0</v>
      </c>
      <c r="J40" s="101">
        <f t="shared" si="12"/>
        <v>0</v>
      </c>
      <c r="K40" s="100">
        <v>0</v>
      </c>
      <c r="L40" s="98">
        <v>0</v>
      </c>
      <c r="M40" s="101">
        <f t="shared" si="13"/>
        <v>0</v>
      </c>
      <c r="N40" s="100">
        <v>0</v>
      </c>
      <c r="O40" s="98">
        <v>0</v>
      </c>
      <c r="P40" s="101">
        <f t="shared" si="14"/>
        <v>0</v>
      </c>
      <c r="Q40" s="100">
        <v>0</v>
      </c>
      <c r="R40" s="98">
        <v>0</v>
      </c>
      <c r="S40" s="101">
        <f t="shared" si="15"/>
        <v>0</v>
      </c>
      <c r="T40" s="100">
        <v>0</v>
      </c>
      <c r="U40" s="98">
        <v>0</v>
      </c>
      <c r="V40" s="101">
        <f t="shared" si="17"/>
        <v>0</v>
      </c>
      <c r="W40" s="100">
        <v>0</v>
      </c>
      <c r="X40" s="98">
        <v>0</v>
      </c>
      <c r="Y40" s="147">
        <f t="shared" si="16"/>
        <v>0</v>
      </c>
      <c r="Z40" s="150"/>
    </row>
    <row r="41" spans="2:26" s="35" customFormat="1" ht="17.100000000000001" customHeight="1">
      <c r="B41" s="105"/>
      <c r="C41" s="54"/>
      <c r="D41" s="96"/>
      <c r="E41" s="111"/>
      <c r="F41" s="112"/>
      <c r="G41" s="113"/>
      <c r="H41" s="100">
        <v>0</v>
      </c>
      <c r="I41" s="98">
        <v>0</v>
      </c>
      <c r="J41" s="101">
        <f t="shared" si="12"/>
        <v>0</v>
      </c>
      <c r="K41" s="100">
        <v>0</v>
      </c>
      <c r="L41" s="98">
        <v>0</v>
      </c>
      <c r="M41" s="101">
        <f t="shared" si="13"/>
        <v>0</v>
      </c>
      <c r="N41" s="100">
        <v>0</v>
      </c>
      <c r="O41" s="98">
        <v>0</v>
      </c>
      <c r="P41" s="101">
        <f t="shared" si="14"/>
        <v>0</v>
      </c>
      <c r="Q41" s="100">
        <v>0</v>
      </c>
      <c r="R41" s="98">
        <v>0</v>
      </c>
      <c r="S41" s="101">
        <f t="shared" si="15"/>
        <v>0</v>
      </c>
      <c r="T41" s="100">
        <v>0</v>
      </c>
      <c r="U41" s="98">
        <v>0</v>
      </c>
      <c r="V41" s="101">
        <f t="shared" si="17"/>
        <v>0</v>
      </c>
      <c r="W41" s="100">
        <v>0</v>
      </c>
      <c r="X41" s="98">
        <v>0</v>
      </c>
      <c r="Y41" s="147">
        <f t="shared" si="16"/>
        <v>0</v>
      </c>
      <c r="Z41" s="150"/>
    </row>
    <row r="42" spans="2:26" s="35" customFormat="1" ht="17.100000000000001" customHeight="1">
      <c r="B42" s="105"/>
      <c r="C42" s="54"/>
      <c r="D42" s="96"/>
      <c r="E42" s="111"/>
      <c r="F42" s="112"/>
      <c r="G42" s="113"/>
      <c r="H42" s="100">
        <v>0</v>
      </c>
      <c r="I42" s="98">
        <v>0</v>
      </c>
      <c r="J42" s="101">
        <f t="shared" si="12"/>
        <v>0</v>
      </c>
      <c r="K42" s="100">
        <v>0</v>
      </c>
      <c r="L42" s="98">
        <v>0</v>
      </c>
      <c r="M42" s="101">
        <f t="shared" si="13"/>
        <v>0</v>
      </c>
      <c r="N42" s="100">
        <v>0</v>
      </c>
      <c r="O42" s="98">
        <v>0</v>
      </c>
      <c r="P42" s="101">
        <f t="shared" si="14"/>
        <v>0</v>
      </c>
      <c r="Q42" s="100">
        <v>0</v>
      </c>
      <c r="R42" s="98">
        <v>0</v>
      </c>
      <c r="S42" s="101">
        <f t="shared" si="15"/>
        <v>0</v>
      </c>
      <c r="T42" s="100">
        <v>0</v>
      </c>
      <c r="U42" s="98">
        <v>0</v>
      </c>
      <c r="V42" s="101">
        <f t="shared" si="17"/>
        <v>0</v>
      </c>
      <c r="W42" s="100">
        <v>0</v>
      </c>
      <c r="X42" s="98">
        <v>0</v>
      </c>
      <c r="Y42" s="147">
        <f t="shared" si="16"/>
        <v>0</v>
      </c>
      <c r="Z42" s="150"/>
    </row>
    <row r="43" spans="2:26" s="35" customFormat="1" ht="17.100000000000001" customHeight="1">
      <c r="B43" s="105"/>
      <c r="C43" s="54"/>
      <c r="D43" s="96"/>
      <c r="E43" s="111"/>
      <c r="F43" s="112"/>
      <c r="G43" s="113"/>
      <c r="H43" s="100">
        <v>0</v>
      </c>
      <c r="I43" s="98">
        <v>0</v>
      </c>
      <c r="J43" s="101">
        <f t="shared" si="12"/>
        <v>0</v>
      </c>
      <c r="K43" s="100">
        <v>0</v>
      </c>
      <c r="L43" s="98">
        <v>0</v>
      </c>
      <c r="M43" s="101">
        <f t="shared" si="13"/>
        <v>0</v>
      </c>
      <c r="N43" s="100">
        <v>0</v>
      </c>
      <c r="O43" s="98">
        <v>0</v>
      </c>
      <c r="P43" s="101">
        <f t="shared" si="14"/>
        <v>0</v>
      </c>
      <c r="Q43" s="100">
        <v>0</v>
      </c>
      <c r="R43" s="98">
        <v>0</v>
      </c>
      <c r="S43" s="101">
        <f t="shared" si="15"/>
        <v>0</v>
      </c>
      <c r="T43" s="100">
        <v>0</v>
      </c>
      <c r="U43" s="98">
        <v>0</v>
      </c>
      <c r="V43" s="101">
        <f t="shared" si="17"/>
        <v>0</v>
      </c>
      <c r="W43" s="100">
        <v>0</v>
      </c>
      <c r="X43" s="98">
        <v>0</v>
      </c>
      <c r="Y43" s="147">
        <f t="shared" si="16"/>
        <v>0</v>
      </c>
      <c r="Z43" s="150"/>
    </row>
    <row r="44" spans="2:26" s="126" customFormat="1" ht="17.100000000000001" customHeight="1">
      <c r="B44" s="118"/>
      <c r="C44" s="119"/>
      <c r="D44" s="120"/>
      <c r="E44" s="121"/>
      <c r="F44" s="122"/>
      <c r="G44" s="123"/>
      <c r="H44" s="341" t="s">
        <v>201</v>
      </c>
      <c r="I44" s="342"/>
      <c r="J44" s="124">
        <f>SUM(J37:J43)</f>
        <v>0</v>
      </c>
      <c r="K44" s="341" t="s">
        <v>201</v>
      </c>
      <c r="L44" s="342"/>
      <c r="M44" s="124">
        <f>SUM(M37:M43)</f>
        <v>0</v>
      </c>
      <c r="N44" s="341" t="s">
        <v>201</v>
      </c>
      <c r="O44" s="342"/>
      <c r="P44" s="124">
        <f>SUM(P37:P43)</f>
        <v>0</v>
      </c>
      <c r="Q44" s="341" t="s">
        <v>201</v>
      </c>
      <c r="R44" s="342"/>
      <c r="S44" s="124">
        <f>SUM(S37:S43)</f>
        <v>1</v>
      </c>
      <c r="T44" s="341" t="s">
        <v>201</v>
      </c>
      <c r="U44" s="342"/>
      <c r="V44" s="124">
        <f>SUM(V37:V43)</f>
        <v>0</v>
      </c>
      <c r="W44" s="341" t="s">
        <v>201</v>
      </c>
      <c r="X44" s="342"/>
      <c r="Y44" s="127">
        <f>SUM(Y37:Y43)</f>
        <v>0</v>
      </c>
      <c r="Z44" s="151"/>
    </row>
    <row r="45" spans="2:26" s="35" customFormat="1" ht="17.100000000000001" customHeight="1">
      <c r="B45" s="105"/>
      <c r="C45" s="54">
        <f>'2. Rekap Back Up Beton'!C24</f>
        <v>300</v>
      </c>
      <c r="D45" s="96">
        <f>'2. Rekap Back Up Beton'!D24</f>
        <v>400</v>
      </c>
      <c r="E45" s="111">
        <f>'2. Rekap Back Up Beton'!E24</f>
        <v>5</v>
      </c>
      <c r="F45" s="112">
        <f>(100/((D45-C45)*E45))*((J52*0.5)+(M52*1)+(P52*2)+(S52*20)+(V52*15)+(Y52*1.5))</f>
        <v>0</v>
      </c>
      <c r="G45" s="113" t="str">
        <f>IF(F45&lt;=25,"B",IF(F45&lt;=75,"S",IF(F45&lt;=100,"RR","RB")))</f>
        <v>B</v>
      </c>
      <c r="H45" s="100">
        <v>0</v>
      </c>
      <c r="I45" s="98">
        <v>0</v>
      </c>
      <c r="J45" s="101">
        <f t="shared" ref="J45:J51" si="18">H45*I45</f>
        <v>0</v>
      </c>
      <c r="K45" s="100">
        <v>0</v>
      </c>
      <c r="L45" s="98">
        <v>0</v>
      </c>
      <c r="M45" s="101">
        <f t="shared" ref="M45:M51" si="19">K45*L45</f>
        <v>0</v>
      </c>
      <c r="N45" s="100">
        <v>0</v>
      </c>
      <c r="O45" s="98">
        <v>4</v>
      </c>
      <c r="P45" s="101">
        <f t="shared" ref="P45:P51" si="20">N45*O45</f>
        <v>0</v>
      </c>
      <c r="Q45" s="100">
        <v>0</v>
      </c>
      <c r="R45" s="98">
        <v>0</v>
      </c>
      <c r="S45" s="101">
        <f t="shared" ref="S45:S51" si="21">Q45*R45</f>
        <v>0</v>
      </c>
      <c r="T45" s="100">
        <v>0</v>
      </c>
      <c r="U45" s="98">
        <v>0</v>
      </c>
      <c r="V45" s="101">
        <f>T45*U45</f>
        <v>0</v>
      </c>
      <c r="W45" s="100">
        <v>0</v>
      </c>
      <c r="X45" s="98">
        <v>0</v>
      </c>
      <c r="Y45" s="147">
        <f t="shared" ref="Y45:Y51" si="22">W45*X45</f>
        <v>0</v>
      </c>
      <c r="Z45" s="150"/>
    </row>
    <row r="46" spans="2:26" s="35" customFormat="1" ht="17.100000000000001" customHeight="1">
      <c r="B46" s="105"/>
      <c r="C46" s="54"/>
      <c r="D46" s="96"/>
      <c r="E46" s="111"/>
      <c r="F46" s="112"/>
      <c r="G46" s="113"/>
      <c r="H46" s="100">
        <v>0</v>
      </c>
      <c r="I46" s="98">
        <v>0</v>
      </c>
      <c r="J46" s="101">
        <f t="shared" si="18"/>
        <v>0</v>
      </c>
      <c r="K46" s="100">
        <v>0</v>
      </c>
      <c r="L46" s="98">
        <v>0</v>
      </c>
      <c r="M46" s="101">
        <f t="shared" si="19"/>
        <v>0</v>
      </c>
      <c r="N46" s="100">
        <v>0</v>
      </c>
      <c r="O46" s="98">
        <v>0</v>
      </c>
      <c r="P46" s="101">
        <f t="shared" si="20"/>
        <v>0</v>
      </c>
      <c r="Q46" s="100">
        <v>0</v>
      </c>
      <c r="R46" s="98">
        <v>0</v>
      </c>
      <c r="S46" s="101">
        <f t="shared" si="21"/>
        <v>0</v>
      </c>
      <c r="T46" s="100">
        <v>0</v>
      </c>
      <c r="U46" s="98">
        <v>0</v>
      </c>
      <c r="V46" s="101">
        <f t="shared" ref="V46:V51" si="23">T46*U46</f>
        <v>0</v>
      </c>
      <c r="W46" s="100">
        <v>0</v>
      </c>
      <c r="X46" s="98">
        <v>0</v>
      </c>
      <c r="Y46" s="147">
        <f t="shared" si="22"/>
        <v>0</v>
      </c>
      <c r="Z46" s="150"/>
    </row>
    <row r="47" spans="2:26" s="35" customFormat="1" ht="17.100000000000001" customHeight="1">
      <c r="B47" s="105"/>
      <c r="C47" s="54"/>
      <c r="D47" s="96"/>
      <c r="E47" s="111"/>
      <c r="F47" s="112"/>
      <c r="G47" s="113"/>
      <c r="H47" s="100">
        <v>0</v>
      </c>
      <c r="I47" s="98">
        <v>0</v>
      </c>
      <c r="J47" s="101">
        <f t="shared" si="18"/>
        <v>0</v>
      </c>
      <c r="K47" s="100">
        <v>0</v>
      </c>
      <c r="L47" s="98">
        <v>0</v>
      </c>
      <c r="M47" s="101">
        <f t="shared" si="19"/>
        <v>0</v>
      </c>
      <c r="N47" s="100">
        <v>0</v>
      </c>
      <c r="O47" s="98">
        <v>0</v>
      </c>
      <c r="P47" s="101">
        <f t="shared" si="20"/>
        <v>0</v>
      </c>
      <c r="Q47" s="100">
        <v>0</v>
      </c>
      <c r="R47" s="98">
        <v>0</v>
      </c>
      <c r="S47" s="101">
        <f t="shared" si="21"/>
        <v>0</v>
      </c>
      <c r="T47" s="100">
        <v>0</v>
      </c>
      <c r="U47" s="98">
        <v>0</v>
      </c>
      <c r="V47" s="101">
        <f t="shared" si="23"/>
        <v>0</v>
      </c>
      <c r="W47" s="100">
        <v>0</v>
      </c>
      <c r="X47" s="98">
        <v>0</v>
      </c>
      <c r="Y47" s="147">
        <f t="shared" si="22"/>
        <v>0</v>
      </c>
      <c r="Z47" s="150"/>
    </row>
    <row r="48" spans="2:26" s="35" customFormat="1" ht="17.100000000000001" customHeight="1">
      <c r="B48" s="105"/>
      <c r="C48" s="54"/>
      <c r="D48" s="96"/>
      <c r="E48" s="111"/>
      <c r="F48" s="112"/>
      <c r="G48" s="113"/>
      <c r="H48" s="100">
        <v>0</v>
      </c>
      <c r="I48" s="98">
        <v>0</v>
      </c>
      <c r="J48" s="101">
        <f t="shared" si="18"/>
        <v>0</v>
      </c>
      <c r="K48" s="100">
        <v>0</v>
      </c>
      <c r="L48" s="98">
        <v>0</v>
      </c>
      <c r="M48" s="101">
        <f t="shared" si="19"/>
        <v>0</v>
      </c>
      <c r="N48" s="100">
        <v>0</v>
      </c>
      <c r="O48" s="98">
        <v>0</v>
      </c>
      <c r="P48" s="101">
        <f t="shared" si="20"/>
        <v>0</v>
      </c>
      <c r="Q48" s="100">
        <v>0</v>
      </c>
      <c r="R48" s="98">
        <v>0</v>
      </c>
      <c r="S48" s="101">
        <f t="shared" si="21"/>
        <v>0</v>
      </c>
      <c r="T48" s="100">
        <v>0</v>
      </c>
      <c r="U48" s="98">
        <v>0</v>
      </c>
      <c r="V48" s="101">
        <f t="shared" si="23"/>
        <v>0</v>
      </c>
      <c r="W48" s="100">
        <v>0</v>
      </c>
      <c r="X48" s="98">
        <v>0</v>
      </c>
      <c r="Y48" s="147">
        <f t="shared" si="22"/>
        <v>0</v>
      </c>
      <c r="Z48" s="150"/>
    </row>
    <row r="49" spans="2:26" s="35" customFormat="1" ht="17.100000000000001" customHeight="1">
      <c r="B49" s="105"/>
      <c r="C49" s="54"/>
      <c r="D49" s="96"/>
      <c r="E49" s="111"/>
      <c r="F49" s="112"/>
      <c r="G49" s="113"/>
      <c r="H49" s="100">
        <v>0</v>
      </c>
      <c r="I49" s="98">
        <v>0</v>
      </c>
      <c r="J49" s="101">
        <f t="shared" si="18"/>
        <v>0</v>
      </c>
      <c r="K49" s="100">
        <v>0</v>
      </c>
      <c r="L49" s="98">
        <v>0</v>
      </c>
      <c r="M49" s="101">
        <f t="shared" si="19"/>
        <v>0</v>
      </c>
      <c r="N49" s="100">
        <v>0</v>
      </c>
      <c r="O49" s="98">
        <v>0</v>
      </c>
      <c r="P49" s="101">
        <f t="shared" si="20"/>
        <v>0</v>
      </c>
      <c r="Q49" s="100">
        <v>0</v>
      </c>
      <c r="R49" s="98">
        <v>0</v>
      </c>
      <c r="S49" s="101">
        <f t="shared" si="21"/>
        <v>0</v>
      </c>
      <c r="T49" s="100">
        <v>0</v>
      </c>
      <c r="U49" s="98">
        <v>0</v>
      </c>
      <c r="V49" s="101">
        <f t="shared" si="23"/>
        <v>0</v>
      </c>
      <c r="W49" s="100">
        <v>0</v>
      </c>
      <c r="X49" s="98">
        <v>0</v>
      </c>
      <c r="Y49" s="147">
        <f t="shared" si="22"/>
        <v>0</v>
      </c>
      <c r="Z49" s="150"/>
    </row>
    <row r="50" spans="2:26" s="35" customFormat="1" ht="17.100000000000001" customHeight="1">
      <c r="B50" s="105"/>
      <c r="C50" s="54"/>
      <c r="D50" s="96"/>
      <c r="E50" s="111"/>
      <c r="F50" s="112"/>
      <c r="G50" s="113"/>
      <c r="H50" s="100">
        <v>0</v>
      </c>
      <c r="I50" s="98">
        <v>0</v>
      </c>
      <c r="J50" s="101">
        <f t="shared" si="18"/>
        <v>0</v>
      </c>
      <c r="K50" s="100">
        <v>0</v>
      </c>
      <c r="L50" s="98">
        <v>0</v>
      </c>
      <c r="M50" s="101">
        <f t="shared" si="19"/>
        <v>0</v>
      </c>
      <c r="N50" s="100">
        <v>0</v>
      </c>
      <c r="O50" s="98">
        <v>0</v>
      </c>
      <c r="P50" s="101">
        <f t="shared" si="20"/>
        <v>0</v>
      </c>
      <c r="Q50" s="100">
        <v>0</v>
      </c>
      <c r="R50" s="98">
        <v>0</v>
      </c>
      <c r="S50" s="101">
        <f t="shared" si="21"/>
        <v>0</v>
      </c>
      <c r="T50" s="100">
        <v>0</v>
      </c>
      <c r="U50" s="98">
        <v>0</v>
      </c>
      <c r="V50" s="101">
        <f t="shared" si="23"/>
        <v>0</v>
      </c>
      <c r="W50" s="100">
        <v>0</v>
      </c>
      <c r="X50" s="98">
        <v>0</v>
      </c>
      <c r="Y50" s="147">
        <f t="shared" si="22"/>
        <v>0</v>
      </c>
      <c r="Z50" s="150"/>
    </row>
    <row r="51" spans="2:26" s="35" customFormat="1" ht="17.100000000000001" customHeight="1">
      <c r="B51" s="105"/>
      <c r="C51" s="54"/>
      <c r="D51" s="96"/>
      <c r="E51" s="111"/>
      <c r="F51" s="112"/>
      <c r="G51" s="113"/>
      <c r="H51" s="100">
        <v>0</v>
      </c>
      <c r="I51" s="98">
        <v>0</v>
      </c>
      <c r="J51" s="101">
        <f t="shared" si="18"/>
        <v>0</v>
      </c>
      <c r="K51" s="100">
        <v>0</v>
      </c>
      <c r="L51" s="98">
        <v>0</v>
      </c>
      <c r="M51" s="101">
        <f t="shared" si="19"/>
        <v>0</v>
      </c>
      <c r="N51" s="100">
        <v>0</v>
      </c>
      <c r="O51" s="98">
        <v>0</v>
      </c>
      <c r="P51" s="101">
        <f t="shared" si="20"/>
        <v>0</v>
      </c>
      <c r="Q51" s="100">
        <v>0</v>
      </c>
      <c r="R51" s="98">
        <v>0</v>
      </c>
      <c r="S51" s="101">
        <f t="shared" si="21"/>
        <v>0</v>
      </c>
      <c r="T51" s="100">
        <v>0</v>
      </c>
      <c r="U51" s="98">
        <v>0</v>
      </c>
      <c r="V51" s="101">
        <f t="shared" si="23"/>
        <v>0</v>
      </c>
      <c r="W51" s="100">
        <v>0</v>
      </c>
      <c r="X51" s="98">
        <v>0</v>
      </c>
      <c r="Y51" s="147">
        <f t="shared" si="22"/>
        <v>0</v>
      </c>
      <c r="Z51" s="150"/>
    </row>
    <row r="52" spans="2:26" s="126" customFormat="1" ht="17.100000000000001" customHeight="1">
      <c r="B52" s="118"/>
      <c r="C52" s="119"/>
      <c r="D52" s="120"/>
      <c r="E52" s="121"/>
      <c r="F52" s="122"/>
      <c r="G52" s="123"/>
      <c r="H52" s="341" t="s">
        <v>201</v>
      </c>
      <c r="I52" s="342"/>
      <c r="J52" s="124">
        <f>SUM(J45:J51)</f>
        <v>0</v>
      </c>
      <c r="K52" s="341" t="s">
        <v>201</v>
      </c>
      <c r="L52" s="342"/>
      <c r="M52" s="124">
        <f>SUM(M45:M51)</f>
        <v>0</v>
      </c>
      <c r="N52" s="341" t="s">
        <v>201</v>
      </c>
      <c r="O52" s="342"/>
      <c r="P52" s="124">
        <f>SUM(P45:P51)</f>
        <v>0</v>
      </c>
      <c r="Q52" s="341" t="s">
        <v>201</v>
      </c>
      <c r="R52" s="342"/>
      <c r="S52" s="124">
        <f>SUM(S45:S51)</f>
        <v>0</v>
      </c>
      <c r="T52" s="341" t="s">
        <v>201</v>
      </c>
      <c r="U52" s="342"/>
      <c r="V52" s="124">
        <f>SUM(V45:V51)</f>
        <v>0</v>
      </c>
      <c r="W52" s="341" t="s">
        <v>201</v>
      </c>
      <c r="X52" s="342"/>
      <c r="Y52" s="127">
        <f>SUM(Y45:Y51)</f>
        <v>0</v>
      </c>
      <c r="Z52" s="151"/>
    </row>
    <row r="53" spans="2:26" s="35" customFormat="1" ht="17.100000000000001" customHeight="1">
      <c r="B53" s="105"/>
      <c r="C53" s="54">
        <f>'2. Rekap Back Up Beton'!C25</f>
        <v>400</v>
      </c>
      <c r="D53" s="96">
        <f>'2. Rekap Back Up Beton'!D25</f>
        <v>500</v>
      </c>
      <c r="E53" s="111">
        <f>'2. Rekap Back Up Beton'!E25</f>
        <v>5</v>
      </c>
      <c r="F53" s="112">
        <f>(100/((D53-C53)*E53))*((J60*0.5)+(M60*1)+(P60*2)+(S60*20)+(V60*15)+(Y60*1.5))</f>
        <v>1.3</v>
      </c>
      <c r="G53" s="113" t="str">
        <f>IF(F53&lt;=25,"B",IF(F53&lt;=75,"S",IF(F53&lt;=100,"RR","RB")))</f>
        <v>B</v>
      </c>
      <c r="H53" s="100">
        <v>1</v>
      </c>
      <c r="I53" s="98">
        <v>5</v>
      </c>
      <c r="J53" s="101">
        <f t="shared" ref="J53:J59" si="24">H53*I53</f>
        <v>5</v>
      </c>
      <c r="K53" s="100">
        <v>0</v>
      </c>
      <c r="L53" s="98">
        <v>0</v>
      </c>
      <c r="M53" s="101">
        <f t="shared" ref="M53:M59" si="25">K53*L53</f>
        <v>0</v>
      </c>
      <c r="N53" s="100">
        <v>2</v>
      </c>
      <c r="O53" s="98">
        <v>1</v>
      </c>
      <c r="P53" s="101">
        <f t="shared" ref="P53:P59" si="26">N53*O53</f>
        <v>2</v>
      </c>
      <c r="Q53" s="100">
        <v>0</v>
      </c>
      <c r="R53" s="98">
        <v>0</v>
      </c>
      <c r="S53" s="101">
        <f t="shared" ref="S53:S59" si="27">Q53*R53</f>
        <v>0</v>
      </c>
      <c r="T53" s="100">
        <v>0</v>
      </c>
      <c r="U53" s="98">
        <v>0</v>
      </c>
      <c r="V53" s="101">
        <f>T53*U53</f>
        <v>0</v>
      </c>
      <c r="W53" s="100">
        <v>0</v>
      </c>
      <c r="X53" s="98">
        <v>0</v>
      </c>
      <c r="Y53" s="147">
        <f t="shared" ref="Y53:Y59" si="28">W53*X53</f>
        <v>0</v>
      </c>
      <c r="Z53" s="150"/>
    </row>
    <row r="54" spans="2:26" s="35" customFormat="1" ht="17.100000000000001" customHeight="1">
      <c r="B54" s="105"/>
      <c r="C54" s="54"/>
      <c r="D54" s="96"/>
      <c r="E54" s="111"/>
      <c r="F54" s="112"/>
      <c r="G54" s="113"/>
      <c r="H54" s="100">
        <v>0</v>
      </c>
      <c r="I54" s="98">
        <v>0</v>
      </c>
      <c r="J54" s="101">
        <f t="shared" si="24"/>
        <v>0</v>
      </c>
      <c r="K54" s="100">
        <v>0</v>
      </c>
      <c r="L54" s="98">
        <v>0</v>
      </c>
      <c r="M54" s="101">
        <f t="shared" si="25"/>
        <v>0</v>
      </c>
      <c r="N54" s="100">
        <v>0</v>
      </c>
      <c r="O54" s="98">
        <v>0</v>
      </c>
      <c r="P54" s="101">
        <f t="shared" si="26"/>
        <v>0</v>
      </c>
      <c r="Q54" s="100">
        <v>0</v>
      </c>
      <c r="R54" s="98">
        <v>0</v>
      </c>
      <c r="S54" s="101">
        <f t="shared" si="27"/>
        <v>0</v>
      </c>
      <c r="T54" s="100">
        <v>0</v>
      </c>
      <c r="U54" s="98">
        <v>0</v>
      </c>
      <c r="V54" s="101">
        <f t="shared" ref="V54:V59" si="29">T54*U54</f>
        <v>0</v>
      </c>
      <c r="W54" s="100">
        <v>0</v>
      </c>
      <c r="X54" s="98">
        <v>0</v>
      </c>
      <c r="Y54" s="147">
        <f t="shared" si="28"/>
        <v>0</v>
      </c>
      <c r="Z54" s="150"/>
    </row>
    <row r="55" spans="2:26" s="35" customFormat="1" ht="17.100000000000001" customHeight="1">
      <c r="B55" s="105"/>
      <c r="C55" s="54"/>
      <c r="D55" s="96"/>
      <c r="E55" s="111"/>
      <c r="F55" s="112"/>
      <c r="G55" s="113"/>
      <c r="H55" s="100">
        <v>0</v>
      </c>
      <c r="I55" s="98">
        <v>0</v>
      </c>
      <c r="J55" s="101">
        <f t="shared" si="24"/>
        <v>0</v>
      </c>
      <c r="K55" s="100">
        <v>0</v>
      </c>
      <c r="L55" s="98">
        <v>0</v>
      </c>
      <c r="M55" s="101">
        <f t="shared" si="25"/>
        <v>0</v>
      </c>
      <c r="N55" s="100">
        <v>0</v>
      </c>
      <c r="O55" s="98">
        <v>0</v>
      </c>
      <c r="P55" s="101">
        <f t="shared" si="26"/>
        <v>0</v>
      </c>
      <c r="Q55" s="100">
        <v>0</v>
      </c>
      <c r="R55" s="98">
        <v>0</v>
      </c>
      <c r="S55" s="101">
        <f t="shared" si="27"/>
        <v>0</v>
      </c>
      <c r="T55" s="100">
        <v>0</v>
      </c>
      <c r="U55" s="98">
        <v>0</v>
      </c>
      <c r="V55" s="101">
        <f t="shared" si="29"/>
        <v>0</v>
      </c>
      <c r="W55" s="100">
        <v>0</v>
      </c>
      <c r="X55" s="98">
        <v>0</v>
      </c>
      <c r="Y55" s="147">
        <f t="shared" si="28"/>
        <v>0</v>
      </c>
      <c r="Z55" s="150"/>
    </row>
    <row r="56" spans="2:26" s="35" customFormat="1" ht="17.100000000000001" customHeight="1">
      <c r="B56" s="105"/>
      <c r="C56" s="54"/>
      <c r="D56" s="96"/>
      <c r="E56" s="111"/>
      <c r="F56" s="112"/>
      <c r="G56" s="113"/>
      <c r="H56" s="100">
        <v>0</v>
      </c>
      <c r="I56" s="98">
        <v>0</v>
      </c>
      <c r="J56" s="101">
        <f t="shared" si="24"/>
        <v>0</v>
      </c>
      <c r="K56" s="100">
        <v>0</v>
      </c>
      <c r="L56" s="98">
        <v>0</v>
      </c>
      <c r="M56" s="101">
        <f t="shared" si="25"/>
        <v>0</v>
      </c>
      <c r="N56" s="100">
        <v>0</v>
      </c>
      <c r="O56" s="98">
        <v>0</v>
      </c>
      <c r="P56" s="101">
        <f t="shared" si="26"/>
        <v>0</v>
      </c>
      <c r="Q56" s="100">
        <v>0</v>
      </c>
      <c r="R56" s="98">
        <v>0</v>
      </c>
      <c r="S56" s="101">
        <f t="shared" si="27"/>
        <v>0</v>
      </c>
      <c r="T56" s="100">
        <v>0</v>
      </c>
      <c r="U56" s="98">
        <v>0</v>
      </c>
      <c r="V56" s="101">
        <f t="shared" si="29"/>
        <v>0</v>
      </c>
      <c r="W56" s="100">
        <v>0</v>
      </c>
      <c r="X56" s="98">
        <v>0</v>
      </c>
      <c r="Y56" s="147">
        <f t="shared" si="28"/>
        <v>0</v>
      </c>
      <c r="Z56" s="150"/>
    </row>
    <row r="57" spans="2:26" s="35" customFormat="1" ht="17.100000000000001" customHeight="1">
      <c r="B57" s="105"/>
      <c r="C57" s="54"/>
      <c r="D57" s="96"/>
      <c r="E57" s="111"/>
      <c r="F57" s="112"/>
      <c r="G57" s="113"/>
      <c r="H57" s="100">
        <v>0</v>
      </c>
      <c r="I57" s="98">
        <v>0</v>
      </c>
      <c r="J57" s="101">
        <f t="shared" si="24"/>
        <v>0</v>
      </c>
      <c r="K57" s="100">
        <v>0</v>
      </c>
      <c r="L57" s="98">
        <v>0</v>
      </c>
      <c r="M57" s="101">
        <f t="shared" si="25"/>
        <v>0</v>
      </c>
      <c r="N57" s="100">
        <v>0</v>
      </c>
      <c r="O57" s="98">
        <v>0</v>
      </c>
      <c r="P57" s="101">
        <f t="shared" si="26"/>
        <v>0</v>
      </c>
      <c r="Q57" s="100">
        <v>0</v>
      </c>
      <c r="R57" s="98">
        <v>0</v>
      </c>
      <c r="S57" s="101">
        <f t="shared" si="27"/>
        <v>0</v>
      </c>
      <c r="T57" s="100">
        <v>0</v>
      </c>
      <c r="U57" s="98">
        <v>0</v>
      </c>
      <c r="V57" s="101">
        <f t="shared" si="29"/>
        <v>0</v>
      </c>
      <c r="W57" s="100">
        <v>0</v>
      </c>
      <c r="X57" s="98">
        <v>0</v>
      </c>
      <c r="Y57" s="147">
        <f t="shared" si="28"/>
        <v>0</v>
      </c>
      <c r="Z57" s="150"/>
    </row>
    <row r="58" spans="2:26" s="35" customFormat="1" ht="17.100000000000001" customHeight="1">
      <c r="B58" s="105"/>
      <c r="C58" s="54"/>
      <c r="D58" s="96"/>
      <c r="E58" s="111"/>
      <c r="F58" s="112"/>
      <c r="G58" s="113"/>
      <c r="H58" s="100">
        <v>0</v>
      </c>
      <c r="I58" s="98">
        <v>0</v>
      </c>
      <c r="J58" s="101">
        <f t="shared" si="24"/>
        <v>0</v>
      </c>
      <c r="K58" s="100">
        <v>0</v>
      </c>
      <c r="L58" s="98">
        <v>0</v>
      </c>
      <c r="M58" s="101">
        <f t="shared" si="25"/>
        <v>0</v>
      </c>
      <c r="N58" s="100">
        <v>0</v>
      </c>
      <c r="O58" s="98">
        <v>0</v>
      </c>
      <c r="P58" s="101">
        <f t="shared" si="26"/>
        <v>0</v>
      </c>
      <c r="Q58" s="100">
        <v>0</v>
      </c>
      <c r="R58" s="98">
        <v>0</v>
      </c>
      <c r="S58" s="101">
        <f t="shared" si="27"/>
        <v>0</v>
      </c>
      <c r="T58" s="100">
        <v>0</v>
      </c>
      <c r="U58" s="98">
        <v>0</v>
      </c>
      <c r="V58" s="101">
        <f t="shared" si="29"/>
        <v>0</v>
      </c>
      <c r="W58" s="100">
        <v>0</v>
      </c>
      <c r="X58" s="98">
        <v>0</v>
      </c>
      <c r="Y58" s="147">
        <f t="shared" si="28"/>
        <v>0</v>
      </c>
      <c r="Z58" s="150"/>
    </row>
    <row r="59" spans="2:26" s="35" customFormat="1" ht="17.100000000000001" customHeight="1">
      <c r="B59" s="105"/>
      <c r="C59" s="54"/>
      <c r="D59" s="96"/>
      <c r="E59" s="111"/>
      <c r="F59" s="112"/>
      <c r="G59" s="113"/>
      <c r="H59" s="100">
        <v>0</v>
      </c>
      <c r="I59" s="98">
        <v>0</v>
      </c>
      <c r="J59" s="101">
        <f t="shared" si="24"/>
        <v>0</v>
      </c>
      <c r="K59" s="100">
        <v>0</v>
      </c>
      <c r="L59" s="98">
        <v>0</v>
      </c>
      <c r="M59" s="101">
        <f t="shared" si="25"/>
        <v>0</v>
      </c>
      <c r="N59" s="100">
        <v>0</v>
      </c>
      <c r="O59" s="98">
        <v>0</v>
      </c>
      <c r="P59" s="101">
        <f t="shared" si="26"/>
        <v>0</v>
      </c>
      <c r="Q59" s="100">
        <v>0</v>
      </c>
      <c r="R59" s="98">
        <v>0</v>
      </c>
      <c r="S59" s="101">
        <f t="shared" si="27"/>
        <v>0</v>
      </c>
      <c r="T59" s="100">
        <v>0</v>
      </c>
      <c r="U59" s="98">
        <v>0</v>
      </c>
      <c r="V59" s="101">
        <f t="shared" si="29"/>
        <v>0</v>
      </c>
      <c r="W59" s="100">
        <v>0</v>
      </c>
      <c r="X59" s="98">
        <v>0</v>
      </c>
      <c r="Y59" s="147">
        <f t="shared" si="28"/>
        <v>0</v>
      </c>
      <c r="Z59" s="150"/>
    </row>
    <row r="60" spans="2:26" s="126" customFormat="1" ht="17.100000000000001" customHeight="1">
      <c r="B60" s="118"/>
      <c r="C60" s="119"/>
      <c r="D60" s="120"/>
      <c r="E60" s="121"/>
      <c r="F60" s="122"/>
      <c r="G60" s="123"/>
      <c r="H60" s="341" t="s">
        <v>201</v>
      </c>
      <c r="I60" s="342"/>
      <c r="J60" s="124">
        <f>SUM(J53:J59)</f>
        <v>5</v>
      </c>
      <c r="K60" s="341" t="s">
        <v>201</v>
      </c>
      <c r="L60" s="342"/>
      <c r="M60" s="124">
        <f>SUM(M53:M59)</f>
        <v>0</v>
      </c>
      <c r="N60" s="341" t="s">
        <v>201</v>
      </c>
      <c r="O60" s="342"/>
      <c r="P60" s="124">
        <f>SUM(P53:P59)</f>
        <v>2</v>
      </c>
      <c r="Q60" s="341" t="s">
        <v>201</v>
      </c>
      <c r="R60" s="342"/>
      <c r="S60" s="124">
        <f>SUM(S53:S59)</f>
        <v>0</v>
      </c>
      <c r="T60" s="341" t="s">
        <v>201</v>
      </c>
      <c r="U60" s="342"/>
      <c r="V60" s="124">
        <f>SUM(V53:V59)</f>
        <v>0</v>
      </c>
      <c r="W60" s="341" t="s">
        <v>201</v>
      </c>
      <c r="X60" s="342"/>
      <c r="Y60" s="127">
        <f>SUM(Y53:Y59)</f>
        <v>0</v>
      </c>
      <c r="Z60" s="151"/>
    </row>
    <row r="61" spans="2:26" s="35" customFormat="1" ht="17.100000000000001" customHeight="1">
      <c r="B61" s="105"/>
      <c r="C61" s="54">
        <f>'2. Rekap Back Up Beton'!C26</f>
        <v>500</v>
      </c>
      <c r="D61" s="96">
        <f>'2. Rekap Back Up Beton'!D26</f>
        <v>600</v>
      </c>
      <c r="E61" s="111">
        <f>'2. Rekap Back Up Beton'!E26</f>
        <v>5</v>
      </c>
      <c r="F61" s="112">
        <f>(100/((D61-C61)*E61))*((J68*0.5)+(M68*1)+(P68*2)+(S68*20)+(V68*15)+(Y68*1.5))</f>
        <v>0</v>
      </c>
      <c r="G61" s="113" t="str">
        <f>IF(F61&lt;=25,"B",IF(F61&lt;=75,"S",IF(F61&lt;=100,"RR","RB")))</f>
        <v>B</v>
      </c>
      <c r="H61" s="100">
        <v>0</v>
      </c>
      <c r="I61" s="98">
        <v>0</v>
      </c>
      <c r="J61" s="101">
        <f t="shared" ref="J61:J67" si="30">H61*I61</f>
        <v>0</v>
      </c>
      <c r="K61" s="100">
        <v>0</v>
      </c>
      <c r="L61" s="98">
        <v>0</v>
      </c>
      <c r="M61" s="101">
        <f t="shared" ref="M61:M67" si="31">K61*L61</f>
        <v>0</v>
      </c>
      <c r="N61" s="100">
        <v>0</v>
      </c>
      <c r="O61" s="98">
        <v>4</v>
      </c>
      <c r="P61" s="101">
        <f t="shared" ref="P61:P67" si="32">N61*O61</f>
        <v>0</v>
      </c>
      <c r="Q61" s="100">
        <v>0</v>
      </c>
      <c r="R61" s="98">
        <v>0</v>
      </c>
      <c r="S61" s="101">
        <f t="shared" ref="S61:S67" si="33">Q61*R61</f>
        <v>0</v>
      </c>
      <c r="T61" s="100">
        <v>0</v>
      </c>
      <c r="U61" s="98">
        <v>0</v>
      </c>
      <c r="V61" s="101">
        <f>T61*U61</f>
        <v>0</v>
      </c>
      <c r="W61" s="100">
        <v>0</v>
      </c>
      <c r="X61" s="98">
        <v>0</v>
      </c>
      <c r="Y61" s="147">
        <f t="shared" ref="Y61:Y67" si="34">W61*X61</f>
        <v>0</v>
      </c>
      <c r="Z61" s="150"/>
    </row>
    <row r="62" spans="2:26" s="35" customFormat="1" ht="17.100000000000001" customHeight="1">
      <c r="B62" s="105"/>
      <c r="C62" s="54"/>
      <c r="D62" s="96"/>
      <c r="E62" s="111"/>
      <c r="F62" s="112"/>
      <c r="G62" s="113"/>
      <c r="H62" s="100">
        <v>0</v>
      </c>
      <c r="I62" s="98">
        <v>0</v>
      </c>
      <c r="J62" s="101">
        <f t="shared" si="30"/>
        <v>0</v>
      </c>
      <c r="K62" s="100">
        <v>0</v>
      </c>
      <c r="L62" s="98">
        <v>0</v>
      </c>
      <c r="M62" s="101">
        <f t="shared" si="31"/>
        <v>0</v>
      </c>
      <c r="N62" s="100">
        <v>0</v>
      </c>
      <c r="O62" s="98">
        <v>0</v>
      </c>
      <c r="P62" s="101">
        <f t="shared" si="32"/>
        <v>0</v>
      </c>
      <c r="Q62" s="100">
        <v>0</v>
      </c>
      <c r="R62" s="98">
        <v>0</v>
      </c>
      <c r="S62" s="101">
        <f t="shared" si="33"/>
        <v>0</v>
      </c>
      <c r="T62" s="100">
        <v>0</v>
      </c>
      <c r="U62" s="98">
        <v>0</v>
      </c>
      <c r="V62" s="101">
        <f t="shared" ref="V62:V67" si="35">T62*U62</f>
        <v>0</v>
      </c>
      <c r="W62" s="100">
        <v>0</v>
      </c>
      <c r="X62" s="98">
        <v>0</v>
      </c>
      <c r="Y62" s="147">
        <f t="shared" si="34"/>
        <v>0</v>
      </c>
      <c r="Z62" s="150"/>
    </row>
    <row r="63" spans="2:26" s="35" customFormat="1" ht="17.100000000000001" customHeight="1">
      <c r="B63" s="105"/>
      <c r="C63" s="54"/>
      <c r="D63" s="96"/>
      <c r="E63" s="111"/>
      <c r="F63" s="112"/>
      <c r="G63" s="113"/>
      <c r="H63" s="100">
        <v>0</v>
      </c>
      <c r="I63" s="98">
        <v>0</v>
      </c>
      <c r="J63" s="101">
        <f t="shared" si="30"/>
        <v>0</v>
      </c>
      <c r="K63" s="100">
        <v>0</v>
      </c>
      <c r="L63" s="98">
        <v>0</v>
      </c>
      <c r="M63" s="101">
        <f t="shared" si="31"/>
        <v>0</v>
      </c>
      <c r="N63" s="100">
        <v>0</v>
      </c>
      <c r="O63" s="98">
        <v>0</v>
      </c>
      <c r="P63" s="101">
        <f t="shared" si="32"/>
        <v>0</v>
      </c>
      <c r="Q63" s="100">
        <v>0</v>
      </c>
      <c r="R63" s="98">
        <v>0</v>
      </c>
      <c r="S63" s="101">
        <f t="shared" si="33"/>
        <v>0</v>
      </c>
      <c r="T63" s="100">
        <v>0</v>
      </c>
      <c r="U63" s="98">
        <v>0</v>
      </c>
      <c r="V63" s="101">
        <f t="shared" si="35"/>
        <v>0</v>
      </c>
      <c r="W63" s="100">
        <v>0</v>
      </c>
      <c r="X63" s="98">
        <v>0</v>
      </c>
      <c r="Y63" s="147">
        <f t="shared" si="34"/>
        <v>0</v>
      </c>
      <c r="Z63" s="150"/>
    </row>
    <row r="64" spans="2:26" s="35" customFormat="1" ht="17.100000000000001" customHeight="1">
      <c r="B64" s="105"/>
      <c r="C64" s="54"/>
      <c r="D64" s="96"/>
      <c r="E64" s="111"/>
      <c r="F64" s="112"/>
      <c r="G64" s="113"/>
      <c r="H64" s="100">
        <v>0</v>
      </c>
      <c r="I64" s="98">
        <v>0</v>
      </c>
      <c r="J64" s="101">
        <f t="shared" si="30"/>
        <v>0</v>
      </c>
      <c r="K64" s="100">
        <v>0</v>
      </c>
      <c r="L64" s="98">
        <v>0</v>
      </c>
      <c r="M64" s="101">
        <f t="shared" si="31"/>
        <v>0</v>
      </c>
      <c r="N64" s="100">
        <v>0</v>
      </c>
      <c r="O64" s="98">
        <v>0</v>
      </c>
      <c r="P64" s="101">
        <f t="shared" si="32"/>
        <v>0</v>
      </c>
      <c r="Q64" s="100">
        <v>0</v>
      </c>
      <c r="R64" s="98">
        <v>0</v>
      </c>
      <c r="S64" s="101">
        <f t="shared" si="33"/>
        <v>0</v>
      </c>
      <c r="T64" s="100">
        <v>0</v>
      </c>
      <c r="U64" s="98">
        <v>0</v>
      </c>
      <c r="V64" s="101">
        <f t="shared" si="35"/>
        <v>0</v>
      </c>
      <c r="W64" s="100">
        <v>0</v>
      </c>
      <c r="X64" s="98">
        <v>0</v>
      </c>
      <c r="Y64" s="147">
        <f t="shared" si="34"/>
        <v>0</v>
      </c>
      <c r="Z64" s="150"/>
    </row>
    <row r="65" spans="2:26" s="35" customFormat="1" ht="17.100000000000001" customHeight="1">
      <c r="B65" s="105"/>
      <c r="C65" s="54"/>
      <c r="D65" s="96"/>
      <c r="E65" s="111"/>
      <c r="F65" s="112"/>
      <c r="G65" s="113"/>
      <c r="H65" s="100">
        <v>0</v>
      </c>
      <c r="I65" s="98">
        <v>0</v>
      </c>
      <c r="J65" s="101">
        <f t="shared" si="30"/>
        <v>0</v>
      </c>
      <c r="K65" s="100">
        <v>0</v>
      </c>
      <c r="L65" s="98">
        <v>0</v>
      </c>
      <c r="M65" s="101">
        <f t="shared" si="31"/>
        <v>0</v>
      </c>
      <c r="N65" s="100">
        <v>0</v>
      </c>
      <c r="O65" s="98">
        <v>0</v>
      </c>
      <c r="P65" s="101">
        <f t="shared" si="32"/>
        <v>0</v>
      </c>
      <c r="Q65" s="100">
        <v>0</v>
      </c>
      <c r="R65" s="98">
        <v>0</v>
      </c>
      <c r="S65" s="101">
        <f t="shared" si="33"/>
        <v>0</v>
      </c>
      <c r="T65" s="100">
        <v>0</v>
      </c>
      <c r="U65" s="98">
        <v>0</v>
      </c>
      <c r="V65" s="101">
        <f t="shared" si="35"/>
        <v>0</v>
      </c>
      <c r="W65" s="100">
        <v>0</v>
      </c>
      <c r="X65" s="98">
        <v>0</v>
      </c>
      <c r="Y65" s="147">
        <f t="shared" si="34"/>
        <v>0</v>
      </c>
      <c r="Z65" s="150"/>
    </row>
    <row r="66" spans="2:26" s="35" customFormat="1" ht="17.100000000000001" customHeight="1">
      <c r="B66" s="105"/>
      <c r="C66" s="54"/>
      <c r="D66" s="96"/>
      <c r="E66" s="111"/>
      <c r="F66" s="112"/>
      <c r="G66" s="113"/>
      <c r="H66" s="100">
        <v>0</v>
      </c>
      <c r="I66" s="98">
        <v>0</v>
      </c>
      <c r="J66" s="101">
        <f t="shared" si="30"/>
        <v>0</v>
      </c>
      <c r="K66" s="100">
        <v>0</v>
      </c>
      <c r="L66" s="98">
        <v>0</v>
      </c>
      <c r="M66" s="101">
        <f t="shared" si="31"/>
        <v>0</v>
      </c>
      <c r="N66" s="100">
        <v>0</v>
      </c>
      <c r="O66" s="98">
        <v>0</v>
      </c>
      <c r="P66" s="101">
        <f t="shared" si="32"/>
        <v>0</v>
      </c>
      <c r="Q66" s="100">
        <v>0</v>
      </c>
      <c r="R66" s="98">
        <v>0</v>
      </c>
      <c r="S66" s="101">
        <f t="shared" si="33"/>
        <v>0</v>
      </c>
      <c r="T66" s="100">
        <v>0</v>
      </c>
      <c r="U66" s="98">
        <v>0</v>
      </c>
      <c r="V66" s="101">
        <f t="shared" si="35"/>
        <v>0</v>
      </c>
      <c r="W66" s="100">
        <v>0</v>
      </c>
      <c r="X66" s="98">
        <v>0</v>
      </c>
      <c r="Y66" s="147">
        <f t="shared" si="34"/>
        <v>0</v>
      </c>
      <c r="Z66" s="150"/>
    </row>
    <row r="67" spans="2:26" s="35" customFormat="1" ht="17.100000000000001" customHeight="1">
      <c r="B67" s="105"/>
      <c r="C67" s="54"/>
      <c r="D67" s="96"/>
      <c r="E67" s="111"/>
      <c r="F67" s="112"/>
      <c r="G67" s="113"/>
      <c r="H67" s="100">
        <v>0</v>
      </c>
      <c r="I67" s="98">
        <v>0</v>
      </c>
      <c r="J67" s="101">
        <f t="shared" si="30"/>
        <v>0</v>
      </c>
      <c r="K67" s="100">
        <v>0</v>
      </c>
      <c r="L67" s="98">
        <v>0</v>
      </c>
      <c r="M67" s="101">
        <f t="shared" si="31"/>
        <v>0</v>
      </c>
      <c r="N67" s="100">
        <v>0</v>
      </c>
      <c r="O67" s="98">
        <v>0</v>
      </c>
      <c r="P67" s="101">
        <f t="shared" si="32"/>
        <v>0</v>
      </c>
      <c r="Q67" s="100">
        <v>0</v>
      </c>
      <c r="R67" s="98">
        <v>0</v>
      </c>
      <c r="S67" s="101">
        <f t="shared" si="33"/>
        <v>0</v>
      </c>
      <c r="T67" s="100">
        <v>0</v>
      </c>
      <c r="U67" s="98">
        <v>0</v>
      </c>
      <c r="V67" s="101">
        <f t="shared" si="35"/>
        <v>0</v>
      </c>
      <c r="W67" s="100">
        <v>0</v>
      </c>
      <c r="X67" s="98">
        <v>0</v>
      </c>
      <c r="Y67" s="147">
        <f t="shared" si="34"/>
        <v>0</v>
      </c>
      <c r="Z67" s="150"/>
    </row>
    <row r="68" spans="2:26" s="126" customFormat="1" ht="17.100000000000001" customHeight="1" thickBot="1">
      <c r="B68" s="128"/>
      <c r="C68" s="154"/>
      <c r="D68" s="155"/>
      <c r="E68" s="156"/>
      <c r="F68" s="129"/>
      <c r="G68" s="130"/>
      <c r="H68" s="344" t="s">
        <v>201</v>
      </c>
      <c r="I68" s="345"/>
      <c r="J68" s="131">
        <f>SUM(J61:J67)</f>
        <v>0</v>
      </c>
      <c r="K68" s="344" t="s">
        <v>201</v>
      </c>
      <c r="L68" s="345"/>
      <c r="M68" s="131">
        <f>SUM(M61:M67)</f>
        <v>0</v>
      </c>
      <c r="N68" s="344" t="s">
        <v>201</v>
      </c>
      <c r="O68" s="345"/>
      <c r="P68" s="131">
        <f>SUM(P61:P67)</f>
        <v>0</v>
      </c>
      <c r="Q68" s="344" t="s">
        <v>201</v>
      </c>
      <c r="R68" s="345"/>
      <c r="S68" s="131">
        <f>SUM(S61:S67)</f>
        <v>0</v>
      </c>
      <c r="T68" s="344" t="s">
        <v>201</v>
      </c>
      <c r="U68" s="345"/>
      <c r="V68" s="131">
        <f>SUM(V61:V67)</f>
        <v>0</v>
      </c>
      <c r="W68" s="344" t="s">
        <v>201</v>
      </c>
      <c r="X68" s="345"/>
      <c r="Y68" s="132">
        <f>SUM(Y61:Y67)</f>
        <v>0</v>
      </c>
      <c r="Z68" s="152"/>
    </row>
    <row r="69" spans="2:26" s="35" customFormat="1" ht="17.100000000000001" customHeight="1">
      <c r="B69" s="114"/>
      <c r="C69" s="157">
        <f>'2. Rekap Back Up Beton'!C27</f>
        <v>600</v>
      </c>
      <c r="D69" s="158">
        <f>'2. Rekap Back Up Beton'!D27</f>
        <v>700</v>
      </c>
      <c r="E69" s="159">
        <f>'2. Rekap Back Up Beton'!E27</f>
        <v>5</v>
      </c>
      <c r="F69" s="112">
        <f>(100/((D69-C69)*E69))*((J76*0.5)+(M76*1)+(P76*2)+(S76*20)+(V76*15)+(Y76*1.5))</f>
        <v>0</v>
      </c>
      <c r="G69" s="116" t="str">
        <f>IF(F69&lt;=25,"B",IF(F69&lt;=75,"S",IF(F69&lt;=100,"RR","RB")))</f>
        <v>B</v>
      </c>
      <c r="H69" s="135">
        <v>0</v>
      </c>
      <c r="I69" s="136">
        <v>0</v>
      </c>
      <c r="J69" s="137">
        <f t="shared" ref="J69:J75" si="36">H69*I69</f>
        <v>0</v>
      </c>
      <c r="K69" s="135">
        <v>0</v>
      </c>
      <c r="L69" s="136">
        <v>0</v>
      </c>
      <c r="M69" s="137">
        <f t="shared" ref="M69:M75" si="37">K69*L69</f>
        <v>0</v>
      </c>
      <c r="N69" s="135">
        <v>0</v>
      </c>
      <c r="O69" s="136">
        <v>4</v>
      </c>
      <c r="P69" s="137">
        <f t="shared" ref="P69:P75" si="38">N69*O69</f>
        <v>0</v>
      </c>
      <c r="Q69" s="135">
        <v>0</v>
      </c>
      <c r="R69" s="136">
        <v>0</v>
      </c>
      <c r="S69" s="137">
        <f t="shared" ref="S69:S75" si="39">Q69*R69</f>
        <v>0</v>
      </c>
      <c r="T69" s="135">
        <v>0</v>
      </c>
      <c r="U69" s="136">
        <v>0</v>
      </c>
      <c r="V69" s="137">
        <f>T69*U69</f>
        <v>0</v>
      </c>
      <c r="W69" s="135">
        <v>0</v>
      </c>
      <c r="X69" s="136">
        <v>0</v>
      </c>
      <c r="Y69" s="148">
        <f t="shared" ref="Y69:Y75" si="40">W69*X69</f>
        <v>0</v>
      </c>
      <c r="Z69" s="153"/>
    </row>
    <row r="70" spans="2:26" s="35" customFormat="1" ht="17.100000000000001" customHeight="1">
      <c r="B70" s="105"/>
      <c r="C70" s="54"/>
      <c r="D70" s="96"/>
      <c r="E70" s="111"/>
      <c r="F70" s="112"/>
      <c r="G70" s="113"/>
      <c r="H70" s="100">
        <v>0</v>
      </c>
      <c r="I70" s="98">
        <v>0</v>
      </c>
      <c r="J70" s="101">
        <f t="shared" si="36"/>
        <v>0</v>
      </c>
      <c r="K70" s="100">
        <v>0</v>
      </c>
      <c r="L70" s="98">
        <v>0</v>
      </c>
      <c r="M70" s="101">
        <f t="shared" si="37"/>
        <v>0</v>
      </c>
      <c r="N70" s="100">
        <v>0</v>
      </c>
      <c r="O70" s="98">
        <v>0</v>
      </c>
      <c r="P70" s="101">
        <f t="shared" si="38"/>
        <v>0</v>
      </c>
      <c r="Q70" s="100">
        <v>0</v>
      </c>
      <c r="R70" s="98">
        <v>0</v>
      </c>
      <c r="S70" s="101">
        <f t="shared" si="39"/>
        <v>0</v>
      </c>
      <c r="T70" s="100">
        <v>0</v>
      </c>
      <c r="U70" s="98">
        <v>0</v>
      </c>
      <c r="V70" s="101">
        <f t="shared" ref="V70:V75" si="41">T70*U70</f>
        <v>0</v>
      </c>
      <c r="W70" s="100">
        <v>0</v>
      </c>
      <c r="X70" s="98">
        <v>0</v>
      </c>
      <c r="Y70" s="147">
        <f t="shared" si="40"/>
        <v>0</v>
      </c>
      <c r="Z70" s="150"/>
    </row>
    <row r="71" spans="2:26" s="35" customFormat="1" ht="17.100000000000001" customHeight="1">
      <c r="B71" s="105"/>
      <c r="C71" s="54"/>
      <c r="D71" s="96"/>
      <c r="E71" s="111"/>
      <c r="F71" s="112"/>
      <c r="G71" s="113"/>
      <c r="H71" s="100">
        <v>0</v>
      </c>
      <c r="I71" s="98">
        <v>0</v>
      </c>
      <c r="J71" s="101">
        <f t="shared" si="36"/>
        <v>0</v>
      </c>
      <c r="K71" s="100">
        <v>0</v>
      </c>
      <c r="L71" s="98">
        <v>0</v>
      </c>
      <c r="M71" s="101">
        <f t="shared" si="37"/>
        <v>0</v>
      </c>
      <c r="N71" s="100">
        <v>0</v>
      </c>
      <c r="O71" s="98">
        <v>0</v>
      </c>
      <c r="P71" s="101">
        <f t="shared" si="38"/>
        <v>0</v>
      </c>
      <c r="Q71" s="100">
        <v>0</v>
      </c>
      <c r="R71" s="98">
        <v>0</v>
      </c>
      <c r="S71" s="101">
        <f t="shared" si="39"/>
        <v>0</v>
      </c>
      <c r="T71" s="100">
        <v>0</v>
      </c>
      <c r="U71" s="98">
        <v>0</v>
      </c>
      <c r="V71" s="101">
        <f t="shared" si="41"/>
        <v>0</v>
      </c>
      <c r="W71" s="100">
        <v>0</v>
      </c>
      <c r="X71" s="98">
        <v>0</v>
      </c>
      <c r="Y71" s="147">
        <f t="shared" si="40"/>
        <v>0</v>
      </c>
      <c r="Z71" s="150"/>
    </row>
    <row r="72" spans="2:26" s="35" customFormat="1" ht="17.100000000000001" customHeight="1">
      <c r="B72" s="105"/>
      <c r="C72" s="54"/>
      <c r="D72" s="96"/>
      <c r="E72" s="111"/>
      <c r="F72" s="112"/>
      <c r="G72" s="113"/>
      <c r="H72" s="100">
        <v>0</v>
      </c>
      <c r="I72" s="98">
        <v>0</v>
      </c>
      <c r="J72" s="101">
        <f t="shared" si="36"/>
        <v>0</v>
      </c>
      <c r="K72" s="100">
        <v>0</v>
      </c>
      <c r="L72" s="98">
        <v>0</v>
      </c>
      <c r="M72" s="101">
        <f t="shared" si="37"/>
        <v>0</v>
      </c>
      <c r="N72" s="100">
        <v>0</v>
      </c>
      <c r="O72" s="98">
        <v>0</v>
      </c>
      <c r="P72" s="101">
        <f t="shared" si="38"/>
        <v>0</v>
      </c>
      <c r="Q72" s="100">
        <v>0</v>
      </c>
      <c r="R72" s="98">
        <v>0</v>
      </c>
      <c r="S72" s="101">
        <f t="shared" si="39"/>
        <v>0</v>
      </c>
      <c r="T72" s="100">
        <v>0</v>
      </c>
      <c r="U72" s="98">
        <v>0</v>
      </c>
      <c r="V72" s="101">
        <f t="shared" si="41"/>
        <v>0</v>
      </c>
      <c r="W72" s="100">
        <v>0</v>
      </c>
      <c r="X72" s="98">
        <v>0</v>
      </c>
      <c r="Y72" s="147">
        <f t="shared" si="40"/>
        <v>0</v>
      </c>
      <c r="Z72" s="150"/>
    </row>
    <row r="73" spans="2:26" s="35" customFormat="1" ht="17.100000000000001" customHeight="1">
      <c r="B73" s="105"/>
      <c r="C73" s="54"/>
      <c r="D73" s="96"/>
      <c r="E73" s="111"/>
      <c r="F73" s="112"/>
      <c r="G73" s="113"/>
      <c r="H73" s="100">
        <v>0</v>
      </c>
      <c r="I73" s="98">
        <v>0</v>
      </c>
      <c r="J73" s="101">
        <f t="shared" si="36"/>
        <v>0</v>
      </c>
      <c r="K73" s="100">
        <v>0</v>
      </c>
      <c r="L73" s="98">
        <v>0</v>
      </c>
      <c r="M73" s="101">
        <f t="shared" si="37"/>
        <v>0</v>
      </c>
      <c r="N73" s="100">
        <v>0</v>
      </c>
      <c r="O73" s="98">
        <v>0</v>
      </c>
      <c r="P73" s="101">
        <f t="shared" si="38"/>
        <v>0</v>
      </c>
      <c r="Q73" s="100">
        <v>0</v>
      </c>
      <c r="R73" s="98">
        <v>0</v>
      </c>
      <c r="S73" s="101">
        <f t="shared" si="39"/>
        <v>0</v>
      </c>
      <c r="T73" s="100">
        <v>0</v>
      </c>
      <c r="U73" s="98">
        <v>0</v>
      </c>
      <c r="V73" s="101">
        <f t="shared" si="41"/>
        <v>0</v>
      </c>
      <c r="W73" s="100">
        <v>0</v>
      </c>
      <c r="X73" s="98">
        <v>0</v>
      </c>
      <c r="Y73" s="147">
        <f t="shared" si="40"/>
        <v>0</v>
      </c>
      <c r="Z73" s="150"/>
    </row>
    <row r="74" spans="2:26" s="35" customFormat="1" ht="17.100000000000001" customHeight="1">
      <c r="B74" s="105"/>
      <c r="C74" s="54"/>
      <c r="D74" s="96"/>
      <c r="E74" s="111"/>
      <c r="F74" s="112"/>
      <c r="G74" s="113"/>
      <c r="H74" s="100">
        <v>0</v>
      </c>
      <c r="I74" s="98">
        <v>0</v>
      </c>
      <c r="J74" s="101">
        <f t="shared" si="36"/>
        <v>0</v>
      </c>
      <c r="K74" s="100">
        <v>0</v>
      </c>
      <c r="L74" s="98">
        <v>0</v>
      </c>
      <c r="M74" s="101">
        <f t="shared" si="37"/>
        <v>0</v>
      </c>
      <c r="N74" s="100">
        <v>0</v>
      </c>
      <c r="O74" s="98">
        <v>0</v>
      </c>
      <c r="P74" s="101">
        <f t="shared" si="38"/>
        <v>0</v>
      </c>
      <c r="Q74" s="100">
        <v>0</v>
      </c>
      <c r="R74" s="98">
        <v>0</v>
      </c>
      <c r="S74" s="101">
        <f t="shared" si="39"/>
        <v>0</v>
      </c>
      <c r="T74" s="100">
        <v>0</v>
      </c>
      <c r="U74" s="98">
        <v>0</v>
      </c>
      <c r="V74" s="101">
        <f t="shared" si="41"/>
        <v>0</v>
      </c>
      <c r="W74" s="100">
        <v>0</v>
      </c>
      <c r="X74" s="98">
        <v>0</v>
      </c>
      <c r="Y74" s="147">
        <f t="shared" si="40"/>
        <v>0</v>
      </c>
      <c r="Z74" s="150"/>
    </row>
    <row r="75" spans="2:26" s="35" customFormat="1" ht="17.100000000000001" customHeight="1">
      <c r="B75" s="105"/>
      <c r="C75" s="54"/>
      <c r="D75" s="96"/>
      <c r="E75" s="111"/>
      <c r="F75" s="112"/>
      <c r="G75" s="113"/>
      <c r="H75" s="100">
        <v>0</v>
      </c>
      <c r="I75" s="98">
        <v>0</v>
      </c>
      <c r="J75" s="101">
        <f t="shared" si="36"/>
        <v>0</v>
      </c>
      <c r="K75" s="100">
        <v>0</v>
      </c>
      <c r="L75" s="98">
        <v>0</v>
      </c>
      <c r="M75" s="101">
        <f t="shared" si="37"/>
        <v>0</v>
      </c>
      <c r="N75" s="100">
        <v>0</v>
      </c>
      <c r="O75" s="98">
        <v>0</v>
      </c>
      <c r="P75" s="101">
        <f t="shared" si="38"/>
        <v>0</v>
      </c>
      <c r="Q75" s="100">
        <v>0</v>
      </c>
      <c r="R75" s="98">
        <v>0</v>
      </c>
      <c r="S75" s="101">
        <f t="shared" si="39"/>
        <v>0</v>
      </c>
      <c r="T75" s="100">
        <v>0</v>
      </c>
      <c r="U75" s="98">
        <v>0</v>
      </c>
      <c r="V75" s="101">
        <f t="shared" si="41"/>
        <v>0</v>
      </c>
      <c r="W75" s="100">
        <v>0</v>
      </c>
      <c r="X75" s="98">
        <v>0</v>
      </c>
      <c r="Y75" s="147">
        <f t="shared" si="40"/>
        <v>0</v>
      </c>
      <c r="Z75" s="150"/>
    </row>
    <row r="76" spans="2:26" s="126" customFormat="1" ht="17.100000000000001" customHeight="1">
      <c r="B76" s="118"/>
      <c r="C76" s="119"/>
      <c r="D76" s="120"/>
      <c r="E76" s="121"/>
      <c r="F76" s="122"/>
      <c r="G76" s="123"/>
      <c r="H76" s="341" t="s">
        <v>201</v>
      </c>
      <c r="I76" s="342"/>
      <c r="J76" s="124">
        <f>SUM(J69:J75)</f>
        <v>0</v>
      </c>
      <c r="K76" s="341" t="s">
        <v>201</v>
      </c>
      <c r="L76" s="342"/>
      <c r="M76" s="124">
        <f>SUM(M69:M75)</f>
        <v>0</v>
      </c>
      <c r="N76" s="341" t="s">
        <v>201</v>
      </c>
      <c r="O76" s="342"/>
      <c r="P76" s="124">
        <f>SUM(P69:P75)</f>
        <v>0</v>
      </c>
      <c r="Q76" s="341" t="s">
        <v>201</v>
      </c>
      <c r="R76" s="342"/>
      <c r="S76" s="124">
        <f>SUM(S69:S75)</f>
        <v>0</v>
      </c>
      <c r="T76" s="341" t="s">
        <v>201</v>
      </c>
      <c r="U76" s="342"/>
      <c r="V76" s="124">
        <f>SUM(V69:V75)</f>
        <v>0</v>
      </c>
      <c r="W76" s="341" t="s">
        <v>201</v>
      </c>
      <c r="X76" s="342"/>
      <c r="Y76" s="127">
        <f>SUM(Y69:Y75)</f>
        <v>0</v>
      </c>
      <c r="Z76" s="151"/>
    </row>
    <row r="77" spans="2:26" s="35" customFormat="1" ht="17.100000000000001" customHeight="1">
      <c r="B77" s="105"/>
      <c r="C77" s="54">
        <f>'2. Rekap Back Up Beton'!C28</f>
        <v>700</v>
      </c>
      <c r="D77" s="96">
        <f>'2. Rekap Back Up Beton'!D28</f>
        <v>800</v>
      </c>
      <c r="E77" s="111">
        <f>'2. Rekap Back Up Beton'!E28</f>
        <v>5</v>
      </c>
      <c r="F77" s="112">
        <f>(100/((D77-C77)*E77))*((J84*0.5)+(M84*1)+(P84*2)+(S84*20)+(V84*15)+(Y84*1.5))</f>
        <v>0</v>
      </c>
      <c r="G77" s="113" t="str">
        <f>IF(F77&lt;=25,"B",IF(F77&lt;=75,"S",IF(F77&lt;=100,"RR","RB")))</f>
        <v>B</v>
      </c>
      <c r="H77" s="100">
        <v>0</v>
      </c>
      <c r="I77" s="98">
        <v>0</v>
      </c>
      <c r="J77" s="101">
        <f t="shared" ref="J77:J83" si="42">H77*I77</f>
        <v>0</v>
      </c>
      <c r="K77" s="100">
        <v>0</v>
      </c>
      <c r="L77" s="98">
        <v>0</v>
      </c>
      <c r="M77" s="101">
        <f t="shared" ref="M77:M83" si="43">K77*L77</f>
        <v>0</v>
      </c>
      <c r="N77" s="100">
        <v>0</v>
      </c>
      <c r="O77" s="98">
        <v>4</v>
      </c>
      <c r="P77" s="101">
        <f t="shared" ref="P77:P83" si="44">N77*O77</f>
        <v>0</v>
      </c>
      <c r="Q77" s="100">
        <v>0</v>
      </c>
      <c r="R77" s="98">
        <v>0</v>
      </c>
      <c r="S77" s="101">
        <f t="shared" ref="S77:S83" si="45">Q77*R77</f>
        <v>0</v>
      </c>
      <c r="T77" s="100">
        <v>0</v>
      </c>
      <c r="U77" s="98">
        <v>0</v>
      </c>
      <c r="V77" s="101">
        <f>T77*U77</f>
        <v>0</v>
      </c>
      <c r="W77" s="100">
        <v>0</v>
      </c>
      <c r="X77" s="98">
        <v>0</v>
      </c>
      <c r="Y77" s="147">
        <f t="shared" ref="Y77:Y83" si="46">W77*X77</f>
        <v>0</v>
      </c>
      <c r="Z77" s="150"/>
    </row>
    <row r="78" spans="2:26" s="35" customFormat="1" ht="17.100000000000001" customHeight="1">
      <c r="B78" s="105"/>
      <c r="C78" s="54"/>
      <c r="D78" s="96"/>
      <c r="E78" s="111"/>
      <c r="F78" s="112"/>
      <c r="G78" s="113"/>
      <c r="H78" s="100">
        <v>0</v>
      </c>
      <c r="I78" s="98">
        <v>0</v>
      </c>
      <c r="J78" s="101">
        <f t="shared" si="42"/>
        <v>0</v>
      </c>
      <c r="K78" s="100">
        <v>0</v>
      </c>
      <c r="L78" s="98">
        <v>0</v>
      </c>
      <c r="M78" s="101">
        <f t="shared" si="43"/>
        <v>0</v>
      </c>
      <c r="N78" s="100">
        <v>0</v>
      </c>
      <c r="O78" s="98">
        <v>0</v>
      </c>
      <c r="P78" s="101">
        <f t="shared" si="44"/>
        <v>0</v>
      </c>
      <c r="Q78" s="100">
        <v>0</v>
      </c>
      <c r="R78" s="98">
        <v>0</v>
      </c>
      <c r="S78" s="101">
        <f t="shared" si="45"/>
        <v>0</v>
      </c>
      <c r="T78" s="100">
        <v>0</v>
      </c>
      <c r="U78" s="98">
        <v>0</v>
      </c>
      <c r="V78" s="101">
        <f t="shared" ref="V78:V83" si="47">T78*U78</f>
        <v>0</v>
      </c>
      <c r="W78" s="100">
        <v>0</v>
      </c>
      <c r="X78" s="98">
        <v>0</v>
      </c>
      <c r="Y78" s="147">
        <f t="shared" si="46"/>
        <v>0</v>
      </c>
      <c r="Z78" s="150"/>
    </row>
    <row r="79" spans="2:26" s="35" customFormat="1" ht="17.100000000000001" customHeight="1">
      <c r="B79" s="105"/>
      <c r="C79" s="54"/>
      <c r="D79" s="96"/>
      <c r="E79" s="111"/>
      <c r="F79" s="112"/>
      <c r="G79" s="113"/>
      <c r="H79" s="100">
        <v>0</v>
      </c>
      <c r="I79" s="98">
        <v>0</v>
      </c>
      <c r="J79" s="101">
        <f t="shared" si="42"/>
        <v>0</v>
      </c>
      <c r="K79" s="100">
        <v>0</v>
      </c>
      <c r="L79" s="98">
        <v>0</v>
      </c>
      <c r="M79" s="101">
        <f t="shared" si="43"/>
        <v>0</v>
      </c>
      <c r="N79" s="100">
        <v>0</v>
      </c>
      <c r="O79" s="98">
        <v>0</v>
      </c>
      <c r="P79" s="101">
        <f t="shared" si="44"/>
        <v>0</v>
      </c>
      <c r="Q79" s="100">
        <v>0</v>
      </c>
      <c r="R79" s="98">
        <v>0</v>
      </c>
      <c r="S79" s="101">
        <f t="shared" si="45"/>
        <v>0</v>
      </c>
      <c r="T79" s="100">
        <v>0</v>
      </c>
      <c r="U79" s="98">
        <v>0</v>
      </c>
      <c r="V79" s="101">
        <f t="shared" si="47"/>
        <v>0</v>
      </c>
      <c r="W79" s="100">
        <v>0</v>
      </c>
      <c r="X79" s="98">
        <v>0</v>
      </c>
      <c r="Y79" s="147">
        <f t="shared" si="46"/>
        <v>0</v>
      </c>
      <c r="Z79" s="150"/>
    </row>
    <row r="80" spans="2:26" s="35" customFormat="1" ht="17.100000000000001" customHeight="1">
      <c r="B80" s="105"/>
      <c r="C80" s="54"/>
      <c r="D80" s="96"/>
      <c r="E80" s="111"/>
      <c r="F80" s="112"/>
      <c r="G80" s="113"/>
      <c r="H80" s="100">
        <v>0</v>
      </c>
      <c r="I80" s="98">
        <v>0</v>
      </c>
      <c r="J80" s="101">
        <f t="shared" si="42"/>
        <v>0</v>
      </c>
      <c r="K80" s="100">
        <v>0</v>
      </c>
      <c r="L80" s="98">
        <v>0</v>
      </c>
      <c r="M80" s="101">
        <f t="shared" si="43"/>
        <v>0</v>
      </c>
      <c r="N80" s="100">
        <v>0</v>
      </c>
      <c r="O80" s="98">
        <v>0</v>
      </c>
      <c r="P80" s="101">
        <f t="shared" si="44"/>
        <v>0</v>
      </c>
      <c r="Q80" s="100">
        <v>0</v>
      </c>
      <c r="R80" s="98">
        <v>0</v>
      </c>
      <c r="S80" s="101">
        <f t="shared" si="45"/>
        <v>0</v>
      </c>
      <c r="T80" s="100">
        <v>0</v>
      </c>
      <c r="U80" s="98">
        <v>0</v>
      </c>
      <c r="V80" s="101">
        <f t="shared" si="47"/>
        <v>0</v>
      </c>
      <c r="W80" s="100">
        <v>0</v>
      </c>
      <c r="X80" s="98">
        <v>0</v>
      </c>
      <c r="Y80" s="147">
        <f t="shared" si="46"/>
        <v>0</v>
      </c>
      <c r="Z80" s="150"/>
    </row>
    <row r="81" spans="2:26" s="35" customFormat="1" ht="17.100000000000001" customHeight="1">
      <c r="B81" s="105"/>
      <c r="C81" s="54"/>
      <c r="D81" s="96"/>
      <c r="E81" s="111"/>
      <c r="F81" s="112"/>
      <c r="G81" s="113"/>
      <c r="H81" s="100">
        <v>0</v>
      </c>
      <c r="I81" s="98">
        <v>0</v>
      </c>
      <c r="J81" s="101">
        <f t="shared" si="42"/>
        <v>0</v>
      </c>
      <c r="K81" s="100">
        <v>0</v>
      </c>
      <c r="L81" s="98">
        <v>0</v>
      </c>
      <c r="M81" s="101">
        <f t="shared" si="43"/>
        <v>0</v>
      </c>
      <c r="N81" s="100">
        <v>0</v>
      </c>
      <c r="O81" s="98">
        <v>0</v>
      </c>
      <c r="P81" s="101">
        <f t="shared" si="44"/>
        <v>0</v>
      </c>
      <c r="Q81" s="100">
        <v>0</v>
      </c>
      <c r="R81" s="98">
        <v>0</v>
      </c>
      <c r="S81" s="101">
        <f t="shared" si="45"/>
        <v>0</v>
      </c>
      <c r="T81" s="100">
        <v>0</v>
      </c>
      <c r="U81" s="98">
        <v>0</v>
      </c>
      <c r="V81" s="101">
        <f t="shared" si="47"/>
        <v>0</v>
      </c>
      <c r="W81" s="100">
        <v>0</v>
      </c>
      <c r="X81" s="98">
        <v>0</v>
      </c>
      <c r="Y81" s="147">
        <f t="shared" si="46"/>
        <v>0</v>
      </c>
      <c r="Z81" s="150"/>
    </row>
    <row r="82" spans="2:26" s="35" customFormat="1" ht="17.100000000000001" customHeight="1">
      <c r="B82" s="105"/>
      <c r="C82" s="54"/>
      <c r="D82" s="96"/>
      <c r="E82" s="111"/>
      <c r="F82" s="112"/>
      <c r="G82" s="113"/>
      <c r="H82" s="100">
        <v>0</v>
      </c>
      <c r="I82" s="98">
        <v>0</v>
      </c>
      <c r="J82" s="101">
        <f t="shared" si="42"/>
        <v>0</v>
      </c>
      <c r="K82" s="100">
        <v>0</v>
      </c>
      <c r="L82" s="98">
        <v>0</v>
      </c>
      <c r="M82" s="101">
        <f t="shared" si="43"/>
        <v>0</v>
      </c>
      <c r="N82" s="100">
        <v>0</v>
      </c>
      <c r="O82" s="98">
        <v>0</v>
      </c>
      <c r="P82" s="101">
        <f t="shared" si="44"/>
        <v>0</v>
      </c>
      <c r="Q82" s="100">
        <v>0</v>
      </c>
      <c r="R82" s="98">
        <v>0</v>
      </c>
      <c r="S82" s="101">
        <f t="shared" si="45"/>
        <v>0</v>
      </c>
      <c r="T82" s="100">
        <v>0</v>
      </c>
      <c r="U82" s="98">
        <v>0</v>
      </c>
      <c r="V82" s="101">
        <f t="shared" si="47"/>
        <v>0</v>
      </c>
      <c r="W82" s="100">
        <v>0</v>
      </c>
      <c r="X82" s="98">
        <v>0</v>
      </c>
      <c r="Y82" s="147">
        <f t="shared" si="46"/>
        <v>0</v>
      </c>
      <c r="Z82" s="150"/>
    </row>
    <row r="83" spans="2:26" s="35" customFormat="1" ht="17.100000000000001" customHeight="1">
      <c r="B83" s="105"/>
      <c r="C83" s="54"/>
      <c r="D83" s="96"/>
      <c r="E83" s="111"/>
      <c r="F83" s="112"/>
      <c r="G83" s="113"/>
      <c r="H83" s="100">
        <v>0</v>
      </c>
      <c r="I83" s="98">
        <v>0</v>
      </c>
      <c r="J83" s="101">
        <f t="shared" si="42"/>
        <v>0</v>
      </c>
      <c r="K83" s="100">
        <v>0</v>
      </c>
      <c r="L83" s="98">
        <v>0</v>
      </c>
      <c r="M83" s="101">
        <f t="shared" si="43"/>
        <v>0</v>
      </c>
      <c r="N83" s="100">
        <v>0</v>
      </c>
      <c r="O83" s="98">
        <v>0</v>
      </c>
      <c r="P83" s="101">
        <f t="shared" si="44"/>
        <v>0</v>
      </c>
      <c r="Q83" s="100">
        <v>0</v>
      </c>
      <c r="R83" s="98">
        <v>0</v>
      </c>
      <c r="S83" s="101">
        <f t="shared" si="45"/>
        <v>0</v>
      </c>
      <c r="T83" s="100">
        <v>0</v>
      </c>
      <c r="U83" s="98">
        <v>0</v>
      </c>
      <c r="V83" s="101">
        <f t="shared" si="47"/>
        <v>0</v>
      </c>
      <c r="W83" s="100">
        <v>0</v>
      </c>
      <c r="X83" s="98">
        <v>0</v>
      </c>
      <c r="Y83" s="147">
        <f t="shared" si="46"/>
        <v>0</v>
      </c>
      <c r="Z83" s="150"/>
    </row>
    <row r="84" spans="2:26" s="126" customFormat="1" ht="17.100000000000001" customHeight="1">
      <c r="B84" s="118"/>
      <c r="C84" s="119"/>
      <c r="D84" s="120"/>
      <c r="E84" s="121"/>
      <c r="F84" s="122"/>
      <c r="G84" s="123"/>
      <c r="H84" s="341" t="s">
        <v>201</v>
      </c>
      <c r="I84" s="342"/>
      <c r="J84" s="124">
        <f>SUM(J77:J83)</f>
        <v>0</v>
      </c>
      <c r="K84" s="341" t="s">
        <v>201</v>
      </c>
      <c r="L84" s="342"/>
      <c r="M84" s="124">
        <f>SUM(M77:M83)</f>
        <v>0</v>
      </c>
      <c r="N84" s="341" t="s">
        <v>201</v>
      </c>
      <c r="O84" s="342"/>
      <c r="P84" s="124">
        <f>SUM(P77:P83)</f>
        <v>0</v>
      </c>
      <c r="Q84" s="341" t="s">
        <v>201</v>
      </c>
      <c r="R84" s="342"/>
      <c r="S84" s="124">
        <f>SUM(S77:S83)</f>
        <v>0</v>
      </c>
      <c r="T84" s="341" t="s">
        <v>201</v>
      </c>
      <c r="U84" s="342"/>
      <c r="V84" s="124">
        <f>SUM(V77:V83)</f>
        <v>0</v>
      </c>
      <c r="W84" s="341" t="s">
        <v>201</v>
      </c>
      <c r="X84" s="342"/>
      <c r="Y84" s="127">
        <f>SUM(Y77:Y83)</f>
        <v>0</v>
      </c>
      <c r="Z84" s="151"/>
    </row>
    <row r="85" spans="2:26" s="35" customFormat="1" ht="17.100000000000001" customHeight="1">
      <c r="B85" s="105"/>
      <c r="C85" s="54">
        <f>'2. Rekap Back Up Beton'!C29</f>
        <v>800</v>
      </c>
      <c r="D85" s="96">
        <f>'2. Rekap Back Up Beton'!D29</f>
        <v>900</v>
      </c>
      <c r="E85" s="111">
        <f>'2. Rekap Back Up Beton'!E29</f>
        <v>6</v>
      </c>
      <c r="F85" s="112">
        <f>(100/((D85-C85)*E85))*((J92*0.5)+(M92*1)+(P92*2)+(S92*20)+(V92*15)+(Y92*1.5))</f>
        <v>0</v>
      </c>
      <c r="G85" s="113" t="str">
        <f>IF(F85&lt;=25,"B",IF(F85&lt;=75,"S",IF(F85&lt;=100,"RR","RB")))</f>
        <v>B</v>
      </c>
      <c r="H85" s="100">
        <v>0</v>
      </c>
      <c r="I85" s="98">
        <v>0</v>
      </c>
      <c r="J85" s="101">
        <f t="shared" ref="J85:J91" si="48">H85*I85</f>
        <v>0</v>
      </c>
      <c r="K85" s="100">
        <v>0</v>
      </c>
      <c r="L85" s="98">
        <v>0</v>
      </c>
      <c r="M85" s="101">
        <f t="shared" ref="M85:M91" si="49">K85*L85</f>
        <v>0</v>
      </c>
      <c r="N85" s="100">
        <v>0</v>
      </c>
      <c r="O85" s="98">
        <v>4</v>
      </c>
      <c r="P85" s="101">
        <f t="shared" ref="P85:P91" si="50">N85*O85</f>
        <v>0</v>
      </c>
      <c r="Q85" s="100">
        <v>0</v>
      </c>
      <c r="R85" s="98">
        <v>0</v>
      </c>
      <c r="S85" s="101">
        <f t="shared" ref="S85:S91" si="51">Q85*R85</f>
        <v>0</v>
      </c>
      <c r="T85" s="100">
        <v>0</v>
      </c>
      <c r="U85" s="98">
        <v>0</v>
      </c>
      <c r="V85" s="101">
        <f>T85*U85</f>
        <v>0</v>
      </c>
      <c r="W85" s="100">
        <v>0</v>
      </c>
      <c r="X85" s="98">
        <v>0</v>
      </c>
      <c r="Y85" s="147">
        <f t="shared" ref="Y85:Y91" si="52">W85*X85</f>
        <v>0</v>
      </c>
      <c r="Z85" s="150"/>
    </row>
    <row r="86" spans="2:26" s="35" customFormat="1" ht="17.100000000000001" customHeight="1">
      <c r="B86" s="105"/>
      <c r="C86" s="54"/>
      <c r="D86" s="96"/>
      <c r="E86" s="111"/>
      <c r="F86" s="112"/>
      <c r="G86" s="113"/>
      <c r="H86" s="100">
        <v>0</v>
      </c>
      <c r="I86" s="98">
        <v>0</v>
      </c>
      <c r="J86" s="101">
        <f t="shared" si="48"/>
        <v>0</v>
      </c>
      <c r="K86" s="100">
        <v>0</v>
      </c>
      <c r="L86" s="98">
        <v>0</v>
      </c>
      <c r="M86" s="101">
        <f t="shared" si="49"/>
        <v>0</v>
      </c>
      <c r="N86" s="100">
        <v>0</v>
      </c>
      <c r="O86" s="98">
        <v>0</v>
      </c>
      <c r="P86" s="101">
        <f t="shared" si="50"/>
        <v>0</v>
      </c>
      <c r="Q86" s="100">
        <v>0</v>
      </c>
      <c r="R86" s="98">
        <v>0</v>
      </c>
      <c r="S86" s="101">
        <f t="shared" si="51"/>
        <v>0</v>
      </c>
      <c r="T86" s="100">
        <v>0</v>
      </c>
      <c r="U86" s="98">
        <v>0</v>
      </c>
      <c r="V86" s="101">
        <f t="shared" ref="V86:V91" si="53">T86*U86</f>
        <v>0</v>
      </c>
      <c r="W86" s="100">
        <v>0</v>
      </c>
      <c r="X86" s="98">
        <v>0</v>
      </c>
      <c r="Y86" s="147">
        <f t="shared" si="52"/>
        <v>0</v>
      </c>
      <c r="Z86" s="150"/>
    </row>
    <row r="87" spans="2:26" s="35" customFormat="1" ht="17.100000000000001" customHeight="1">
      <c r="B87" s="105"/>
      <c r="C87" s="54"/>
      <c r="D87" s="96"/>
      <c r="E87" s="111"/>
      <c r="F87" s="112"/>
      <c r="G87" s="113"/>
      <c r="H87" s="100">
        <v>0</v>
      </c>
      <c r="I87" s="98">
        <v>0</v>
      </c>
      <c r="J87" s="101">
        <f t="shared" si="48"/>
        <v>0</v>
      </c>
      <c r="K87" s="100">
        <v>0</v>
      </c>
      <c r="L87" s="98">
        <v>0</v>
      </c>
      <c r="M87" s="101">
        <f t="shared" si="49"/>
        <v>0</v>
      </c>
      <c r="N87" s="100">
        <v>0</v>
      </c>
      <c r="O87" s="98">
        <v>0</v>
      </c>
      <c r="P87" s="101">
        <f t="shared" si="50"/>
        <v>0</v>
      </c>
      <c r="Q87" s="100">
        <v>0</v>
      </c>
      <c r="R87" s="98">
        <v>0</v>
      </c>
      <c r="S87" s="101">
        <f t="shared" si="51"/>
        <v>0</v>
      </c>
      <c r="T87" s="100">
        <v>0</v>
      </c>
      <c r="U87" s="98">
        <v>0</v>
      </c>
      <c r="V87" s="101">
        <f t="shared" si="53"/>
        <v>0</v>
      </c>
      <c r="W87" s="100">
        <v>0</v>
      </c>
      <c r="X87" s="98">
        <v>0</v>
      </c>
      <c r="Y87" s="147">
        <f t="shared" si="52"/>
        <v>0</v>
      </c>
      <c r="Z87" s="150"/>
    </row>
    <row r="88" spans="2:26" s="35" customFormat="1" ht="17.100000000000001" customHeight="1">
      <c r="B88" s="105"/>
      <c r="C88" s="54"/>
      <c r="D88" s="96"/>
      <c r="E88" s="111"/>
      <c r="F88" s="112"/>
      <c r="G88" s="113"/>
      <c r="H88" s="100">
        <v>0</v>
      </c>
      <c r="I88" s="98">
        <v>0</v>
      </c>
      <c r="J88" s="101">
        <f t="shared" si="48"/>
        <v>0</v>
      </c>
      <c r="K88" s="100">
        <v>0</v>
      </c>
      <c r="L88" s="98">
        <v>0</v>
      </c>
      <c r="M88" s="101">
        <f t="shared" si="49"/>
        <v>0</v>
      </c>
      <c r="N88" s="100">
        <v>0</v>
      </c>
      <c r="O88" s="98">
        <v>0</v>
      </c>
      <c r="P88" s="101">
        <f t="shared" si="50"/>
        <v>0</v>
      </c>
      <c r="Q88" s="100">
        <v>0</v>
      </c>
      <c r="R88" s="98">
        <v>0</v>
      </c>
      <c r="S88" s="101">
        <f t="shared" si="51"/>
        <v>0</v>
      </c>
      <c r="T88" s="100">
        <v>0</v>
      </c>
      <c r="U88" s="98">
        <v>0</v>
      </c>
      <c r="V88" s="101">
        <f t="shared" si="53"/>
        <v>0</v>
      </c>
      <c r="W88" s="100">
        <v>0</v>
      </c>
      <c r="X88" s="98">
        <v>0</v>
      </c>
      <c r="Y88" s="147">
        <f t="shared" si="52"/>
        <v>0</v>
      </c>
      <c r="Z88" s="150"/>
    </row>
    <row r="89" spans="2:26" s="35" customFormat="1" ht="17.100000000000001" customHeight="1">
      <c r="B89" s="105"/>
      <c r="C89" s="54"/>
      <c r="D89" s="96"/>
      <c r="E89" s="111"/>
      <c r="F89" s="112"/>
      <c r="G89" s="113"/>
      <c r="H89" s="100">
        <v>0</v>
      </c>
      <c r="I89" s="98">
        <v>0</v>
      </c>
      <c r="J89" s="101">
        <f t="shared" si="48"/>
        <v>0</v>
      </c>
      <c r="K89" s="100">
        <v>0</v>
      </c>
      <c r="L89" s="98">
        <v>0</v>
      </c>
      <c r="M89" s="101">
        <f t="shared" si="49"/>
        <v>0</v>
      </c>
      <c r="N89" s="100">
        <v>0</v>
      </c>
      <c r="O89" s="98">
        <v>0</v>
      </c>
      <c r="P89" s="101">
        <f t="shared" si="50"/>
        <v>0</v>
      </c>
      <c r="Q89" s="100">
        <v>0</v>
      </c>
      <c r="R89" s="98">
        <v>0</v>
      </c>
      <c r="S89" s="101">
        <f t="shared" si="51"/>
        <v>0</v>
      </c>
      <c r="T89" s="100">
        <v>0</v>
      </c>
      <c r="U89" s="98">
        <v>0</v>
      </c>
      <c r="V89" s="101">
        <f t="shared" si="53"/>
        <v>0</v>
      </c>
      <c r="W89" s="100">
        <v>0</v>
      </c>
      <c r="X89" s="98">
        <v>0</v>
      </c>
      <c r="Y89" s="147">
        <f t="shared" si="52"/>
        <v>0</v>
      </c>
      <c r="Z89" s="150"/>
    </row>
    <row r="90" spans="2:26" s="35" customFormat="1" ht="17.100000000000001" customHeight="1">
      <c r="B90" s="105"/>
      <c r="C90" s="54"/>
      <c r="D90" s="96"/>
      <c r="E90" s="111"/>
      <c r="F90" s="112"/>
      <c r="G90" s="113"/>
      <c r="H90" s="100">
        <v>0</v>
      </c>
      <c r="I90" s="98">
        <v>0</v>
      </c>
      <c r="J90" s="101">
        <f t="shared" si="48"/>
        <v>0</v>
      </c>
      <c r="K90" s="100">
        <v>0</v>
      </c>
      <c r="L90" s="98">
        <v>0</v>
      </c>
      <c r="M90" s="101">
        <f t="shared" si="49"/>
        <v>0</v>
      </c>
      <c r="N90" s="100">
        <v>0</v>
      </c>
      <c r="O90" s="98">
        <v>0</v>
      </c>
      <c r="P90" s="101">
        <f t="shared" si="50"/>
        <v>0</v>
      </c>
      <c r="Q90" s="100">
        <v>0</v>
      </c>
      <c r="R90" s="98">
        <v>0</v>
      </c>
      <c r="S90" s="101">
        <f t="shared" si="51"/>
        <v>0</v>
      </c>
      <c r="T90" s="100">
        <v>0</v>
      </c>
      <c r="U90" s="98">
        <v>0</v>
      </c>
      <c r="V90" s="101">
        <f t="shared" si="53"/>
        <v>0</v>
      </c>
      <c r="W90" s="100">
        <v>0</v>
      </c>
      <c r="X90" s="98">
        <v>0</v>
      </c>
      <c r="Y90" s="147">
        <f t="shared" si="52"/>
        <v>0</v>
      </c>
      <c r="Z90" s="150"/>
    </row>
    <row r="91" spans="2:26" s="35" customFormat="1" ht="17.100000000000001" customHeight="1">
      <c r="B91" s="105"/>
      <c r="C91" s="54"/>
      <c r="D91" s="96"/>
      <c r="E91" s="111"/>
      <c r="F91" s="112"/>
      <c r="G91" s="113"/>
      <c r="H91" s="100">
        <v>0</v>
      </c>
      <c r="I91" s="98">
        <v>0</v>
      </c>
      <c r="J91" s="101">
        <f t="shared" si="48"/>
        <v>0</v>
      </c>
      <c r="K91" s="100">
        <v>0</v>
      </c>
      <c r="L91" s="98">
        <v>0</v>
      </c>
      <c r="M91" s="101">
        <f t="shared" si="49"/>
        <v>0</v>
      </c>
      <c r="N91" s="100">
        <v>0</v>
      </c>
      <c r="O91" s="98">
        <v>0</v>
      </c>
      <c r="P91" s="101">
        <f t="shared" si="50"/>
        <v>0</v>
      </c>
      <c r="Q91" s="100">
        <v>0</v>
      </c>
      <c r="R91" s="98">
        <v>0</v>
      </c>
      <c r="S91" s="101">
        <f t="shared" si="51"/>
        <v>0</v>
      </c>
      <c r="T91" s="100">
        <v>0</v>
      </c>
      <c r="U91" s="98">
        <v>0</v>
      </c>
      <c r="V91" s="101">
        <f t="shared" si="53"/>
        <v>0</v>
      </c>
      <c r="W91" s="100">
        <v>0</v>
      </c>
      <c r="X91" s="98">
        <v>0</v>
      </c>
      <c r="Y91" s="147">
        <f t="shared" si="52"/>
        <v>0</v>
      </c>
      <c r="Z91" s="150"/>
    </row>
    <row r="92" spans="2:26" s="126" customFormat="1" ht="17.100000000000001" customHeight="1">
      <c r="B92" s="118"/>
      <c r="C92" s="119"/>
      <c r="D92" s="120"/>
      <c r="E92" s="121"/>
      <c r="F92" s="122"/>
      <c r="G92" s="123"/>
      <c r="H92" s="341" t="s">
        <v>201</v>
      </c>
      <c r="I92" s="342"/>
      <c r="J92" s="124">
        <f>SUM(J85:J91)</f>
        <v>0</v>
      </c>
      <c r="K92" s="341" t="s">
        <v>201</v>
      </c>
      <c r="L92" s="342"/>
      <c r="M92" s="124">
        <f>SUM(M85:M91)</f>
        <v>0</v>
      </c>
      <c r="N92" s="341" t="s">
        <v>201</v>
      </c>
      <c r="O92" s="342"/>
      <c r="P92" s="124">
        <f>SUM(P85:P91)</f>
        <v>0</v>
      </c>
      <c r="Q92" s="341" t="s">
        <v>201</v>
      </c>
      <c r="R92" s="342"/>
      <c r="S92" s="124">
        <f>SUM(S85:S91)</f>
        <v>0</v>
      </c>
      <c r="T92" s="341" t="s">
        <v>201</v>
      </c>
      <c r="U92" s="342"/>
      <c r="V92" s="124">
        <f>SUM(V85:V91)</f>
        <v>0</v>
      </c>
      <c r="W92" s="341" t="s">
        <v>201</v>
      </c>
      <c r="X92" s="342"/>
      <c r="Y92" s="127">
        <f>SUM(Y85:Y91)</f>
        <v>0</v>
      </c>
      <c r="Z92" s="151"/>
    </row>
    <row r="93" spans="2:26" s="35" customFormat="1" ht="17.100000000000001" customHeight="1">
      <c r="B93" s="248"/>
      <c r="C93" s="249">
        <f>'2. Rekap Back Up Beton'!C30</f>
        <v>900</v>
      </c>
      <c r="D93" s="250">
        <f>'2. Rekap Back Up Beton'!D30</f>
        <v>1000</v>
      </c>
      <c r="E93" s="251">
        <f>'2. Rekap Back Up Beton'!E30</f>
        <v>6</v>
      </c>
      <c r="F93" s="112">
        <f>(100/((D93-C93)*E93))*((J100*0.5)+(M100*1)+(P100*2)+(S100*20)+(V100*15)+(Y100*1.5))</f>
        <v>0</v>
      </c>
      <c r="G93" s="113" t="str">
        <f>IF(F93&lt;=25,"B",IF(F93&lt;=75,"S",IF(F93&lt;=100,"RR","RB")))</f>
        <v>B</v>
      </c>
      <c r="H93" s="100">
        <v>0</v>
      </c>
      <c r="I93" s="98">
        <v>0</v>
      </c>
      <c r="J93" s="101">
        <f t="shared" ref="J93:J99" si="54">H93*I93</f>
        <v>0</v>
      </c>
      <c r="K93" s="100">
        <v>0</v>
      </c>
      <c r="L93" s="98">
        <v>0</v>
      </c>
      <c r="M93" s="101">
        <f t="shared" ref="M93:M99" si="55">K93*L93</f>
        <v>0</v>
      </c>
      <c r="N93" s="100">
        <v>0</v>
      </c>
      <c r="O93" s="98">
        <v>4</v>
      </c>
      <c r="P93" s="101">
        <f t="shared" ref="P93:P99" si="56">N93*O93</f>
        <v>0</v>
      </c>
      <c r="Q93" s="100">
        <v>0</v>
      </c>
      <c r="R93" s="98">
        <v>0</v>
      </c>
      <c r="S93" s="101">
        <f t="shared" ref="S93:S99" si="57">Q93*R93</f>
        <v>0</v>
      </c>
      <c r="T93" s="100">
        <v>0</v>
      </c>
      <c r="U93" s="98">
        <v>0</v>
      </c>
      <c r="V93" s="101">
        <f>T93*U93</f>
        <v>0</v>
      </c>
      <c r="W93" s="100">
        <v>0</v>
      </c>
      <c r="X93" s="98">
        <v>0</v>
      </c>
      <c r="Y93" s="147">
        <f t="shared" ref="Y93:Y99" si="58">W93*X93</f>
        <v>0</v>
      </c>
      <c r="Z93" s="150"/>
    </row>
    <row r="94" spans="2:26" s="35" customFormat="1" ht="17.100000000000001" customHeight="1">
      <c r="B94" s="105"/>
      <c r="C94" s="54"/>
      <c r="D94" s="96"/>
      <c r="E94" s="111"/>
      <c r="F94" s="112"/>
      <c r="G94" s="113"/>
      <c r="H94" s="100">
        <v>0</v>
      </c>
      <c r="I94" s="98">
        <v>0</v>
      </c>
      <c r="J94" s="101">
        <f t="shared" si="54"/>
        <v>0</v>
      </c>
      <c r="K94" s="100">
        <v>0</v>
      </c>
      <c r="L94" s="98">
        <v>0</v>
      </c>
      <c r="M94" s="101">
        <f t="shared" si="55"/>
        <v>0</v>
      </c>
      <c r="N94" s="100">
        <v>0</v>
      </c>
      <c r="O94" s="98">
        <v>0</v>
      </c>
      <c r="P94" s="101">
        <f t="shared" si="56"/>
        <v>0</v>
      </c>
      <c r="Q94" s="100">
        <v>0</v>
      </c>
      <c r="R94" s="98">
        <v>0</v>
      </c>
      <c r="S94" s="101">
        <f t="shared" si="57"/>
        <v>0</v>
      </c>
      <c r="T94" s="100">
        <v>0</v>
      </c>
      <c r="U94" s="98">
        <v>0</v>
      </c>
      <c r="V94" s="101">
        <f t="shared" ref="V94:V99" si="59">T94*U94</f>
        <v>0</v>
      </c>
      <c r="W94" s="100">
        <v>0</v>
      </c>
      <c r="X94" s="98">
        <v>0</v>
      </c>
      <c r="Y94" s="147">
        <f t="shared" si="58"/>
        <v>0</v>
      </c>
      <c r="Z94" s="150"/>
    </row>
    <row r="95" spans="2:26" s="35" customFormat="1" ht="17.100000000000001" customHeight="1">
      <c r="B95" s="105"/>
      <c r="C95" s="54"/>
      <c r="D95" s="96"/>
      <c r="E95" s="111"/>
      <c r="F95" s="112"/>
      <c r="G95" s="113"/>
      <c r="H95" s="100">
        <v>0</v>
      </c>
      <c r="I95" s="98">
        <v>0</v>
      </c>
      <c r="J95" s="101">
        <f t="shared" si="54"/>
        <v>0</v>
      </c>
      <c r="K95" s="100">
        <v>0</v>
      </c>
      <c r="L95" s="98">
        <v>0</v>
      </c>
      <c r="M95" s="101">
        <f t="shared" si="55"/>
        <v>0</v>
      </c>
      <c r="N95" s="100">
        <v>0</v>
      </c>
      <c r="O95" s="98">
        <v>0</v>
      </c>
      <c r="P95" s="101">
        <f t="shared" si="56"/>
        <v>0</v>
      </c>
      <c r="Q95" s="100">
        <v>0</v>
      </c>
      <c r="R95" s="98">
        <v>0</v>
      </c>
      <c r="S95" s="101">
        <f t="shared" si="57"/>
        <v>0</v>
      </c>
      <c r="T95" s="100">
        <v>0</v>
      </c>
      <c r="U95" s="98">
        <v>0</v>
      </c>
      <c r="V95" s="101">
        <f t="shared" si="59"/>
        <v>0</v>
      </c>
      <c r="W95" s="100">
        <v>0</v>
      </c>
      <c r="X95" s="98">
        <v>0</v>
      </c>
      <c r="Y95" s="147">
        <f t="shared" si="58"/>
        <v>0</v>
      </c>
      <c r="Z95" s="150"/>
    </row>
    <row r="96" spans="2:26" s="35" customFormat="1" ht="17.100000000000001" customHeight="1">
      <c r="B96" s="105"/>
      <c r="C96" s="54"/>
      <c r="D96" s="96"/>
      <c r="E96" s="111"/>
      <c r="F96" s="112"/>
      <c r="G96" s="113"/>
      <c r="H96" s="100">
        <v>0</v>
      </c>
      <c r="I96" s="98">
        <v>0</v>
      </c>
      <c r="J96" s="101">
        <f t="shared" si="54"/>
        <v>0</v>
      </c>
      <c r="K96" s="100">
        <v>0</v>
      </c>
      <c r="L96" s="98">
        <v>0</v>
      </c>
      <c r="M96" s="101">
        <f t="shared" si="55"/>
        <v>0</v>
      </c>
      <c r="N96" s="100">
        <v>0</v>
      </c>
      <c r="O96" s="98">
        <v>0</v>
      </c>
      <c r="P96" s="101">
        <f t="shared" si="56"/>
        <v>0</v>
      </c>
      <c r="Q96" s="100">
        <v>0</v>
      </c>
      <c r="R96" s="98">
        <v>0</v>
      </c>
      <c r="S96" s="101">
        <f t="shared" si="57"/>
        <v>0</v>
      </c>
      <c r="T96" s="100">
        <v>0</v>
      </c>
      <c r="U96" s="98">
        <v>0</v>
      </c>
      <c r="V96" s="101">
        <f t="shared" si="59"/>
        <v>0</v>
      </c>
      <c r="W96" s="100">
        <v>0</v>
      </c>
      <c r="X96" s="98">
        <v>0</v>
      </c>
      <c r="Y96" s="147">
        <f t="shared" si="58"/>
        <v>0</v>
      </c>
      <c r="Z96" s="150"/>
    </row>
    <row r="97" spans="2:26" s="35" customFormat="1" ht="17.100000000000001" customHeight="1">
      <c r="B97" s="105"/>
      <c r="C97" s="54"/>
      <c r="D97" s="96"/>
      <c r="E97" s="111"/>
      <c r="F97" s="112"/>
      <c r="G97" s="113"/>
      <c r="H97" s="100">
        <v>0</v>
      </c>
      <c r="I97" s="98">
        <v>0</v>
      </c>
      <c r="J97" s="101">
        <f t="shared" si="54"/>
        <v>0</v>
      </c>
      <c r="K97" s="100">
        <v>0</v>
      </c>
      <c r="L97" s="98">
        <v>0</v>
      </c>
      <c r="M97" s="101">
        <f t="shared" si="55"/>
        <v>0</v>
      </c>
      <c r="N97" s="100">
        <v>0</v>
      </c>
      <c r="O97" s="98">
        <v>0</v>
      </c>
      <c r="P97" s="101">
        <f t="shared" si="56"/>
        <v>0</v>
      </c>
      <c r="Q97" s="100">
        <v>0</v>
      </c>
      <c r="R97" s="98">
        <v>0</v>
      </c>
      <c r="S97" s="101">
        <f t="shared" si="57"/>
        <v>0</v>
      </c>
      <c r="T97" s="100">
        <v>0</v>
      </c>
      <c r="U97" s="98">
        <v>0</v>
      </c>
      <c r="V97" s="101">
        <f t="shared" si="59"/>
        <v>0</v>
      </c>
      <c r="W97" s="100">
        <v>0</v>
      </c>
      <c r="X97" s="98">
        <v>0</v>
      </c>
      <c r="Y97" s="147">
        <f t="shared" si="58"/>
        <v>0</v>
      </c>
      <c r="Z97" s="150"/>
    </row>
    <row r="98" spans="2:26" s="35" customFormat="1" ht="17.100000000000001" customHeight="1">
      <c r="B98" s="105"/>
      <c r="C98" s="54"/>
      <c r="D98" s="96"/>
      <c r="E98" s="111"/>
      <c r="F98" s="112"/>
      <c r="G98" s="113"/>
      <c r="H98" s="100">
        <v>0</v>
      </c>
      <c r="I98" s="98">
        <v>0</v>
      </c>
      <c r="J98" s="101">
        <f t="shared" si="54"/>
        <v>0</v>
      </c>
      <c r="K98" s="100">
        <v>0</v>
      </c>
      <c r="L98" s="98">
        <v>0</v>
      </c>
      <c r="M98" s="101">
        <f t="shared" si="55"/>
        <v>0</v>
      </c>
      <c r="N98" s="100">
        <v>0</v>
      </c>
      <c r="O98" s="98">
        <v>0</v>
      </c>
      <c r="P98" s="101">
        <f t="shared" si="56"/>
        <v>0</v>
      </c>
      <c r="Q98" s="100">
        <v>0</v>
      </c>
      <c r="R98" s="98">
        <v>0</v>
      </c>
      <c r="S98" s="101">
        <f t="shared" si="57"/>
        <v>0</v>
      </c>
      <c r="T98" s="100">
        <v>0</v>
      </c>
      <c r="U98" s="98">
        <v>0</v>
      </c>
      <c r="V98" s="101">
        <f t="shared" si="59"/>
        <v>0</v>
      </c>
      <c r="W98" s="100">
        <v>0</v>
      </c>
      <c r="X98" s="98">
        <v>0</v>
      </c>
      <c r="Y98" s="147">
        <f t="shared" si="58"/>
        <v>0</v>
      </c>
      <c r="Z98" s="150"/>
    </row>
    <row r="99" spans="2:26" s="35" customFormat="1" ht="17.100000000000001" customHeight="1">
      <c r="B99" s="105"/>
      <c r="C99" s="54"/>
      <c r="D99" s="96"/>
      <c r="E99" s="111"/>
      <c r="F99" s="112"/>
      <c r="G99" s="113"/>
      <c r="H99" s="100">
        <v>0</v>
      </c>
      <c r="I99" s="98">
        <v>0</v>
      </c>
      <c r="J99" s="101">
        <f t="shared" si="54"/>
        <v>0</v>
      </c>
      <c r="K99" s="100">
        <v>0</v>
      </c>
      <c r="L99" s="98">
        <v>0</v>
      </c>
      <c r="M99" s="101">
        <f t="shared" si="55"/>
        <v>0</v>
      </c>
      <c r="N99" s="100">
        <v>0</v>
      </c>
      <c r="O99" s="98">
        <v>0</v>
      </c>
      <c r="P99" s="101">
        <f t="shared" si="56"/>
        <v>0</v>
      </c>
      <c r="Q99" s="100">
        <v>0</v>
      </c>
      <c r="R99" s="98">
        <v>0</v>
      </c>
      <c r="S99" s="101">
        <f t="shared" si="57"/>
        <v>0</v>
      </c>
      <c r="T99" s="100">
        <v>0</v>
      </c>
      <c r="U99" s="98">
        <v>0</v>
      </c>
      <c r="V99" s="101">
        <f t="shared" si="59"/>
        <v>0</v>
      </c>
      <c r="W99" s="100">
        <v>0</v>
      </c>
      <c r="X99" s="98">
        <v>0</v>
      </c>
      <c r="Y99" s="147">
        <f t="shared" si="58"/>
        <v>0</v>
      </c>
      <c r="Z99" s="150"/>
    </row>
    <row r="100" spans="2:26" s="126" customFormat="1" ht="17.100000000000001" customHeight="1">
      <c r="B100" s="118"/>
      <c r="C100" s="119"/>
      <c r="D100" s="120"/>
      <c r="E100" s="121"/>
      <c r="F100" s="122"/>
      <c r="G100" s="123"/>
      <c r="H100" s="341" t="s">
        <v>201</v>
      </c>
      <c r="I100" s="342"/>
      <c r="J100" s="124">
        <f>SUM(J93:J99)</f>
        <v>0</v>
      </c>
      <c r="K100" s="341" t="s">
        <v>201</v>
      </c>
      <c r="L100" s="342"/>
      <c r="M100" s="124">
        <f>SUM(M93:M99)</f>
        <v>0</v>
      </c>
      <c r="N100" s="341" t="s">
        <v>201</v>
      </c>
      <c r="O100" s="342"/>
      <c r="P100" s="124">
        <f>SUM(P93:P99)</f>
        <v>0</v>
      </c>
      <c r="Q100" s="341" t="s">
        <v>201</v>
      </c>
      <c r="R100" s="342"/>
      <c r="S100" s="124">
        <f>SUM(S93:S99)</f>
        <v>0</v>
      </c>
      <c r="T100" s="341" t="s">
        <v>201</v>
      </c>
      <c r="U100" s="342"/>
      <c r="V100" s="124">
        <f>SUM(V93:V99)</f>
        <v>0</v>
      </c>
      <c r="W100" s="341" t="s">
        <v>201</v>
      </c>
      <c r="X100" s="342"/>
      <c r="Y100" s="127">
        <f>SUM(Y93:Y99)</f>
        <v>0</v>
      </c>
      <c r="Z100" s="151"/>
    </row>
    <row r="101" spans="2:26" s="35" customFormat="1" ht="17.100000000000001" customHeight="1">
      <c r="B101" s="105"/>
      <c r="C101" s="54">
        <f>'2. Rekap Back Up Beton'!C31</f>
        <v>3650</v>
      </c>
      <c r="D101" s="96">
        <f>'2. Rekap Back Up Beton'!D31</f>
        <v>3700</v>
      </c>
      <c r="E101" s="111">
        <f>'2. Rekap Back Up Beton'!E31</f>
        <v>5</v>
      </c>
      <c r="F101" s="112">
        <f>(100/((D101-C101)*E101))*((J108*0.5)+(M108*1)+(P108*2)+(S108*20)+(V108*15)+(Y108*1.5))</f>
        <v>176</v>
      </c>
      <c r="G101" s="113" t="str">
        <f>IF(F101&lt;=25,"B",IF(F101&lt;=75,"S",IF(F101&lt;=100,"RR","RB")))</f>
        <v>RB</v>
      </c>
      <c r="H101" s="100">
        <v>0</v>
      </c>
      <c r="I101" s="98">
        <v>0</v>
      </c>
      <c r="J101" s="101">
        <f t="shared" ref="J101:J107" si="60">H101*I101</f>
        <v>0</v>
      </c>
      <c r="K101" s="100">
        <v>20</v>
      </c>
      <c r="L101" s="98">
        <v>2</v>
      </c>
      <c r="M101" s="101">
        <f t="shared" ref="M101:M107" si="61">K101*L101</f>
        <v>40</v>
      </c>
      <c r="N101" s="100">
        <v>0</v>
      </c>
      <c r="O101" s="98">
        <v>4</v>
      </c>
      <c r="P101" s="101">
        <f t="shared" ref="P101:P107" si="62">N101*O101</f>
        <v>0</v>
      </c>
      <c r="Q101" s="100">
        <v>10</v>
      </c>
      <c r="R101" s="98">
        <v>2</v>
      </c>
      <c r="S101" s="101">
        <f t="shared" ref="S101:S107" si="63">Q101*R101</f>
        <v>20</v>
      </c>
      <c r="T101" s="100">
        <v>0</v>
      </c>
      <c r="U101" s="98">
        <v>0</v>
      </c>
      <c r="V101" s="101">
        <f>T101*U101</f>
        <v>0</v>
      </c>
      <c r="W101" s="100">
        <v>0</v>
      </c>
      <c r="X101" s="98">
        <v>0</v>
      </c>
      <c r="Y101" s="147">
        <f t="shared" ref="Y101:Y107" si="64">W101*X101</f>
        <v>0</v>
      </c>
      <c r="Z101" s="150"/>
    </row>
    <row r="102" spans="2:26" s="35" customFormat="1" ht="17.100000000000001" customHeight="1">
      <c r="B102" s="105"/>
      <c r="C102" s="54"/>
      <c r="D102" s="96"/>
      <c r="E102" s="111"/>
      <c r="F102" s="112"/>
      <c r="G102" s="113"/>
      <c r="H102" s="100">
        <v>0</v>
      </c>
      <c r="I102" s="98">
        <v>0</v>
      </c>
      <c r="J102" s="101">
        <f t="shared" si="60"/>
        <v>0</v>
      </c>
      <c r="K102" s="100">
        <v>0</v>
      </c>
      <c r="L102" s="98">
        <v>0</v>
      </c>
      <c r="M102" s="101">
        <f t="shared" si="61"/>
        <v>0</v>
      </c>
      <c r="N102" s="100">
        <v>0</v>
      </c>
      <c r="O102" s="98">
        <v>0</v>
      </c>
      <c r="P102" s="101">
        <f t="shared" si="62"/>
        <v>0</v>
      </c>
      <c r="Q102" s="100">
        <v>0</v>
      </c>
      <c r="R102" s="98">
        <v>0</v>
      </c>
      <c r="S102" s="101">
        <f t="shared" si="63"/>
        <v>0</v>
      </c>
      <c r="T102" s="100">
        <v>0</v>
      </c>
      <c r="U102" s="98">
        <v>0</v>
      </c>
      <c r="V102" s="101">
        <f t="shared" ref="V102:V107" si="65">T102*U102</f>
        <v>0</v>
      </c>
      <c r="W102" s="100">
        <v>0</v>
      </c>
      <c r="X102" s="98">
        <v>0</v>
      </c>
      <c r="Y102" s="147">
        <f t="shared" si="64"/>
        <v>0</v>
      </c>
      <c r="Z102" s="150"/>
    </row>
    <row r="103" spans="2:26" s="35" customFormat="1" ht="17.100000000000001" customHeight="1">
      <c r="B103" s="105"/>
      <c r="C103" s="54"/>
      <c r="D103" s="96"/>
      <c r="E103" s="111"/>
      <c r="F103" s="112"/>
      <c r="G103" s="113"/>
      <c r="H103" s="100">
        <v>0</v>
      </c>
      <c r="I103" s="98">
        <v>0</v>
      </c>
      <c r="J103" s="101">
        <f t="shared" si="60"/>
        <v>0</v>
      </c>
      <c r="K103" s="100">
        <v>0</v>
      </c>
      <c r="L103" s="98">
        <v>0</v>
      </c>
      <c r="M103" s="101">
        <f t="shared" si="61"/>
        <v>0</v>
      </c>
      <c r="N103" s="100">
        <v>0</v>
      </c>
      <c r="O103" s="98">
        <v>0</v>
      </c>
      <c r="P103" s="101">
        <f t="shared" si="62"/>
        <v>0</v>
      </c>
      <c r="Q103" s="100">
        <v>0</v>
      </c>
      <c r="R103" s="98">
        <v>0</v>
      </c>
      <c r="S103" s="101">
        <f t="shared" si="63"/>
        <v>0</v>
      </c>
      <c r="T103" s="100">
        <v>0</v>
      </c>
      <c r="U103" s="98">
        <v>0</v>
      </c>
      <c r="V103" s="101">
        <f t="shared" si="65"/>
        <v>0</v>
      </c>
      <c r="W103" s="100">
        <v>0</v>
      </c>
      <c r="X103" s="98">
        <v>0</v>
      </c>
      <c r="Y103" s="147">
        <f t="shared" si="64"/>
        <v>0</v>
      </c>
      <c r="Z103" s="150"/>
    </row>
    <row r="104" spans="2:26" s="35" customFormat="1" ht="17.100000000000001" customHeight="1">
      <c r="B104" s="105"/>
      <c r="C104" s="54"/>
      <c r="D104" s="96"/>
      <c r="E104" s="111"/>
      <c r="F104" s="112"/>
      <c r="G104" s="113"/>
      <c r="H104" s="100">
        <v>0</v>
      </c>
      <c r="I104" s="98">
        <v>0</v>
      </c>
      <c r="J104" s="101">
        <f t="shared" si="60"/>
        <v>0</v>
      </c>
      <c r="K104" s="100">
        <v>0</v>
      </c>
      <c r="L104" s="98">
        <v>0</v>
      </c>
      <c r="M104" s="101">
        <f t="shared" si="61"/>
        <v>0</v>
      </c>
      <c r="N104" s="100">
        <v>0</v>
      </c>
      <c r="O104" s="98">
        <v>0</v>
      </c>
      <c r="P104" s="101">
        <f t="shared" si="62"/>
        <v>0</v>
      </c>
      <c r="Q104" s="100">
        <v>0</v>
      </c>
      <c r="R104" s="98">
        <v>0</v>
      </c>
      <c r="S104" s="101">
        <f t="shared" si="63"/>
        <v>0</v>
      </c>
      <c r="T104" s="100">
        <v>0</v>
      </c>
      <c r="U104" s="98">
        <v>0</v>
      </c>
      <c r="V104" s="101">
        <f t="shared" si="65"/>
        <v>0</v>
      </c>
      <c r="W104" s="100">
        <v>0</v>
      </c>
      <c r="X104" s="98">
        <v>0</v>
      </c>
      <c r="Y104" s="147">
        <f t="shared" si="64"/>
        <v>0</v>
      </c>
      <c r="Z104" s="150"/>
    </row>
    <row r="105" spans="2:26" s="35" customFormat="1" ht="17.100000000000001" customHeight="1">
      <c r="B105" s="105"/>
      <c r="C105" s="54"/>
      <c r="D105" s="96"/>
      <c r="E105" s="111"/>
      <c r="F105" s="112"/>
      <c r="G105" s="113"/>
      <c r="H105" s="100">
        <v>0</v>
      </c>
      <c r="I105" s="98">
        <v>0</v>
      </c>
      <c r="J105" s="101">
        <f t="shared" si="60"/>
        <v>0</v>
      </c>
      <c r="K105" s="100">
        <v>0</v>
      </c>
      <c r="L105" s="98">
        <v>0</v>
      </c>
      <c r="M105" s="101">
        <f t="shared" si="61"/>
        <v>0</v>
      </c>
      <c r="N105" s="100">
        <v>0</v>
      </c>
      <c r="O105" s="98">
        <v>0</v>
      </c>
      <c r="P105" s="101">
        <f t="shared" si="62"/>
        <v>0</v>
      </c>
      <c r="Q105" s="100">
        <v>0</v>
      </c>
      <c r="R105" s="98">
        <v>0</v>
      </c>
      <c r="S105" s="101">
        <f t="shared" si="63"/>
        <v>0</v>
      </c>
      <c r="T105" s="100">
        <v>0</v>
      </c>
      <c r="U105" s="98">
        <v>0</v>
      </c>
      <c r="V105" s="101">
        <f t="shared" si="65"/>
        <v>0</v>
      </c>
      <c r="W105" s="100">
        <v>0</v>
      </c>
      <c r="X105" s="98">
        <v>0</v>
      </c>
      <c r="Y105" s="147">
        <f t="shared" si="64"/>
        <v>0</v>
      </c>
      <c r="Z105" s="150"/>
    </row>
    <row r="106" spans="2:26" s="35" customFormat="1" ht="17.100000000000001" customHeight="1">
      <c r="B106" s="105"/>
      <c r="C106" s="54"/>
      <c r="D106" s="96"/>
      <c r="E106" s="111"/>
      <c r="F106" s="112"/>
      <c r="G106" s="113"/>
      <c r="H106" s="100">
        <v>0</v>
      </c>
      <c r="I106" s="98">
        <v>0</v>
      </c>
      <c r="J106" s="101">
        <f t="shared" si="60"/>
        <v>0</v>
      </c>
      <c r="K106" s="100">
        <v>0</v>
      </c>
      <c r="L106" s="98">
        <v>0</v>
      </c>
      <c r="M106" s="101">
        <f t="shared" si="61"/>
        <v>0</v>
      </c>
      <c r="N106" s="100">
        <v>0</v>
      </c>
      <c r="O106" s="98">
        <v>0</v>
      </c>
      <c r="P106" s="101">
        <f t="shared" si="62"/>
        <v>0</v>
      </c>
      <c r="Q106" s="100">
        <v>0</v>
      </c>
      <c r="R106" s="98">
        <v>0</v>
      </c>
      <c r="S106" s="101">
        <f t="shared" si="63"/>
        <v>0</v>
      </c>
      <c r="T106" s="100">
        <v>0</v>
      </c>
      <c r="U106" s="98">
        <v>0</v>
      </c>
      <c r="V106" s="101">
        <f t="shared" si="65"/>
        <v>0</v>
      </c>
      <c r="W106" s="100">
        <v>0</v>
      </c>
      <c r="X106" s="98">
        <v>0</v>
      </c>
      <c r="Y106" s="147">
        <f t="shared" si="64"/>
        <v>0</v>
      </c>
      <c r="Z106" s="150"/>
    </row>
    <row r="107" spans="2:26" s="35" customFormat="1" ht="17.100000000000001" customHeight="1">
      <c r="B107" s="105"/>
      <c r="C107" s="54"/>
      <c r="D107" s="96"/>
      <c r="E107" s="111"/>
      <c r="F107" s="112"/>
      <c r="G107" s="113"/>
      <c r="H107" s="100">
        <v>0</v>
      </c>
      <c r="I107" s="98">
        <v>0</v>
      </c>
      <c r="J107" s="101">
        <f t="shared" si="60"/>
        <v>0</v>
      </c>
      <c r="K107" s="100">
        <v>0</v>
      </c>
      <c r="L107" s="98">
        <v>0</v>
      </c>
      <c r="M107" s="101">
        <f t="shared" si="61"/>
        <v>0</v>
      </c>
      <c r="N107" s="100">
        <v>0</v>
      </c>
      <c r="O107" s="98">
        <v>0</v>
      </c>
      <c r="P107" s="101">
        <f t="shared" si="62"/>
        <v>0</v>
      </c>
      <c r="Q107" s="100">
        <v>0</v>
      </c>
      <c r="R107" s="98">
        <v>0</v>
      </c>
      <c r="S107" s="101">
        <f t="shared" si="63"/>
        <v>0</v>
      </c>
      <c r="T107" s="100">
        <v>0</v>
      </c>
      <c r="U107" s="98">
        <v>0</v>
      </c>
      <c r="V107" s="101">
        <f t="shared" si="65"/>
        <v>0</v>
      </c>
      <c r="W107" s="100">
        <v>0</v>
      </c>
      <c r="X107" s="98">
        <v>0</v>
      </c>
      <c r="Y107" s="147">
        <f t="shared" si="64"/>
        <v>0</v>
      </c>
      <c r="Z107" s="150"/>
    </row>
    <row r="108" spans="2:26" s="126" customFormat="1" ht="17.100000000000001" customHeight="1">
      <c r="B108" s="118"/>
      <c r="C108" s="119"/>
      <c r="D108" s="120"/>
      <c r="E108" s="121"/>
      <c r="F108" s="122"/>
      <c r="G108" s="123"/>
      <c r="H108" s="341" t="s">
        <v>201</v>
      </c>
      <c r="I108" s="342"/>
      <c r="J108" s="124">
        <f>SUM(J101:J107)</f>
        <v>0</v>
      </c>
      <c r="K108" s="341" t="s">
        <v>201</v>
      </c>
      <c r="L108" s="342"/>
      <c r="M108" s="124">
        <f>SUM(M101:M107)</f>
        <v>40</v>
      </c>
      <c r="N108" s="341" t="s">
        <v>201</v>
      </c>
      <c r="O108" s="342"/>
      <c r="P108" s="124">
        <f>SUM(P101:P107)</f>
        <v>0</v>
      </c>
      <c r="Q108" s="341" t="s">
        <v>201</v>
      </c>
      <c r="R108" s="342"/>
      <c r="S108" s="124">
        <f>SUM(S101:S107)</f>
        <v>20</v>
      </c>
      <c r="T108" s="341" t="s">
        <v>201</v>
      </c>
      <c r="U108" s="342"/>
      <c r="V108" s="124">
        <f>SUM(V101:V107)</f>
        <v>0</v>
      </c>
      <c r="W108" s="341" t="s">
        <v>201</v>
      </c>
      <c r="X108" s="342"/>
      <c r="Y108" s="127">
        <f>SUM(Y101:Y107)</f>
        <v>0</v>
      </c>
      <c r="Z108" s="151"/>
    </row>
    <row r="109" spans="2:26" s="35" customFormat="1" ht="17.100000000000001" customHeight="1">
      <c r="B109" s="105"/>
      <c r="C109" s="54">
        <f>'2. Rekap Back Up Beton'!C32</f>
        <v>3700</v>
      </c>
      <c r="D109" s="96">
        <f>'2. Rekap Back Up Beton'!D32</f>
        <v>3800</v>
      </c>
      <c r="E109" s="111">
        <f>'2. Rekap Back Up Beton'!E32</f>
        <v>5</v>
      </c>
      <c r="F109" s="112">
        <f>(100/((D109-C109)*E109))*((J116*0.5)+(M116*1)+(P116*2)+(S116*20)+(V116*15)+(Y116*1.5))</f>
        <v>10</v>
      </c>
      <c r="G109" s="113" t="str">
        <f>IF(F109&lt;=25,"B",IF(F109&lt;=75,"S",IF(F109&lt;=100,"RR","RB")))</f>
        <v>B</v>
      </c>
      <c r="H109" s="100">
        <v>0</v>
      </c>
      <c r="I109" s="98">
        <v>0</v>
      </c>
      <c r="J109" s="101">
        <f t="shared" ref="J109:J115" si="66">H109*I109</f>
        <v>0</v>
      </c>
      <c r="K109" s="100">
        <v>10</v>
      </c>
      <c r="L109" s="98">
        <v>5</v>
      </c>
      <c r="M109" s="101">
        <f t="shared" ref="M109:M115" si="67">K109*L109</f>
        <v>50</v>
      </c>
      <c r="N109" s="100">
        <v>0</v>
      </c>
      <c r="O109" s="98">
        <v>4</v>
      </c>
      <c r="P109" s="101">
        <f t="shared" ref="P109:P115" si="68">N109*O109</f>
        <v>0</v>
      </c>
      <c r="Q109" s="100">
        <v>0</v>
      </c>
      <c r="R109" s="98">
        <v>0</v>
      </c>
      <c r="S109" s="101">
        <f t="shared" ref="S109:S115" si="69">Q109*R109</f>
        <v>0</v>
      </c>
      <c r="T109" s="100">
        <v>0</v>
      </c>
      <c r="U109" s="98">
        <v>0</v>
      </c>
      <c r="V109" s="101">
        <f>T109*U109</f>
        <v>0</v>
      </c>
      <c r="W109" s="100">
        <v>0</v>
      </c>
      <c r="X109" s="98">
        <v>0</v>
      </c>
      <c r="Y109" s="147">
        <f t="shared" ref="Y109:Y115" si="70">W109*X109</f>
        <v>0</v>
      </c>
      <c r="Z109" s="150"/>
    </row>
    <row r="110" spans="2:26" s="35" customFormat="1" ht="17.100000000000001" customHeight="1">
      <c r="B110" s="105"/>
      <c r="C110" s="54"/>
      <c r="D110" s="96"/>
      <c r="E110" s="111"/>
      <c r="F110" s="112"/>
      <c r="G110" s="113"/>
      <c r="H110" s="100">
        <v>0</v>
      </c>
      <c r="I110" s="98">
        <v>0</v>
      </c>
      <c r="J110" s="101">
        <f t="shared" si="66"/>
        <v>0</v>
      </c>
      <c r="K110" s="100">
        <v>0</v>
      </c>
      <c r="L110" s="98">
        <v>0</v>
      </c>
      <c r="M110" s="101">
        <f t="shared" si="67"/>
        <v>0</v>
      </c>
      <c r="N110" s="100">
        <v>0</v>
      </c>
      <c r="O110" s="98">
        <v>0</v>
      </c>
      <c r="P110" s="101">
        <f t="shared" si="68"/>
        <v>0</v>
      </c>
      <c r="Q110" s="100">
        <v>0</v>
      </c>
      <c r="R110" s="98">
        <v>0</v>
      </c>
      <c r="S110" s="101">
        <f t="shared" si="69"/>
        <v>0</v>
      </c>
      <c r="T110" s="100">
        <v>0</v>
      </c>
      <c r="U110" s="98">
        <v>0</v>
      </c>
      <c r="V110" s="101">
        <f t="shared" ref="V110:V115" si="71">T110*U110</f>
        <v>0</v>
      </c>
      <c r="W110" s="100">
        <v>0</v>
      </c>
      <c r="X110" s="98">
        <v>0</v>
      </c>
      <c r="Y110" s="147">
        <f t="shared" si="70"/>
        <v>0</v>
      </c>
      <c r="Z110" s="150"/>
    </row>
    <row r="111" spans="2:26" s="35" customFormat="1" ht="17.100000000000001" customHeight="1">
      <c r="B111" s="105"/>
      <c r="C111" s="54"/>
      <c r="D111" s="96"/>
      <c r="E111" s="111"/>
      <c r="F111" s="112"/>
      <c r="G111" s="113"/>
      <c r="H111" s="100">
        <v>0</v>
      </c>
      <c r="I111" s="98">
        <v>0</v>
      </c>
      <c r="J111" s="101">
        <f t="shared" si="66"/>
        <v>0</v>
      </c>
      <c r="K111" s="100">
        <v>0</v>
      </c>
      <c r="L111" s="98">
        <v>0</v>
      </c>
      <c r="M111" s="101">
        <f t="shared" si="67"/>
        <v>0</v>
      </c>
      <c r="N111" s="100">
        <v>0</v>
      </c>
      <c r="O111" s="98">
        <v>0</v>
      </c>
      <c r="P111" s="101">
        <f t="shared" si="68"/>
        <v>0</v>
      </c>
      <c r="Q111" s="100">
        <v>0</v>
      </c>
      <c r="R111" s="98">
        <v>0</v>
      </c>
      <c r="S111" s="101">
        <f t="shared" si="69"/>
        <v>0</v>
      </c>
      <c r="T111" s="100">
        <v>0</v>
      </c>
      <c r="U111" s="98">
        <v>0</v>
      </c>
      <c r="V111" s="101">
        <f t="shared" si="71"/>
        <v>0</v>
      </c>
      <c r="W111" s="100">
        <v>0</v>
      </c>
      <c r="X111" s="98">
        <v>0</v>
      </c>
      <c r="Y111" s="147">
        <f t="shared" si="70"/>
        <v>0</v>
      </c>
      <c r="Z111" s="150"/>
    </row>
    <row r="112" spans="2:26" s="35" customFormat="1" ht="17.100000000000001" customHeight="1">
      <c r="B112" s="105"/>
      <c r="C112" s="54"/>
      <c r="D112" s="96"/>
      <c r="E112" s="111"/>
      <c r="F112" s="112"/>
      <c r="G112" s="113"/>
      <c r="H112" s="100">
        <v>0</v>
      </c>
      <c r="I112" s="98">
        <v>0</v>
      </c>
      <c r="J112" s="101">
        <f t="shared" si="66"/>
        <v>0</v>
      </c>
      <c r="K112" s="100">
        <v>0</v>
      </c>
      <c r="L112" s="98">
        <v>0</v>
      </c>
      <c r="M112" s="101">
        <f t="shared" si="67"/>
        <v>0</v>
      </c>
      <c r="N112" s="100">
        <v>0</v>
      </c>
      <c r="O112" s="98">
        <v>0</v>
      </c>
      <c r="P112" s="101">
        <f t="shared" si="68"/>
        <v>0</v>
      </c>
      <c r="Q112" s="100">
        <v>0</v>
      </c>
      <c r="R112" s="98">
        <v>0</v>
      </c>
      <c r="S112" s="101">
        <f t="shared" si="69"/>
        <v>0</v>
      </c>
      <c r="T112" s="100">
        <v>0</v>
      </c>
      <c r="U112" s="98">
        <v>0</v>
      </c>
      <c r="V112" s="101">
        <f t="shared" si="71"/>
        <v>0</v>
      </c>
      <c r="W112" s="100">
        <v>0</v>
      </c>
      <c r="X112" s="98">
        <v>0</v>
      </c>
      <c r="Y112" s="147">
        <f t="shared" si="70"/>
        <v>0</v>
      </c>
      <c r="Z112" s="150"/>
    </row>
    <row r="113" spans="2:26" s="35" customFormat="1" ht="17.100000000000001" customHeight="1">
      <c r="B113" s="105"/>
      <c r="C113" s="54"/>
      <c r="D113" s="96"/>
      <c r="E113" s="111"/>
      <c r="F113" s="112"/>
      <c r="G113" s="113"/>
      <c r="H113" s="100">
        <v>0</v>
      </c>
      <c r="I113" s="98">
        <v>0</v>
      </c>
      <c r="J113" s="101">
        <f t="shared" si="66"/>
        <v>0</v>
      </c>
      <c r="K113" s="100">
        <v>0</v>
      </c>
      <c r="L113" s="98">
        <v>0</v>
      </c>
      <c r="M113" s="101">
        <f t="shared" si="67"/>
        <v>0</v>
      </c>
      <c r="N113" s="100">
        <v>0</v>
      </c>
      <c r="O113" s="98">
        <v>0</v>
      </c>
      <c r="P113" s="101">
        <f t="shared" si="68"/>
        <v>0</v>
      </c>
      <c r="Q113" s="100">
        <v>0</v>
      </c>
      <c r="R113" s="98">
        <v>0</v>
      </c>
      <c r="S113" s="101">
        <f t="shared" si="69"/>
        <v>0</v>
      </c>
      <c r="T113" s="100">
        <v>0</v>
      </c>
      <c r="U113" s="98">
        <v>0</v>
      </c>
      <c r="V113" s="101">
        <f t="shared" si="71"/>
        <v>0</v>
      </c>
      <c r="W113" s="100">
        <v>0</v>
      </c>
      <c r="X113" s="98">
        <v>0</v>
      </c>
      <c r="Y113" s="147">
        <f t="shared" si="70"/>
        <v>0</v>
      </c>
      <c r="Z113" s="150"/>
    </row>
    <row r="114" spans="2:26" s="35" customFormat="1" ht="17.100000000000001" customHeight="1">
      <c r="B114" s="105"/>
      <c r="C114" s="54"/>
      <c r="D114" s="96"/>
      <c r="E114" s="111"/>
      <c r="F114" s="112"/>
      <c r="G114" s="113"/>
      <c r="H114" s="100">
        <v>0</v>
      </c>
      <c r="I114" s="98">
        <v>0</v>
      </c>
      <c r="J114" s="101">
        <f t="shared" si="66"/>
        <v>0</v>
      </c>
      <c r="K114" s="100">
        <v>0</v>
      </c>
      <c r="L114" s="98">
        <v>0</v>
      </c>
      <c r="M114" s="101">
        <f t="shared" si="67"/>
        <v>0</v>
      </c>
      <c r="N114" s="100">
        <v>0</v>
      </c>
      <c r="O114" s="98">
        <v>0</v>
      </c>
      <c r="P114" s="101">
        <f t="shared" si="68"/>
        <v>0</v>
      </c>
      <c r="Q114" s="100">
        <v>0</v>
      </c>
      <c r="R114" s="98">
        <v>0</v>
      </c>
      <c r="S114" s="101">
        <f t="shared" si="69"/>
        <v>0</v>
      </c>
      <c r="T114" s="100">
        <v>0</v>
      </c>
      <c r="U114" s="98">
        <v>0</v>
      </c>
      <c r="V114" s="101">
        <f t="shared" si="71"/>
        <v>0</v>
      </c>
      <c r="W114" s="100">
        <v>0</v>
      </c>
      <c r="X114" s="98">
        <v>0</v>
      </c>
      <c r="Y114" s="147">
        <f t="shared" si="70"/>
        <v>0</v>
      </c>
      <c r="Z114" s="150"/>
    </row>
    <row r="115" spans="2:26" s="35" customFormat="1" ht="17.100000000000001" customHeight="1">
      <c r="B115" s="105"/>
      <c r="C115" s="54"/>
      <c r="D115" s="96"/>
      <c r="E115" s="111"/>
      <c r="F115" s="112"/>
      <c r="G115" s="113"/>
      <c r="H115" s="100">
        <v>0</v>
      </c>
      <c r="I115" s="98">
        <v>0</v>
      </c>
      <c r="J115" s="101">
        <f t="shared" si="66"/>
        <v>0</v>
      </c>
      <c r="K115" s="100">
        <v>0</v>
      </c>
      <c r="L115" s="98">
        <v>0</v>
      </c>
      <c r="M115" s="101">
        <f t="shared" si="67"/>
        <v>0</v>
      </c>
      <c r="N115" s="100">
        <v>0</v>
      </c>
      <c r="O115" s="98">
        <v>0</v>
      </c>
      <c r="P115" s="101">
        <f t="shared" si="68"/>
        <v>0</v>
      </c>
      <c r="Q115" s="100">
        <v>0</v>
      </c>
      <c r="R115" s="98">
        <v>0</v>
      </c>
      <c r="S115" s="101">
        <f t="shared" si="69"/>
        <v>0</v>
      </c>
      <c r="T115" s="100">
        <v>0</v>
      </c>
      <c r="U115" s="98">
        <v>0</v>
      </c>
      <c r="V115" s="101">
        <f t="shared" si="71"/>
        <v>0</v>
      </c>
      <c r="W115" s="100">
        <v>0</v>
      </c>
      <c r="X115" s="98">
        <v>0</v>
      </c>
      <c r="Y115" s="147">
        <f t="shared" si="70"/>
        <v>0</v>
      </c>
      <c r="Z115" s="150"/>
    </row>
    <row r="116" spans="2:26" s="126" customFormat="1" ht="17.100000000000001" customHeight="1">
      <c r="B116" s="118"/>
      <c r="C116" s="119"/>
      <c r="D116" s="120"/>
      <c r="E116" s="121"/>
      <c r="F116" s="122"/>
      <c r="G116" s="123"/>
      <c r="H116" s="341" t="s">
        <v>201</v>
      </c>
      <c r="I116" s="342"/>
      <c r="J116" s="124">
        <f>SUM(J109:J115)</f>
        <v>0</v>
      </c>
      <c r="K116" s="341" t="s">
        <v>201</v>
      </c>
      <c r="L116" s="342"/>
      <c r="M116" s="124">
        <f>SUM(M109:M115)</f>
        <v>50</v>
      </c>
      <c r="N116" s="341" t="s">
        <v>201</v>
      </c>
      <c r="O116" s="342"/>
      <c r="P116" s="124">
        <f>SUM(P109:P115)</f>
        <v>0</v>
      </c>
      <c r="Q116" s="341" t="s">
        <v>201</v>
      </c>
      <c r="R116" s="342"/>
      <c r="S116" s="124">
        <f>SUM(S109:S115)</f>
        <v>0</v>
      </c>
      <c r="T116" s="341" t="s">
        <v>201</v>
      </c>
      <c r="U116" s="342"/>
      <c r="V116" s="124">
        <f>SUM(V109:V115)</f>
        <v>0</v>
      </c>
      <c r="W116" s="341" t="s">
        <v>201</v>
      </c>
      <c r="X116" s="342"/>
      <c r="Y116" s="127">
        <f>SUM(Y109:Y115)</f>
        <v>0</v>
      </c>
      <c r="Z116" s="151"/>
    </row>
    <row r="117" spans="2:26" s="35" customFormat="1" ht="17.100000000000001" customHeight="1">
      <c r="B117" s="105"/>
      <c r="C117" s="54">
        <f>'2. Rekap Back Up Beton'!C33</f>
        <v>3800</v>
      </c>
      <c r="D117" s="96">
        <f>'2. Rekap Back Up Beton'!D33</f>
        <v>3900</v>
      </c>
      <c r="E117" s="111">
        <f>'2. Rekap Back Up Beton'!E98</f>
        <v>5</v>
      </c>
      <c r="F117" s="112">
        <f>(100/((D117-C117)*E117))*((J124*0.5)+(M124*1)+(P124*2)+(S124*20)+(V124*15)+(Y124*1.5))</f>
        <v>0</v>
      </c>
      <c r="G117" s="113" t="str">
        <f>IF(F117&lt;=25,"B",IF(F117&lt;=75,"S",IF(F117&lt;=100,"RR","RB")))</f>
        <v>B</v>
      </c>
      <c r="H117" s="100">
        <v>0</v>
      </c>
      <c r="I117" s="98">
        <v>0</v>
      </c>
      <c r="J117" s="101">
        <f t="shared" ref="J117:J123" si="72">H117*I117</f>
        <v>0</v>
      </c>
      <c r="K117" s="100">
        <v>0</v>
      </c>
      <c r="L117" s="98">
        <v>0</v>
      </c>
      <c r="M117" s="101">
        <f t="shared" ref="M117:M123" si="73">K117*L117</f>
        <v>0</v>
      </c>
      <c r="N117" s="100">
        <v>0</v>
      </c>
      <c r="O117" s="98">
        <v>4</v>
      </c>
      <c r="P117" s="101">
        <f t="shared" ref="P117:P123" si="74">N117*O117</f>
        <v>0</v>
      </c>
      <c r="Q117" s="100">
        <v>0</v>
      </c>
      <c r="R117" s="98">
        <v>0</v>
      </c>
      <c r="S117" s="101">
        <f t="shared" ref="S117:S123" si="75">Q117*R117</f>
        <v>0</v>
      </c>
      <c r="T117" s="100">
        <v>0</v>
      </c>
      <c r="U117" s="98">
        <v>0</v>
      </c>
      <c r="V117" s="101">
        <f>T117*U117</f>
        <v>0</v>
      </c>
      <c r="W117" s="100">
        <v>0</v>
      </c>
      <c r="X117" s="98">
        <v>0</v>
      </c>
      <c r="Y117" s="147">
        <f t="shared" ref="Y117:Y123" si="76">W117*X117</f>
        <v>0</v>
      </c>
      <c r="Z117" s="150"/>
    </row>
    <row r="118" spans="2:26" s="35" customFormat="1" ht="17.100000000000001" customHeight="1">
      <c r="B118" s="105"/>
      <c r="C118" s="54"/>
      <c r="D118" s="96"/>
      <c r="E118" s="111"/>
      <c r="F118" s="112"/>
      <c r="G118" s="113"/>
      <c r="H118" s="100">
        <v>0</v>
      </c>
      <c r="I118" s="98">
        <v>0</v>
      </c>
      <c r="J118" s="101">
        <f t="shared" si="72"/>
        <v>0</v>
      </c>
      <c r="K118" s="100">
        <v>0</v>
      </c>
      <c r="L118" s="98">
        <v>0</v>
      </c>
      <c r="M118" s="101">
        <f t="shared" si="73"/>
        <v>0</v>
      </c>
      <c r="N118" s="100">
        <v>0</v>
      </c>
      <c r="O118" s="98">
        <v>0</v>
      </c>
      <c r="P118" s="101">
        <f t="shared" si="74"/>
        <v>0</v>
      </c>
      <c r="Q118" s="100">
        <v>0</v>
      </c>
      <c r="R118" s="98">
        <v>0</v>
      </c>
      <c r="S118" s="101">
        <f t="shared" si="75"/>
        <v>0</v>
      </c>
      <c r="T118" s="100">
        <v>0</v>
      </c>
      <c r="U118" s="98">
        <v>0</v>
      </c>
      <c r="V118" s="101">
        <f t="shared" ref="V118:V123" si="77">T118*U118</f>
        <v>0</v>
      </c>
      <c r="W118" s="100">
        <v>0</v>
      </c>
      <c r="X118" s="98">
        <v>0</v>
      </c>
      <c r="Y118" s="147">
        <f t="shared" si="76"/>
        <v>0</v>
      </c>
      <c r="Z118" s="150"/>
    </row>
    <row r="119" spans="2:26" s="35" customFormat="1" ht="17.100000000000001" customHeight="1">
      <c r="B119" s="105"/>
      <c r="C119" s="54"/>
      <c r="D119" s="96"/>
      <c r="E119" s="111"/>
      <c r="F119" s="112"/>
      <c r="G119" s="113"/>
      <c r="H119" s="100">
        <v>0</v>
      </c>
      <c r="I119" s="98">
        <v>0</v>
      </c>
      <c r="J119" s="101">
        <f t="shared" si="72"/>
        <v>0</v>
      </c>
      <c r="K119" s="100">
        <v>0</v>
      </c>
      <c r="L119" s="98">
        <v>0</v>
      </c>
      <c r="M119" s="101">
        <f t="shared" si="73"/>
        <v>0</v>
      </c>
      <c r="N119" s="100">
        <v>0</v>
      </c>
      <c r="O119" s="98">
        <v>0</v>
      </c>
      <c r="P119" s="101">
        <f t="shared" si="74"/>
        <v>0</v>
      </c>
      <c r="Q119" s="100">
        <v>0</v>
      </c>
      <c r="R119" s="98">
        <v>0</v>
      </c>
      <c r="S119" s="101">
        <f t="shared" si="75"/>
        <v>0</v>
      </c>
      <c r="T119" s="100">
        <v>0</v>
      </c>
      <c r="U119" s="98">
        <v>0</v>
      </c>
      <c r="V119" s="101">
        <f t="shared" si="77"/>
        <v>0</v>
      </c>
      <c r="W119" s="100">
        <v>0</v>
      </c>
      <c r="X119" s="98">
        <v>0</v>
      </c>
      <c r="Y119" s="147">
        <f t="shared" si="76"/>
        <v>0</v>
      </c>
      <c r="Z119" s="150"/>
    </row>
    <row r="120" spans="2:26" s="35" customFormat="1" ht="17.100000000000001" customHeight="1">
      <c r="B120" s="105"/>
      <c r="C120" s="54"/>
      <c r="D120" s="96"/>
      <c r="E120" s="111"/>
      <c r="F120" s="112"/>
      <c r="G120" s="113"/>
      <c r="H120" s="100">
        <v>0</v>
      </c>
      <c r="I120" s="98">
        <v>0</v>
      </c>
      <c r="J120" s="101">
        <f t="shared" si="72"/>
        <v>0</v>
      </c>
      <c r="K120" s="100">
        <v>0</v>
      </c>
      <c r="L120" s="98">
        <v>0</v>
      </c>
      <c r="M120" s="101">
        <f t="shared" si="73"/>
        <v>0</v>
      </c>
      <c r="N120" s="100">
        <v>0</v>
      </c>
      <c r="O120" s="98">
        <v>0</v>
      </c>
      <c r="P120" s="101">
        <f t="shared" si="74"/>
        <v>0</v>
      </c>
      <c r="Q120" s="100">
        <v>0</v>
      </c>
      <c r="R120" s="98">
        <v>0</v>
      </c>
      <c r="S120" s="101">
        <f t="shared" si="75"/>
        <v>0</v>
      </c>
      <c r="T120" s="100">
        <v>0</v>
      </c>
      <c r="U120" s="98">
        <v>0</v>
      </c>
      <c r="V120" s="101">
        <f t="shared" si="77"/>
        <v>0</v>
      </c>
      <c r="W120" s="100">
        <v>0</v>
      </c>
      <c r="X120" s="98">
        <v>0</v>
      </c>
      <c r="Y120" s="147">
        <f t="shared" si="76"/>
        <v>0</v>
      </c>
      <c r="Z120" s="150"/>
    </row>
    <row r="121" spans="2:26" s="35" customFormat="1" ht="17.100000000000001" customHeight="1">
      <c r="B121" s="105"/>
      <c r="C121" s="54"/>
      <c r="D121" s="96"/>
      <c r="E121" s="111"/>
      <c r="F121" s="112"/>
      <c r="G121" s="113"/>
      <c r="H121" s="100">
        <v>0</v>
      </c>
      <c r="I121" s="98">
        <v>0</v>
      </c>
      <c r="J121" s="101">
        <f t="shared" si="72"/>
        <v>0</v>
      </c>
      <c r="K121" s="100">
        <v>0</v>
      </c>
      <c r="L121" s="98">
        <v>0</v>
      </c>
      <c r="M121" s="101">
        <f t="shared" si="73"/>
        <v>0</v>
      </c>
      <c r="N121" s="100">
        <v>0</v>
      </c>
      <c r="O121" s="98">
        <v>0</v>
      </c>
      <c r="P121" s="101">
        <f t="shared" si="74"/>
        <v>0</v>
      </c>
      <c r="Q121" s="100">
        <v>0</v>
      </c>
      <c r="R121" s="98">
        <v>0</v>
      </c>
      <c r="S121" s="101">
        <f t="shared" si="75"/>
        <v>0</v>
      </c>
      <c r="T121" s="100">
        <v>0</v>
      </c>
      <c r="U121" s="98">
        <v>0</v>
      </c>
      <c r="V121" s="101">
        <f t="shared" si="77"/>
        <v>0</v>
      </c>
      <c r="W121" s="100">
        <v>0</v>
      </c>
      <c r="X121" s="98">
        <v>0</v>
      </c>
      <c r="Y121" s="147">
        <f t="shared" si="76"/>
        <v>0</v>
      </c>
      <c r="Z121" s="150"/>
    </row>
    <row r="122" spans="2:26" s="35" customFormat="1" ht="17.100000000000001" customHeight="1">
      <c r="B122" s="105"/>
      <c r="C122" s="54"/>
      <c r="D122" s="96"/>
      <c r="E122" s="111"/>
      <c r="F122" s="112"/>
      <c r="G122" s="113"/>
      <c r="H122" s="100">
        <v>0</v>
      </c>
      <c r="I122" s="98">
        <v>0</v>
      </c>
      <c r="J122" s="101">
        <f t="shared" si="72"/>
        <v>0</v>
      </c>
      <c r="K122" s="100">
        <v>0</v>
      </c>
      <c r="L122" s="98">
        <v>0</v>
      </c>
      <c r="M122" s="101">
        <f t="shared" si="73"/>
        <v>0</v>
      </c>
      <c r="N122" s="100">
        <v>0</v>
      </c>
      <c r="O122" s="98">
        <v>0</v>
      </c>
      <c r="P122" s="101">
        <f t="shared" si="74"/>
        <v>0</v>
      </c>
      <c r="Q122" s="100">
        <v>0</v>
      </c>
      <c r="R122" s="98">
        <v>0</v>
      </c>
      <c r="S122" s="101">
        <f t="shared" si="75"/>
        <v>0</v>
      </c>
      <c r="T122" s="100">
        <v>0</v>
      </c>
      <c r="U122" s="98">
        <v>0</v>
      </c>
      <c r="V122" s="101">
        <f t="shared" si="77"/>
        <v>0</v>
      </c>
      <c r="W122" s="100">
        <v>0</v>
      </c>
      <c r="X122" s="98">
        <v>0</v>
      </c>
      <c r="Y122" s="147">
        <f t="shared" si="76"/>
        <v>0</v>
      </c>
      <c r="Z122" s="150"/>
    </row>
    <row r="123" spans="2:26" s="35" customFormat="1" ht="17.100000000000001" customHeight="1">
      <c r="B123" s="105"/>
      <c r="C123" s="54"/>
      <c r="D123" s="96"/>
      <c r="E123" s="111"/>
      <c r="F123" s="112"/>
      <c r="G123" s="113"/>
      <c r="H123" s="100">
        <v>0</v>
      </c>
      <c r="I123" s="98">
        <v>0</v>
      </c>
      <c r="J123" s="101">
        <f t="shared" si="72"/>
        <v>0</v>
      </c>
      <c r="K123" s="100">
        <v>0</v>
      </c>
      <c r="L123" s="98">
        <v>0</v>
      </c>
      <c r="M123" s="101">
        <f t="shared" si="73"/>
        <v>0</v>
      </c>
      <c r="N123" s="100">
        <v>0</v>
      </c>
      <c r="O123" s="98">
        <v>0</v>
      </c>
      <c r="P123" s="101">
        <f t="shared" si="74"/>
        <v>0</v>
      </c>
      <c r="Q123" s="100">
        <v>0</v>
      </c>
      <c r="R123" s="98">
        <v>0</v>
      </c>
      <c r="S123" s="101">
        <f t="shared" si="75"/>
        <v>0</v>
      </c>
      <c r="T123" s="100">
        <v>0</v>
      </c>
      <c r="U123" s="98">
        <v>0</v>
      </c>
      <c r="V123" s="101">
        <f t="shared" si="77"/>
        <v>0</v>
      </c>
      <c r="W123" s="100">
        <v>0</v>
      </c>
      <c r="X123" s="98">
        <v>0</v>
      </c>
      <c r="Y123" s="147">
        <f t="shared" si="76"/>
        <v>0</v>
      </c>
      <c r="Z123" s="150"/>
    </row>
    <row r="124" spans="2:26" s="126" customFormat="1" ht="17.100000000000001" customHeight="1">
      <c r="B124" s="118"/>
      <c r="C124" s="119"/>
      <c r="D124" s="120"/>
      <c r="E124" s="121"/>
      <c r="F124" s="122"/>
      <c r="G124" s="123"/>
      <c r="H124" s="341" t="s">
        <v>201</v>
      </c>
      <c r="I124" s="342"/>
      <c r="J124" s="124">
        <f>SUM(J117:J123)</f>
        <v>0</v>
      </c>
      <c r="K124" s="341" t="s">
        <v>201</v>
      </c>
      <c r="L124" s="342"/>
      <c r="M124" s="124">
        <f>SUM(M117:M123)</f>
        <v>0</v>
      </c>
      <c r="N124" s="341" t="s">
        <v>201</v>
      </c>
      <c r="O124" s="342"/>
      <c r="P124" s="124">
        <f>SUM(P117:P123)</f>
        <v>0</v>
      </c>
      <c r="Q124" s="341" t="s">
        <v>201</v>
      </c>
      <c r="R124" s="342"/>
      <c r="S124" s="124">
        <f>SUM(S117:S123)</f>
        <v>0</v>
      </c>
      <c r="T124" s="341" t="s">
        <v>201</v>
      </c>
      <c r="U124" s="342"/>
      <c r="V124" s="124">
        <f>SUM(V117:V123)</f>
        <v>0</v>
      </c>
      <c r="W124" s="341" t="s">
        <v>201</v>
      </c>
      <c r="X124" s="342"/>
      <c r="Y124" s="127">
        <f>SUM(Y117:Y123)</f>
        <v>0</v>
      </c>
      <c r="Z124" s="151"/>
    </row>
    <row r="125" spans="2:26" s="35" customFormat="1" ht="17.100000000000001" customHeight="1">
      <c r="B125" s="105"/>
      <c r="C125" s="54">
        <f>'2. Rekap Back Up Beton'!C34</f>
        <v>3900</v>
      </c>
      <c r="D125" s="96">
        <f>'2. Rekap Back Up Beton'!D34</f>
        <v>4000</v>
      </c>
      <c r="E125" s="111">
        <f>'2. Rekap Back Up Beton'!E34</f>
        <v>5</v>
      </c>
      <c r="F125" s="112">
        <f>(100/((D125-C125)*E125))*((J132*0.5)+(M132*1)+(P132*2)+(S132*20)+(V132*15)+(Y132*1.5))</f>
        <v>0</v>
      </c>
      <c r="G125" s="113" t="str">
        <f>IF(F125&lt;=25,"B",IF(F125&lt;=75,"S",IF(F125&lt;=100,"RR","RB")))</f>
        <v>B</v>
      </c>
      <c r="H125" s="100">
        <v>0</v>
      </c>
      <c r="I125" s="98">
        <v>0</v>
      </c>
      <c r="J125" s="101">
        <f t="shared" ref="J125:J131" si="78">H125*I125</f>
        <v>0</v>
      </c>
      <c r="K125" s="100">
        <v>0</v>
      </c>
      <c r="L125" s="98">
        <v>0</v>
      </c>
      <c r="M125" s="101">
        <f t="shared" ref="M125:M131" si="79">K125*L125</f>
        <v>0</v>
      </c>
      <c r="N125" s="100">
        <v>0</v>
      </c>
      <c r="O125" s="98">
        <v>4</v>
      </c>
      <c r="P125" s="101">
        <f t="shared" ref="P125:P131" si="80">N125*O125</f>
        <v>0</v>
      </c>
      <c r="Q125" s="100">
        <v>0</v>
      </c>
      <c r="R125" s="98">
        <v>0</v>
      </c>
      <c r="S125" s="101">
        <f t="shared" ref="S125:S131" si="81">Q125*R125</f>
        <v>0</v>
      </c>
      <c r="T125" s="100">
        <v>0</v>
      </c>
      <c r="U125" s="98">
        <v>0</v>
      </c>
      <c r="V125" s="101">
        <f>T125*U125</f>
        <v>0</v>
      </c>
      <c r="W125" s="100">
        <v>0</v>
      </c>
      <c r="X125" s="98">
        <v>0</v>
      </c>
      <c r="Y125" s="147">
        <f t="shared" ref="Y125:Y131" si="82">W125*X125</f>
        <v>0</v>
      </c>
      <c r="Z125" s="150"/>
    </row>
    <row r="126" spans="2:26" s="35" customFormat="1" ht="17.100000000000001" customHeight="1">
      <c r="B126" s="105"/>
      <c r="C126" s="54"/>
      <c r="D126" s="96"/>
      <c r="E126" s="111"/>
      <c r="F126" s="112"/>
      <c r="G126" s="113"/>
      <c r="H126" s="100">
        <v>0</v>
      </c>
      <c r="I126" s="98">
        <v>0</v>
      </c>
      <c r="J126" s="101">
        <f t="shared" si="78"/>
        <v>0</v>
      </c>
      <c r="K126" s="100">
        <v>0</v>
      </c>
      <c r="L126" s="98">
        <v>0</v>
      </c>
      <c r="M126" s="101">
        <f t="shared" si="79"/>
        <v>0</v>
      </c>
      <c r="N126" s="100">
        <v>0</v>
      </c>
      <c r="O126" s="98">
        <v>0</v>
      </c>
      <c r="P126" s="101">
        <f t="shared" si="80"/>
        <v>0</v>
      </c>
      <c r="Q126" s="100">
        <v>0</v>
      </c>
      <c r="R126" s="98">
        <v>0</v>
      </c>
      <c r="S126" s="101">
        <f t="shared" si="81"/>
        <v>0</v>
      </c>
      <c r="T126" s="100">
        <v>0</v>
      </c>
      <c r="U126" s="98">
        <v>0</v>
      </c>
      <c r="V126" s="101">
        <f t="shared" ref="V126:V131" si="83">T126*U126</f>
        <v>0</v>
      </c>
      <c r="W126" s="100">
        <v>0</v>
      </c>
      <c r="X126" s="98">
        <v>0</v>
      </c>
      <c r="Y126" s="147">
        <f t="shared" si="82"/>
        <v>0</v>
      </c>
      <c r="Z126" s="150"/>
    </row>
    <row r="127" spans="2:26" s="35" customFormat="1" ht="17.100000000000001" customHeight="1">
      <c r="B127" s="105"/>
      <c r="C127" s="54"/>
      <c r="D127" s="96"/>
      <c r="E127" s="111"/>
      <c r="F127" s="112"/>
      <c r="G127" s="113"/>
      <c r="H127" s="100">
        <v>0</v>
      </c>
      <c r="I127" s="98">
        <v>0</v>
      </c>
      <c r="J127" s="101">
        <f t="shared" si="78"/>
        <v>0</v>
      </c>
      <c r="K127" s="100">
        <v>0</v>
      </c>
      <c r="L127" s="98">
        <v>0</v>
      </c>
      <c r="M127" s="101">
        <f t="shared" si="79"/>
        <v>0</v>
      </c>
      <c r="N127" s="100">
        <v>0</v>
      </c>
      <c r="O127" s="98">
        <v>0</v>
      </c>
      <c r="P127" s="101">
        <f t="shared" si="80"/>
        <v>0</v>
      </c>
      <c r="Q127" s="100">
        <v>0</v>
      </c>
      <c r="R127" s="98">
        <v>0</v>
      </c>
      <c r="S127" s="101">
        <f t="shared" si="81"/>
        <v>0</v>
      </c>
      <c r="T127" s="100">
        <v>0</v>
      </c>
      <c r="U127" s="98">
        <v>0</v>
      </c>
      <c r="V127" s="101">
        <f t="shared" si="83"/>
        <v>0</v>
      </c>
      <c r="W127" s="100">
        <v>0</v>
      </c>
      <c r="X127" s="98">
        <v>0</v>
      </c>
      <c r="Y127" s="147">
        <f t="shared" si="82"/>
        <v>0</v>
      </c>
      <c r="Z127" s="150"/>
    </row>
    <row r="128" spans="2:26" s="35" customFormat="1" ht="17.100000000000001" customHeight="1">
      <c r="B128" s="105"/>
      <c r="C128" s="54"/>
      <c r="D128" s="96"/>
      <c r="E128" s="111"/>
      <c r="F128" s="112"/>
      <c r="G128" s="113"/>
      <c r="H128" s="100">
        <v>0</v>
      </c>
      <c r="I128" s="98">
        <v>0</v>
      </c>
      <c r="J128" s="101">
        <f t="shared" si="78"/>
        <v>0</v>
      </c>
      <c r="K128" s="100">
        <v>0</v>
      </c>
      <c r="L128" s="98">
        <v>0</v>
      </c>
      <c r="M128" s="101">
        <f t="shared" si="79"/>
        <v>0</v>
      </c>
      <c r="N128" s="100">
        <v>0</v>
      </c>
      <c r="O128" s="98">
        <v>0</v>
      </c>
      <c r="P128" s="101">
        <f t="shared" si="80"/>
        <v>0</v>
      </c>
      <c r="Q128" s="100">
        <v>0</v>
      </c>
      <c r="R128" s="98">
        <v>0</v>
      </c>
      <c r="S128" s="101">
        <f t="shared" si="81"/>
        <v>0</v>
      </c>
      <c r="T128" s="100">
        <v>0</v>
      </c>
      <c r="U128" s="98">
        <v>0</v>
      </c>
      <c r="V128" s="101">
        <f t="shared" si="83"/>
        <v>0</v>
      </c>
      <c r="W128" s="100">
        <v>0</v>
      </c>
      <c r="X128" s="98">
        <v>0</v>
      </c>
      <c r="Y128" s="147">
        <f t="shared" si="82"/>
        <v>0</v>
      </c>
      <c r="Z128" s="150"/>
    </row>
    <row r="129" spans="2:26" s="35" customFormat="1" ht="17.100000000000001" customHeight="1">
      <c r="B129" s="105"/>
      <c r="C129" s="54"/>
      <c r="D129" s="96"/>
      <c r="E129" s="111"/>
      <c r="F129" s="112"/>
      <c r="G129" s="113"/>
      <c r="H129" s="100">
        <v>0</v>
      </c>
      <c r="I129" s="98">
        <v>0</v>
      </c>
      <c r="J129" s="101">
        <f t="shared" si="78"/>
        <v>0</v>
      </c>
      <c r="K129" s="100">
        <v>0</v>
      </c>
      <c r="L129" s="98">
        <v>0</v>
      </c>
      <c r="M129" s="101">
        <f t="shared" si="79"/>
        <v>0</v>
      </c>
      <c r="N129" s="100">
        <v>0</v>
      </c>
      <c r="O129" s="98">
        <v>0</v>
      </c>
      <c r="P129" s="101">
        <f t="shared" si="80"/>
        <v>0</v>
      </c>
      <c r="Q129" s="100">
        <v>0</v>
      </c>
      <c r="R129" s="98">
        <v>0</v>
      </c>
      <c r="S129" s="101">
        <f t="shared" si="81"/>
        <v>0</v>
      </c>
      <c r="T129" s="100">
        <v>0</v>
      </c>
      <c r="U129" s="98">
        <v>0</v>
      </c>
      <c r="V129" s="101">
        <f t="shared" si="83"/>
        <v>0</v>
      </c>
      <c r="W129" s="100">
        <v>0</v>
      </c>
      <c r="X129" s="98">
        <v>0</v>
      </c>
      <c r="Y129" s="147">
        <f t="shared" si="82"/>
        <v>0</v>
      </c>
      <c r="Z129" s="150"/>
    </row>
    <row r="130" spans="2:26" s="35" customFormat="1" ht="17.100000000000001" customHeight="1">
      <c r="B130" s="105"/>
      <c r="C130" s="54"/>
      <c r="D130" s="96"/>
      <c r="E130" s="111"/>
      <c r="F130" s="112"/>
      <c r="G130" s="113"/>
      <c r="H130" s="100">
        <v>0</v>
      </c>
      <c r="I130" s="98">
        <v>0</v>
      </c>
      <c r="J130" s="101">
        <f t="shared" si="78"/>
        <v>0</v>
      </c>
      <c r="K130" s="100">
        <v>0</v>
      </c>
      <c r="L130" s="98">
        <v>0</v>
      </c>
      <c r="M130" s="101">
        <f t="shared" si="79"/>
        <v>0</v>
      </c>
      <c r="N130" s="100">
        <v>0</v>
      </c>
      <c r="O130" s="98">
        <v>0</v>
      </c>
      <c r="P130" s="101">
        <f t="shared" si="80"/>
        <v>0</v>
      </c>
      <c r="Q130" s="100">
        <v>0</v>
      </c>
      <c r="R130" s="98">
        <v>0</v>
      </c>
      <c r="S130" s="101">
        <f t="shared" si="81"/>
        <v>0</v>
      </c>
      <c r="T130" s="100">
        <v>0</v>
      </c>
      <c r="U130" s="98">
        <v>0</v>
      </c>
      <c r="V130" s="101">
        <f t="shared" si="83"/>
        <v>0</v>
      </c>
      <c r="W130" s="100">
        <v>0</v>
      </c>
      <c r="X130" s="98">
        <v>0</v>
      </c>
      <c r="Y130" s="147">
        <f t="shared" si="82"/>
        <v>0</v>
      </c>
      <c r="Z130" s="150"/>
    </row>
    <row r="131" spans="2:26" s="35" customFormat="1" ht="17.100000000000001" customHeight="1">
      <c r="B131" s="105"/>
      <c r="C131" s="54"/>
      <c r="D131" s="96"/>
      <c r="E131" s="111"/>
      <c r="F131" s="112"/>
      <c r="G131" s="113"/>
      <c r="H131" s="100">
        <v>0</v>
      </c>
      <c r="I131" s="98">
        <v>0</v>
      </c>
      <c r="J131" s="101">
        <f t="shared" si="78"/>
        <v>0</v>
      </c>
      <c r="K131" s="100">
        <v>0</v>
      </c>
      <c r="L131" s="98">
        <v>0</v>
      </c>
      <c r="M131" s="101">
        <f t="shared" si="79"/>
        <v>0</v>
      </c>
      <c r="N131" s="100">
        <v>0</v>
      </c>
      <c r="O131" s="98">
        <v>0</v>
      </c>
      <c r="P131" s="101">
        <f t="shared" si="80"/>
        <v>0</v>
      </c>
      <c r="Q131" s="100">
        <v>0</v>
      </c>
      <c r="R131" s="98">
        <v>0</v>
      </c>
      <c r="S131" s="101">
        <f t="shared" si="81"/>
        <v>0</v>
      </c>
      <c r="T131" s="100">
        <v>0</v>
      </c>
      <c r="U131" s="98">
        <v>0</v>
      </c>
      <c r="V131" s="101">
        <f t="shared" si="83"/>
        <v>0</v>
      </c>
      <c r="W131" s="100">
        <v>0</v>
      </c>
      <c r="X131" s="98">
        <v>0</v>
      </c>
      <c r="Y131" s="147">
        <f t="shared" si="82"/>
        <v>0</v>
      </c>
      <c r="Z131" s="150"/>
    </row>
    <row r="132" spans="2:26" s="126" customFormat="1" ht="17.100000000000001" customHeight="1">
      <c r="B132" s="118"/>
      <c r="C132" s="119"/>
      <c r="D132" s="120"/>
      <c r="E132" s="121"/>
      <c r="F132" s="122"/>
      <c r="G132" s="123"/>
      <c r="H132" s="341" t="s">
        <v>201</v>
      </c>
      <c r="I132" s="342"/>
      <c r="J132" s="124">
        <f>SUM(J125:J131)</f>
        <v>0</v>
      </c>
      <c r="K132" s="341" t="s">
        <v>201</v>
      </c>
      <c r="L132" s="342"/>
      <c r="M132" s="124">
        <f>SUM(M125:M131)</f>
        <v>0</v>
      </c>
      <c r="N132" s="341" t="s">
        <v>201</v>
      </c>
      <c r="O132" s="342"/>
      <c r="P132" s="124">
        <f>SUM(P125:P131)</f>
        <v>0</v>
      </c>
      <c r="Q132" s="341" t="s">
        <v>201</v>
      </c>
      <c r="R132" s="342"/>
      <c r="S132" s="124">
        <f>SUM(S125:S131)</f>
        <v>0</v>
      </c>
      <c r="T132" s="341" t="s">
        <v>201</v>
      </c>
      <c r="U132" s="342"/>
      <c r="V132" s="124">
        <f>SUM(V125:V131)</f>
        <v>0</v>
      </c>
      <c r="W132" s="341" t="s">
        <v>201</v>
      </c>
      <c r="X132" s="342"/>
      <c r="Y132" s="127">
        <f>SUM(Y125:Y131)</f>
        <v>0</v>
      </c>
      <c r="Z132" s="151"/>
    </row>
    <row r="133" spans="2:26" s="35" customFormat="1" ht="17.100000000000001" customHeight="1">
      <c r="B133" s="105"/>
      <c r="C133" s="54">
        <f>'2. Rekap Back Up Beton'!C35</f>
        <v>4000</v>
      </c>
      <c r="D133" s="96">
        <f>'2. Rekap Back Up Beton'!D35</f>
        <v>4100</v>
      </c>
      <c r="E133" s="111">
        <f>'2. Rekap Back Up Beton'!E35</f>
        <v>5</v>
      </c>
      <c r="F133" s="112">
        <f>(100/((D133-C133)*E133))*((J140*0.5)+(M140*1)+(P140*2)+(S140*20)+(V140*15)+(Y140*1.5))</f>
        <v>0</v>
      </c>
      <c r="G133" s="113" t="str">
        <f>IF(F133&lt;=25,"B",IF(F133&lt;=75,"S",IF(F133&lt;=100,"RR","RB")))</f>
        <v>B</v>
      </c>
      <c r="H133" s="100">
        <v>0</v>
      </c>
      <c r="I133" s="98">
        <v>0</v>
      </c>
      <c r="J133" s="101">
        <f t="shared" ref="J133:J139" si="84">H133*I133</f>
        <v>0</v>
      </c>
      <c r="K133" s="100">
        <v>0</v>
      </c>
      <c r="L133" s="98">
        <v>0</v>
      </c>
      <c r="M133" s="101">
        <f t="shared" ref="M133:M139" si="85">K133*L133</f>
        <v>0</v>
      </c>
      <c r="N133" s="100">
        <v>0</v>
      </c>
      <c r="O133" s="98">
        <v>4</v>
      </c>
      <c r="P133" s="101">
        <f t="shared" ref="P133:P139" si="86">N133*O133</f>
        <v>0</v>
      </c>
      <c r="Q133" s="100">
        <v>0</v>
      </c>
      <c r="R133" s="98">
        <v>0</v>
      </c>
      <c r="S133" s="101">
        <f t="shared" ref="S133:S139" si="87">Q133*R133</f>
        <v>0</v>
      </c>
      <c r="T133" s="100">
        <v>0</v>
      </c>
      <c r="U133" s="98">
        <v>0</v>
      </c>
      <c r="V133" s="101">
        <f>T133*U133</f>
        <v>0</v>
      </c>
      <c r="W133" s="100">
        <v>0</v>
      </c>
      <c r="X133" s="98">
        <v>0</v>
      </c>
      <c r="Y133" s="147">
        <f t="shared" ref="Y133:Y139" si="88">W133*X133</f>
        <v>0</v>
      </c>
      <c r="Z133" s="150"/>
    </row>
    <row r="134" spans="2:26" s="35" customFormat="1" ht="17.100000000000001" customHeight="1">
      <c r="B134" s="105"/>
      <c r="C134" s="54"/>
      <c r="D134" s="96"/>
      <c r="E134" s="111"/>
      <c r="F134" s="112"/>
      <c r="G134" s="113"/>
      <c r="H134" s="100">
        <v>0</v>
      </c>
      <c r="I134" s="98">
        <v>0</v>
      </c>
      <c r="J134" s="101">
        <f t="shared" si="84"/>
        <v>0</v>
      </c>
      <c r="K134" s="100">
        <v>0</v>
      </c>
      <c r="L134" s="98">
        <v>0</v>
      </c>
      <c r="M134" s="101">
        <f t="shared" si="85"/>
        <v>0</v>
      </c>
      <c r="N134" s="100">
        <v>0</v>
      </c>
      <c r="O134" s="98">
        <v>0</v>
      </c>
      <c r="P134" s="101">
        <f t="shared" si="86"/>
        <v>0</v>
      </c>
      <c r="Q134" s="100">
        <v>0</v>
      </c>
      <c r="R134" s="98">
        <v>0</v>
      </c>
      <c r="S134" s="101">
        <f t="shared" si="87"/>
        <v>0</v>
      </c>
      <c r="T134" s="100">
        <v>0</v>
      </c>
      <c r="U134" s="98">
        <v>0</v>
      </c>
      <c r="V134" s="101">
        <f t="shared" ref="V134:V139" si="89">T134*U134</f>
        <v>0</v>
      </c>
      <c r="W134" s="100">
        <v>0</v>
      </c>
      <c r="X134" s="98">
        <v>0</v>
      </c>
      <c r="Y134" s="147">
        <f t="shared" si="88"/>
        <v>0</v>
      </c>
      <c r="Z134" s="150"/>
    </row>
    <row r="135" spans="2:26" s="35" customFormat="1" ht="17.100000000000001" customHeight="1">
      <c r="B135" s="105"/>
      <c r="C135" s="54"/>
      <c r="D135" s="96"/>
      <c r="E135" s="111"/>
      <c r="F135" s="112"/>
      <c r="G135" s="113"/>
      <c r="H135" s="100">
        <v>0</v>
      </c>
      <c r="I135" s="98">
        <v>0</v>
      </c>
      <c r="J135" s="101">
        <f t="shared" si="84"/>
        <v>0</v>
      </c>
      <c r="K135" s="100">
        <v>0</v>
      </c>
      <c r="L135" s="98">
        <v>0</v>
      </c>
      <c r="M135" s="101">
        <f t="shared" si="85"/>
        <v>0</v>
      </c>
      <c r="N135" s="100">
        <v>0</v>
      </c>
      <c r="O135" s="98">
        <v>0</v>
      </c>
      <c r="P135" s="101">
        <f t="shared" si="86"/>
        <v>0</v>
      </c>
      <c r="Q135" s="100">
        <v>0</v>
      </c>
      <c r="R135" s="98">
        <v>0</v>
      </c>
      <c r="S135" s="101">
        <f t="shared" si="87"/>
        <v>0</v>
      </c>
      <c r="T135" s="100">
        <v>0</v>
      </c>
      <c r="U135" s="98">
        <v>0</v>
      </c>
      <c r="V135" s="101">
        <f t="shared" si="89"/>
        <v>0</v>
      </c>
      <c r="W135" s="100">
        <v>0</v>
      </c>
      <c r="X135" s="98">
        <v>0</v>
      </c>
      <c r="Y135" s="147">
        <f t="shared" si="88"/>
        <v>0</v>
      </c>
      <c r="Z135" s="150"/>
    </row>
    <row r="136" spans="2:26" s="35" customFormat="1" ht="17.100000000000001" customHeight="1">
      <c r="B136" s="105"/>
      <c r="C136" s="54"/>
      <c r="D136" s="96"/>
      <c r="E136" s="111"/>
      <c r="F136" s="112"/>
      <c r="G136" s="113"/>
      <c r="H136" s="100">
        <v>0</v>
      </c>
      <c r="I136" s="98">
        <v>0</v>
      </c>
      <c r="J136" s="101">
        <f t="shared" si="84"/>
        <v>0</v>
      </c>
      <c r="K136" s="100">
        <v>0</v>
      </c>
      <c r="L136" s="98">
        <v>0</v>
      </c>
      <c r="M136" s="101">
        <f t="shared" si="85"/>
        <v>0</v>
      </c>
      <c r="N136" s="100">
        <v>0</v>
      </c>
      <c r="O136" s="98">
        <v>0</v>
      </c>
      <c r="P136" s="101">
        <f t="shared" si="86"/>
        <v>0</v>
      </c>
      <c r="Q136" s="100">
        <v>0</v>
      </c>
      <c r="R136" s="98">
        <v>0</v>
      </c>
      <c r="S136" s="101">
        <f t="shared" si="87"/>
        <v>0</v>
      </c>
      <c r="T136" s="100">
        <v>0</v>
      </c>
      <c r="U136" s="98">
        <v>0</v>
      </c>
      <c r="V136" s="101">
        <f t="shared" si="89"/>
        <v>0</v>
      </c>
      <c r="W136" s="100">
        <v>0</v>
      </c>
      <c r="X136" s="98">
        <v>0</v>
      </c>
      <c r="Y136" s="147">
        <f t="shared" si="88"/>
        <v>0</v>
      </c>
      <c r="Z136" s="150"/>
    </row>
    <row r="137" spans="2:26" s="35" customFormat="1" ht="17.100000000000001" customHeight="1">
      <c r="B137" s="105"/>
      <c r="C137" s="54"/>
      <c r="D137" s="96"/>
      <c r="E137" s="111"/>
      <c r="F137" s="112"/>
      <c r="G137" s="113"/>
      <c r="H137" s="100">
        <v>0</v>
      </c>
      <c r="I137" s="98">
        <v>0</v>
      </c>
      <c r="J137" s="101">
        <f t="shared" si="84"/>
        <v>0</v>
      </c>
      <c r="K137" s="100">
        <v>0</v>
      </c>
      <c r="L137" s="98">
        <v>0</v>
      </c>
      <c r="M137" s="101">
        <f t="shared" si="85"/>
        <v>0</v>
      </c>
      <c r="N137" s="100">
        <v>0</v>
      </c>
      <c r="O137" s="98">
        <v>0</v>
      </c>
      <c r="P137" s="101">
        <f t="shared" si="86"/>
        <v>0</v>
      </c>
      <c r="Q137" s="100">
        <v>0</v>
      </c>
      <c r="R137" s="98">
        <v>0</v>
      </c>
      <c r="S137" s="101">
        <f t="shared" si="87"/>
        <v>0</v>
      </c>
      <c r="T137" s="100">
        <v>0</v>
      </c>
      <c r="U137" s="98">
        <v>0</v>
      </c>
      <c r="V137" s="101">
        <f t="shared" si="89"/>
        <v>0</v>
      </c>
      <c r="W137" s="100">
        <v>0</v>
      </c>
      <c r="X137" s="98">
        <v>0</v>
      </c>
      <c r="Y137" s="147">
        <f t="shared" si="88"/>
        <v>0</v>
      </c>
      <c r="Z137" s="150"/>
    </row>
    <row r="138" spans="2:26" s="35" customFormat="1" ht="17.100000000000001" customHeight="1">
      <c r="B138" s="105"/>
      <c r="C138" s="54"/>
      <c r="D138" s="96"/>
      <c r="E138" s="111"/>
      <c r="F138" s="112"/>
      <c r="G138" s="113"/>
      <c r="H138" s="100">
        <v>0</v>
      </c>
      <c r="I138" s="98">
        <v>0</v>
      </c>
      <c r="J138" s="101">
        <f t="shared" si="84"/>
        <v>0</v>
      </c>
      <c r="K138" s="100">
        <v>0</v>
      </c>
      <c r="L138" s="98">
        <v>0</v>
      </c>
      <c r="M138" s="101">
        <f t="shared" si="85"/>
        <v>0</v>
      </c>
      <c r="N138" s="100">
        <v>0</v>
      </c>
      <c r="O138" s="98">
        <v>0</v>
      </c>
      <c r="P138" s="101">
        <f t="shared" si="86"/>
        <v>0</v>
      </c>
      <c r="Q138" s="100">
        <v>0</v>
      </c>
      <c r="R138" s="98">
        <v>0</v>
      </c>
      <c r="S138" s="101">
        <f t="shared" si="87"/>
        <v>0</v>
      </c>
      <c r="T138" s="100">
        <v>0</v>
      </c>
      <c r="U138" s="98">
        <v>0</v>
      </c>
      <c r="V138" s="101">
        <f t="shared" si="89"/>
        <v>0</v>
      </c>
      <c r="W138" s="100">
        <v>0</v>
      </c>
      <c r="X138" s="98">
        <v>0</v>
      </c>
      <c r="Y138" s="147">
        <f t="shared" si="88"/>
        <v>0</v>
      </c>
      <c r="Z138" s="150"/>
    </row>
    <row r="139" spans="2:26" s="35" customFormat="1" ht="17.100000000000001" customHeight="1">
      <c r="B139" s="105"/>
      <c r="C139" s="54"/>
      <c r="D139" s="96"/>
      <c r="E139" s="111"/>
      <c r="F139" s="112"/>
      <c r="G139" s="113"/>
      <c r="H139" s="100">
        <v>0</v>
      </c>
      <c r="I139" s="98">
        <v>0</v>
      </c>
      <c r="J139" s="101">
        <f t="shared" si="84"/>
        <v>0</v>
      </c>
      <c r="K139" s="100">
        <v>0</v>
      </c>
      <c r="L139" s="98">
        <v>0</v>
      </c>
      <c r="M139" s="101">
        <f t="shared" si="85"/>
        <v>0</v>
      </c>
      <c r="N139" s="100">
        <v>0</v>
      </c>
      <c r="O139" s="98">
        <v>0</v>
      </c>
      <c r="P139" s="101">
        <f t="shared" si="86"/>
        <v>0</v>
      </c>
      <c r="Q139" s="100">
        <v>0</v>
      </c>
      <c r="R139" s="98">
        <v>0</v>
      </c>
      <c r="S139" s="101">
        <f t="shared" si="87"/>
        <v>0</v>
      </c>
      <c r="T139" s="100">
        <v>0</v>
      </c>
      <c r="U139" s="98">
        <v>0</v>
      </c>
      <c r="V139" s="101">
        <f t="shared" si="89"/>
        <v>0</v>
      </c>
      <c r="W139" s="100">
        <v>0</v>
      </c>
      <c r="X139" s="98">
        <v>0</v>
      </c>
      <c r="Y139" s="147">
        <f t="shared" si="88"/>
        <v>0</v>
      </c>
      <c r="Z139" s="150"/>
    </row>
    <row r="140" spans="2:26" s="126" customFormat="1" ht="17.100000000000001" customHeight="1" thickBot="1">
      <c r="B140" s="128"/>
      <c r="C140" s="154"/>
      <c r="D140" s="155"/>
      <c r="E140" s="156"/>
      <c r="F140" s="129"/>
      <c r="G140" s="130"/>
      <c r="H140" s="344" t="s">
        <v>201</v>
      </c>
      <c r="I140" s="345"/>
      <c r="J140" s="131">
        <f>SUM(J133:J139)</f>
        <v>0</v>
      </c>
      <c r="K140" s="344" t="s">
        <v>201</v>
      </c>
      <c r="L140" s="345"/>
      <c r="M140" s="131">
        <f>SUM(M133:M139)</f>
        <v>0</v>
      </c>
      <c r="N140" s="344" t="s">
        <v>201</v>
      </c>
      <c r="O140" s="345"/>
      <c r="P140" s="131">
        <f>SUM(P133:P139)</f>
        <v>0</v>
      </c>
      <c r="Q140" s="344" t="s">
        <v>201</v>
      </c>
      <c r="R140" s="345"/>
      <c r="S140" s="131">
        <f>SUM(S133:S139)</f>
        <v>0</v>
      </c>
      <c r="T140" s="344" t="s">
        <v>201</v>
      </c>
      <c r="U140" s="345"/>
      <c r="V140" s="131">
        <f>SUM(V133:V139)</f>
        <v>0</v>
      </c>
      <c r="W140" s="344" t="s">
        <v>201</v>
      </c>
      <c r="X140" s="345"/>
      <c r="Y140" s="132">
        <f>SUM(Y133:Y139)</f>
        <v>0</v>
      </c>
      <c r="Z140" s="152"/>
    </row>
    <row r="141" spans="2:26" s="35" customFormat="1" ht="17.100000000000001" customHeight="1">
      <c r="B141" s="114"/>
      <c r="C141" s="157">
        <f>'2. Rekap Back Up Beton'!C36</f>
        <v>4100</v>
      </c>
      <c r="D141" s="158">
        <f>'2. Rekap Back Up Beton'!D36</f>
        <v>4200</v>
      </c>
      <c r="E141" s="159">
        <f>'2. Rekap Back Up Beton'!E36</f>
        <v>5</v>
      </c>
      <c r="F141" s="112">
        <f>(100/((D141-C141)*E141))*((J148*0.5)+(M148*1)+(P148*2)+(S148*20)+(V148*15)+(Y148*1.5))</f>
        <v>3.3000000000000003</v>
      </c>
      <c r="G141" s="116" t="str">
        <f>IF(F141&lt;=25,"B",IF(F141&lt;=75,"S",IF(F141&lt;=100,"RR","RB")))</f>
        <v>B</v>
      </c>
      <c r="H141" s="135">
        <v>1</v>
      </c>
      <c r="I141" s="136">
        <v>3</v>
      </c>
      <c r="J141" s="137">
        <f t="shared" ref="J141:J147" si="90">H141*I141</f>
        <v>3</v>
      </c>
      <c r="K141" s="135">
        <v>5</v>
      </c>
      <c r="L141" s="136">
        <v>3</v>
      </c>
      <c r="M141" s="137">
        <f t="shared" ref="M141:M147" si="91">K141*L141</f>
        <v>15</v>
      </c>
      <c r="N141" s="135">
        <v>0</v>
      </c>
      <c r="O141" s="136">
        <v>4</v>
      </c>
      <c r="P141" s="137">
        <f t="shared" ref="P141:P147" si="92">N141*O141</f>
        <v>0</v>
      </c>
      <c r="Q141" s="135">
        <v>0</v>
      </c>
      <c r="R141" s="136">
        <v>0</v>
      </c>
      <c r="S141" s="137">
        <f t="shared" ref="S141:S147" si="93">Q141*R141</f>
        <v>0</v>
      </c>
      <c r="T141" s="135">
        <v>0</v>
      </c>
      <c r="U141" s="136">
        <v>0</v>
      </c>
      <c r="V141" s="137">
        <f>T141*U141</f>
        <v>0</v>
      </c>
      <c r="W141" s="135">
        <v>0</v>
      </c>
      <c r="X141" s="136">
        <v>0</v>
      </c>
      <c r="Y141" s="148">
        <f t="shared" ref="Y141:Y147" si="94">W141*X141</f>
        <v>0</v>
      </c>
      <c r="Z141" s="153"/>
    </row>
    <row r="142" spans="2:26" s="35" customFormat="1" ht="17.100000000000001" customHeight="1">
      <c r="B142" s="105"/>
      <c r="C142" s="54"/>
      <c r="D142" s="96"/>
      <c r="E142" s="111"/>
      <c r="F142" s="112"/>
      <c r="G142" s="113"/>
      <c r="H142" s="100">
        <v>0</v>
      </c>
      <c r="I142" s="98">
        <v>0</v>
      </c>
      <c r="J142" s="101">
        <f t="shared" si="90"/>
        <v>0</v>
      </c>
      <c r="K142" s="100">
        <v>0</v>
      </c>
      <c r="L142" s="98">
        <v>0</v>
      </c>
      <c r="M142" s="101">
        <f t="shared" si="91"/>
        <v>0</v>
      </c>
      <c r="N142" s="100">
        <v>0</v>
      </c>
      <c r="O142" s="98">
        <v>0</v>
      </c>
      <c r="P142" s="101">
        <f t="shared" si="92"/>
        <v>0</v>
      </c>
      <c r="Q142" s="100">
        <v>0</v>
      </c>
      <c r="R142" s="98">
        <v>0</v>
      </c>
      <c r="S142" s="101">
        <f t="shared" si="93"/>
        <v>0</v>
      </c>
      <c r="T142" s="100">
        <v>0</v>
      </c>
      <c r="U142" s="98">
        <v>0</v>
      </c>
      <c r="V142" s="101">
        <f t="shared" ref="V142:V147" si="95">T142*U142</f>
        <v>0</v>
      </c>
      <c r="W142" s="100">
        <v>0</v>
      </c>
      <c r="X142" s="98">
        <v>0</v>
      </c>
      <c r="Y142" s="147">
        <f t="shared" si="94"/>
        <v>0</v>
      </c>
      <c r="Z142" s="150"/>
    </row>
    <row r="143" spans="2:26" s="35" customFormat="1" ht="17.100000000000001" customHeight="1">
      <c r="B143" s="105"/>
      <c r="C143" s="54"/>
      <c r="D143" s="96"/>
      <c r="E143" s="111"/>
      <c r="F143" s="112"/>
      <c r="G143" s="113"/>
      <c r="H143" s="100">
        <v>0</v>
      </c>
      <c r="I143" s="98">
        <v>0</v>
      </c>
      <c r="J143" s="101">
        <f t="shared" si="90"/>
        <v>0</v>
      </c>
      <c r="K143" s="100">
        <v>0</v>
      </c>
      <c r="L143" s="98">
        <v>0</v>
      </c>
      <c r="M143" s="101">
        <f t="shared" si="91"/>
        <v>0</v>
      </c>
      <c r="N143" s="100">
        <v>0</v>
      </c>
      <c r="O143" s="98">
        <v>0</v>
      </c>
      <c r="P143" s="101">
        <f t="shared" si="92"/>
        <v>0</v>
      </c>
      <c r="Q143" s="100">
        <v>0</v>
      </c>
      <c r="R143" s="98">
        <v>0</v>
      </c>
      <c r="S143" s="101">
        <f t="shared" si="93"/>
        <v>0</v>
      </c>
      <c r="T143" s="100">
        <v>0</v>
      </c>
      <c r="U143" s="98">
        <v>0</v>
      </c>
      <c r="V143" s="101">
        <f t="shared" si="95"/>
        <v>0</v>
      </c>
      <c r="W143" s="100">
        <v>0</v>
      </c>
      <c r="X143" s="98">
        <v>0</v>
      </c>
      <c r="Y143" s="147">
        <f t="shared" si="94"/>
        <v>0</v>
      </c>
      <c r="Z143" s="150"/>
    </row>
    <row r="144" spans="2:26" s="35" customFormat="1" ht="17.100000000000001" customHeight="1">
      <c r="B144" s="105"/>
      <c r="C144" s="54"/>
      <c r="D144" s="96"/>
      <c r="E144" s="111"/>
      <c r="F144" s="112"/>
      <c r="G144" s="113"/>
      <c r="H144" s="100">
        <v>0</v>
      </c>
      <c r="I144" s="98">
        <v>0</v>
      </c>
      <c r="J144" s="101">
        <f t="shared" si="90"/>
        <v>0</v>
      </c>
      <c r="K144" s="100">
        <v>0</v>
      </c>
      <c r="L144" s="98">
        <v>0</v>
      </c>
      <c r="M144" s="101">
        <f t="shared" si="91"/>
        <v>0</v>
      </c>
      <c r="N144" s="100">
        <v>0</v>
      </c>
      <c r="O144" s="98">
        <v>0</v>
      </c>
      <c r="P144" s="101">
        <f t="shared" si="92"/>
        <v>0</v>
      </c>
      <c r="Q144" s="100">
        <v>0</v>
      </c>
      <c r="R144" s="98">
        <v>0</v>
      </c>
      <c r="S144" s="101">
        <f t="shared" si="93"/>
        <v>0</v>
      </c>
      <c r="T144" s="100">
        <v>0</v>
      </c>
      <c r="U144" s="98">
        <v>0</v>
      </c>
      <c r="V144" s="101">
        <f t="shared" si="95"/>
        <v>0</v>
      </c>
      <c r="W144" s="100">
        <v>0</v>
      </c>
      <c r="X144" s="98">
        <v>0</v>
      </c>
      <c r="Y144" s="147">
        <f t="shared" si="94"/>
        <v>0</v>
      </c>
      <c r="Z144" s="150"/>
    </row>
    <row r="145" spans="2:26" s="35" customFormat="1" ht="17.100000000000001" customHeight="1">
      <c r="B145" s="105"/>
      <c r="C145" s="54"/>
      <c r="D145" s="96"/>
      <c r="E145" s="111"/>
      <c r="F145" s="112"/>
      <c r="G145" s="113"/>
      <c r="H145" s="100">
        <v>0</v>
      </c>
      <c r="I145" s="98">
        <v>0</v>
      </c>
      <c r="J145" s="101">
        <f t="shared" si="90"/>
        <v>0</v>
      </c>
      <c r="K145" s="100">
        <v>0</v>
      </c>
      <c r="L145" s="98">
        <v>0</v>
      </c>
      <c r="M145" s="101">
        <f t="shared" si="91"/>
        <v>0</v>
      </c>
      <c r="N145" s="100">
        <v>0</v>
      </c>
      <c r="O145" s="98">
        <v>0</v>
      </c>
      <c r="P145" s="101">
        <f t="shared" si="92"/>
        <v>0</v>
      </c>
      <c r="Q145" s="100">
        <v>0</v>
      </c>
      <c r="R145" s="98">
        <v>0</v>
      </c>
      <c r="S145" s="101">
        <f t="shared" si="93"/>
        <v>0</v>
      </c>
      <c r="T145" s="100">
        <v>0</v>
      </c>
      <c r="U145" s="98">
        <v>0</v>
      </c>
      <c r="V145" s="101">
        <f t="shared" si="95"/>
        <v>0</v>
      </c>
      <c r="W145" s="100">
        <v>0</v>
      </c>
      <c r="X145" s="98">
        <v>0</v>
      </c>
      <c r="Y145" s="147">
        <f t="shared" si="94"/>
        <v>0</v>
      </c>
      <c r="Z145" s="150"/>
    </row>
    <row r="146" spans="2:26" s="35" customFormat="1" ht="17.100000000000001" customHeight="1">
      <c r="B146" s="105"/>
      <c r="C146" s="54"/>
      <c r="D146" s="96"/>
      <c r="E146" s="111"/>
      <c r="F146" s="112"/>
      <c r="G146" s="113"/>
      <c r="H146" s="100">
        <v>0</v>
      </c>
      <c r="I146" s="98">
        <v>0</v>
      </c>
      <c r="J146" s="101">
        <f t="shared" si="90"/>
        <v>0</v>
      </c>
      <c r="K146" s="100">
        <v>0</v>
      </c>
      <c r="L146" s="98">
        <v>0</v>
      </c>
      <c r="M146" s="101">
        <f t="shared" si="91"/>
        <v>0</v>
      </c>
      <c r="N146" s="100">
        <v>0</v>
      </c>
      <c r="O146" s="98">
        <v>0</v>
      </c>
      <c r="P146" s="101">
        <f t="shared" si="92"/>
        <v>0</v>
      </c>
      <c r="Q146" s="100">
        <v>0</v>
      </c>
      <c r="R146" s="98">
        <v>0</v>
      </c>
      <c r="S146" s="101">
        <f t="shared" si="93"/>
        <v>0</v>
      </c>
      <c r="T146" s="100">
        <v>0</v>
      </c>
      <c r="U146" s="98">
        <v>0</v>
      </c>
      <c r="V146" s="101">
        <f t="shared" si="95"/>
        <v>0</v>
      </c>
      <c r="W146" s="100">
        <v>0</v>
      </c>
      <c r="X146" s="98">
        <v>0</v>
      </c>
      <c r="Y146" s="147">
        <f t="shared" si="94"/>
        <v>0</v>
      </c>
      <c r="Z146" s="150"/>
    </row>
    <row r="147" spans="2:26" s="35" customFormat="1" ht="17.100000000000001" customHeight="1">
      <c r="B147" s="105"/>
      <c r="C147" s="54"/>
      <c r="D147" s="96"/>
      <c r="E147" s="111"/>
      <c r="F147" s="112"/>
      <c r="G147" s="113"/>
      <c r="H147" s="100">
        <v>0</v>
      </c>
      <c r="I147" s="98">
        <v>0</v>
      </c>
      <c r="J147" s="101">
        <f t="shared" si="90"/>
        <v>0</v>
      </c>
      <c r="K147" s="100">
        <v>0</v>
      </c>
      <c r="L147" s="98">
        <v>0</v>
      </c>
      <c r="M147" s="101">
        <f t="shared" si="91"/>
        <v>0</v>
      </c>
      <c r="N147" s="100">
        <v>0</v>
      </c>
      <c r="O147" s="98">
        <v>0</v>
      </c>
      <c r="P147" s="101">
        <f t="shared" si="92"/>
        <v>0</v>
      </c>
      <c r="Q147" s="100">
        <v>0</v>
      </c>
      <c r="R147" s="98">
        <v>0</v>
      </c>
      <c r="S147" s="101">
        <f t="shared" si="93"/>
        <v>0</v>
      </c>
      <c r="T147" s="100">
        <v>0</v>
      </c>
      <c r="U147" s="98">
        <v>0</v>
      </c>
      <c r="V147" s="101">
        <f t="shared" si="95"/>
        <v>0</v>
      </c>
      <c r="W147" s="100">
        <v>0</v>
      </c>
      <c r="X147" s="98">
        <v>0</v>
      </c>
      <c r="Y147" s="147">
        <f t="shared" si="94"/>
        <v>0</v>
      </c>
      <c r="Z147" s="150"/>
    </row>
    <row r="148" spans="2:26" s="126" customFormat="1" ht="17.100000000000001" customHeight="1">
      <c r="B148" s="118"/>
      <c r="C148" s="119"/>
      <c r="D148" s="120"/>
      <c r="E148" s="121"/>
      <c r="F148" s="122"/>
      <c r="G148" s="123"/>
      <c r="H148" s="341" t="s">
        <v>201</v>
      </c>
      <c r="I148" s="342"/>
      <c r="J148" s="124">
        <f>SUM(J141:J147)</f>
        <v>3</v>
      </c>
      <c r="K148" s="341" t="s">
        <v>201</v>
      </c>
      <c r="L148" s="342"/>
      <c r="M148" s="124">
        <f>SUM(M141:M147)</f>
        <v>15</v>
      </c>
      <c r="N148" s="341" t="s">
        <v>201</v>
      </c>
      <c r="O148" s="342"/>
      <c r="P148" s="124">
        <f>SUM(P141:P147)</f>
        <v>0</v>
      </c>
      <c r="Q148" s="341" t="s">
        <v>201</v>
      </c>
      <c r="R148" s="342"/>
      <c r="S148" s="124">
        <f>SUM(S141:S147)</f>
        <v>0</v>
      </c>
      <c r="T148" s="341" t="s">
        <v>201</v>
      </c>
      <c r="U148" s="342"/>
      <c r="V148" s="124">
        <f>SUM(V141:V147)</f>
        <v>0</v>
      </c>
      <c r="W148" s="341" t="s">
        <v>201</v>
      </c>
      <c r="X148" s="342"/>
      <c r="Y148" s="127">
        <f>SUM(Y141:Y147)</f>
        <v>0</v>
      </c>
      <c r="Z148" s="151"/>
    </row>
    <row r="149" spans="2:26" s="35" customFormat="1" ht="17.100000000000001" customHeight="1">
      <c r="B149" s="105"/>
      <c r="C149" s="54">
        <f>'2. Rekap Back Up Beton'!C37</f>
        <v>4200</v>
      </c>
      <c r="D149" s="96">
        <f>'2. Rekap Back Up Beton'!D37</f>
        <v>4300</v>
      </c>
      <c r="E149" s="111">
        <f>'2. Rekap Back Up Beton'!E37</f>
        <v>5</v>
      </c>
      <c r="F149" s="112">
        <f>(100/((D149-C149)*E149))*((J156*0.5)+(M156*1)+(P156*2)+(S156*20)+(V156*15)+(Y156*1.5))</f>
        <v>9</v>
      </c>
      <c r="G149" s="113" t="str">
        <f>IF(F149&lt;=25,"B",IF(F149&lt;=75,"S",IF(F149&lt;=100,"RR","RB")))</f>
        <v>B</v>
      </c>
      <c r="H149" s="100">
        <v>0</v>
      </c>
      <c r="I149" s="98">
        <v>0</v>
      </c>
      <c r="J149" s="101">
        <f t="shared" ref="J149:J155" si="96">H149*I149</f>
        <v>0</v>
      </c>
      <c r="K149" s="100">
        <v>15</v>
      </c>
      <c r="L149" s="98">
        <v>3</v>
      </c>
      <c r="M149" s="101">
        <f t="shared" ref="M149:M155" si="97">K149*L149</f>
        <v>45</v>
      </c>
      <c r="N149" s="100">
        <v>0</v>
      </c>
      <c r="O149" s="98">
        <v>4</v>
      </c>
      <c r="P149" s="101">
        <f t="shared" ref="P149:P155" si="98">N149*O149</f>
        <v>0</v>
      </c>
      <c r="Q149" s="100">
        <v>0</v>
      </c>
      <c r="R149" s="98">
        <v>0</v>
      </c>
      <c r="S149" s="101">
        <f t="shared" ref="S149:S155" si="99">Q149*R149</f>
        <v>0</v>
      </c>
      <c r="T149" s="100">
        <v>0</v>
      </c>
      <c r="U149" s="98">
        <v>0</v>
      </c>
      <c r="V149" s="101">
        <f>T149*U149</f>
        <v>0</v>
      </c>
      <c r="W149" s="100">
        <v>0</v>
      </c>
      <c r="X149" s="98">
        <v>0</v>
      </c>
      <c r="Y149" s="147">
        <f t="shared" ref="Y149:Y155" si="100">W149*X149</f>
        <v>0</v>
      </c>
      <c r="Z149" s="150"/>
    </row>
    <row r="150" spans="2:26" s="35" customFormat="1" ht="17.100000000000001" customHeight="1">
      <c r="B150" s="105"/>
      <c r="C150" s="54"/>
      <c r="D150" s="96"/>
      <c r="E150" s="111"/>
      <c r="F150" s="112"/>
      <c r="G150" s="113"/>
      <c r="H150" s="100">
        <v>0</v>
      </c>
      <c r="I150" s="98">
        <v>0</v>
      </c>
      <c r="J150" s="101">
        <f t="shared" si="96"/>
        <v>0</v>
      </c>
      <c r="K150" s="100">
        <v>0</v>
      </c>
      <c r="L150" s="98">
        <v>0</v>
      </c>
      <c r="M150" s="101">
        <f t="shared" si="97"/>
        <v>0</v>
      </c>
      <c r="N150" s="100">
        <v>0</v>
      </c>
      <c r="O150" s="98">
        <v>0</v>
      </c>
      <c r="P150" s="101">
        <f t="shared" si="98"/>
        <v>0</v>
      </c>
      <c r="Q150" s="100">
        <v>0</v>
      </c>
      <c r="R150" s="98">
        <v>0</v>
      </c>
      <c r="S150" s="101">
        <f t="shared" si="99"/>
        <v>0</v>
      </c>
      <c r="T150" s="100">
        <v>0</v>
      </c>
      <c r="U150" s="98">
        <v>0</v>
      </c>
      <c r="V150" s="101">
        <f t="shared" ref="V150:V155" si="101">T150*U150</f>
        <v>0</v>
      </c>
      <c r="W150" s="100">
        <v>0</v>
      </c>
      <c r="X150" s="98">
        <v>0</v>
      </c>
      <c r="Y150" s="147">
        <f t="shared" si="100"/>
        <v>0</v>
      </c>
      <c r="Z150" s="150"/>
    </row>
    <row r="151" spans="2:26" s="35" customFormat="1" ht="17.100000000000001" customHeight="1">
      <c r="B151" s="105"/>
      <c r="C151" s="54"/>
      <c r="D151" s="96"/>
      <c r="E151" s="111"/>
      <c r="F151" s="112"/>
      <c r="G151" s="113"/>
      <c r="H151" s="100">
        <v>0</v>
      </c>
      <c r="I151" s="98">
        <v>0</v>
      </c>
      <c r="J151" s="101">
        <f t="shared" si="96"/>
        <v>0</v>
      </c>
      <c r="K151" s="100">
        <v>0</v>
      </c>
      <c r="L151" s="98">
        <v>0</v>
      </c>
      <c r="M151" s="101">
        <f t="shared" si="97"/>
        <v>0</v>
      </c>
      <c r="N151" s="100">
        <v>0</v>
      </c>
      <c r="O151" s="98">
        <v>0</v>
      </c>
      <c r="P151" s="101">
        <f t="shared" si="98"/>
        <v>0</v>
      </c>
      <c r="Q151" s="100">
        <v>0</v>
      </c>
      <c r="R151" s="98">
        <v>0</v>
      </c>
      <c r="S151" s="101">
        <f t="shared" si="99"/>
        <v>0</v>
      </c>
      <c r="T151" s="100">
        <v>0</v>
      </c>
      <c r="U151" s="98">
        <v>0</v>
      </c>
      <c r="V151" s="101">
        <f t="shared" si="101"/>
        <v>0</v>
      </c>
      <c r="W151" s="100">
        <v>0</v>
      </c>
      <c r="X151" s="98">
        <v>0</v>
      </c>
      <c r="Y151" s="147">
        <f t="shared" si="100"/>
        <v>0</v>
      </c>
      <c r="Z151" s="150"/>
    </row>
    <row r="152" spans="2:26" s="35" customFormat="1" ht="17.100000000000001" customHeight="1">
      <c r="B152" s="105"/>
      <c r="C152" s="54"/>
      <c r="D152" s="96"/>
      <c r="E152" s="111"/>
      <c r="F152" s="112"/>
      <c r="G152" s="113"/>
      <c r="H152" s="100">
        <v>0</v>
      </c>
      <c r="I152" s="98">
        <v>0</v>
      </c>
      <c r="J152" s="101">
        <f t="shared" si="96"/>
        <v>0</v>
      </c>
      <c r="K152" s="100">
        <v>0</v>
      </c>
      <c r="L152" s="98">
        <v>0</v>
      </c>
      <c r="M152" s="101">
        <f t="shared" si="97"/>
        <v>0</v>
      </c>
      <c r="N152" s="100">
        <v>0</v>
      </c>
      <c r="O152" s="98">
        <v>0</v>
      </c>
      <c r="P152" s="101">
        <f t="shared" si="98"/>
        <v>0</v>
      </c>
      <c r="Q152" s="100">
        <v>0</v>
      </c>
      <c r="R152" s="98">
        <v>0</v>
      </c>
      <c r="S152" s="101">
        <f t="shared" si="99"/>
        <v>0</v>
      </c>
      <c r="T152" s="100">
        <v>0</v>
      </c>
      <c r="U152" s="98">
        <v>0</v>
      </c>
      <c r="V152" s="101">
        <f t="shared" si="101"/>
        <v>0</v>
      </c>
      <c r="W152" s="100">
        <v>0</v>
      </c>
      <c r="X152" s="98">
        <v>0</v>
      </c>
      <c r="Y152" s="147">
        <f t="shared" si="100"/>
        <v>0</v>
      </c>
      <c r="Z152" s="150"/>
    </row>
    <row r="153" spans="2:26" s="35" customFormat="1" ht="17.100000000000001" customHeight="1">
      <c r="B153" s="105"/>
      <c r="C153" s="54"/>
      <c r="D153" s="96"/>
      <c r="E153" s="111"/>
      <c r="F153" s="112"/>
      <c r="G153" s="113"/>
      <c r="H153" s="100">
        <v>0</v>
      </c>
      <c r="I153" s="98">
        <v>0</v>
      </c>
      <c r="J153" s="101">
        <f t="shared" si="96"/>
        <v>0</v>
      </c>
      <c r="K153" s="100">
        <v>0</v>
      </c>
      <c r="L153" s="98">
        <v>0</v>
      </c>
      <c r="M153" s="101">
        <f t="shared" si="97"/>
        <v>0</v>
      </c>
      <c r="N153" s="100">
        <v>0</v>
      </c>
      <c r="O153" s="98">
        <v>0</v>
      </c>
      <c r="P153" s="101">
        <f t="shared" si="98"/>
        <v>0</v>
      </c>
      <c r="Q153" s="100">
        <v>0</v>
      </c>
      <c r="R153" s="98">
        <v>0</v>
      </c>
      <c r="S153" s="101">
        <f t="shared" si="99"/>
        <v>0</v>
      </c>
      <c r="T153" s="100">
        <v>0</v>
      </c>
      <c r="U153" s="98">
        <v>0</v>
      </c>
      <c r="V153" s="101">
        <f t="shared" si="101"/>
        <v>0</v>
      </c>
      <c r="W153" s="100">
        <v>0</v>
      </c>
      <c r="X153" s="98">
        <v>0</v>
      </c>
      <c r="Y153" s="147">
        <f t="shared" si="100"/>
        <v>0</v>
      </c>
      <c r="Z153" s="150"/>
    </row>
    <row r="154" spans="2:26" s="35" customFormat="1" ht="17.100000000000001" customHeight="1">
      <c r="B154" s="105"/>
      <c r="C154" s="54"/>
      <c r="D154" s="96"/>
      <c r="E154" s="111"/>
      <c r="F154" s="112"/>
      <c r="G154" s="113"/>
      <c r="H154" s="100">
        <v>0</v>
      </c>
      <c r="I154" s="98">
        <v>0</v>
      </c>
      <c r="J154" s="101">
        <f t="shared" si="96"/>
        <v>0</v>
      </c>
      <c r="K154" s="100">
        <v>0</v>
      </c>
      <c r="L154" s="98">
        <v>0</v>
      </c>
      <c r="M154" s="101">
        <f t="shared" si="97"/>
        <v>0</v>
      </c>
      <c r="N154" s="100">
        <v>0</v>
      </c>
      <c r="O154" s="98">
        <v>0</v>
      </c>
      <c r="P154" s="101">
        <f t="shared" si="98"/>
        <v>0</v>
      </c>
      <c r="Q154" s="100">
        <v>0</v>
      </c>
      <c r="R154" s="98">
        <v>0</v>
      </c>
      <c r="S154" s="101">
        <f t="shared" si="99"/>
        <v>0</v>
      </c>
      <c r="T154" s="100">
        <v>0</v>
      </c>
      <c r="U154" s="98">
        <v>0</v>
      </c>
      <c r="V154" s="101">
        <f t="shared" si="101"/>
        <v>0</v>
      </c>
      <c r="W154" s="100">
        <v>0</v>
      </c>
      <c r="X154" s="98">
        <v>0</v>
      </c>
      <c r="Y154" s="147">
        <f t="shared" si="100"/>
        <v>0</v>
      </c>
      <c r="Z154" s="150"/>
    </row>
    <row r="155" spans="2:26" s="35" customFormat="1" ht="17.100000000000001" customHeight="1">
      <c r="B155" s="105"/>
      <c r="C155" s="54"/>
      <c r="D155" s="96"/>
      <c r="E155" s="111"/>
      <c r="F155" s="112"/>
      <c r="G155" s="113"/>
      <c r="H155" s="100">
        <v>0</v>
      </c>
      <c r="I155" s="98">
        <v>0</v>
      </c>
      <c r="J155" s="101">
        <f t="shared" si="96"/>
        <v>0</v>
      </c>
      <c r="K155" s="100">
        <v>0</v>
      </c>
      <c r="L155" s="98">
        <v>0</v>
      </c>
      <c r="M155" s="101">
        <f t="shared" si="97"/>
        <v>0</v>
      </c>
      <c r="N155" s="100">
        <v>0</v>
      </c>
      <c r="O155" s="98">
        <v>0</v>
      </c>
      <c r="P155" s="101">
        <f t="shared" si="98"/>
        <v>0</v>
      </c>
      <c r="Q155" s="100">
        <v>0</v>
      </c>
      <c r="R155" s="98">
        <v>0</v>
      </c>
      <c r="S155" s="101">
        <f t="shared" si="99"/>
        <v>0</v>
      </c>
      <c r="T155" s="100">
        <v>0</v>
      </c>
      <c r="U155" s="98">
        <v>0</v>
      </c>
      <c r="V155" s="101">
        <f t="shared" si="101"/>
        <v>0</v>
      </c>
      <c r="W155" s="100">
        <v>0</v>
      </c>
      <c r="X155" s="98">
        <v>0</v>
      </c>
      <c r="Y155" s="147">
        <f t="shared" si="100"/>
        <v>0</v>
      </c>
      <c r="Z155" s="150"/>
    </row>
    <row r="156" spans="2:26" s="126" customFormat="1" ht="17.100000000000001" customHeight="1">
      <c r="B156" s="118"/>
      <c r="C156" s="119"/>
      <c r="D156" s="120"/>
      <c r="E156" s="121"/>
      <c r="F156" s="122"/>
      <c r="G156" s="123"/>
      <c r="H156" s="341" t="s">
        <v>201</v>
      </c>
      <c r="I156" s="342"/>
      <c r="J156" s="124">
        <f>SUM(J149:J155)</f>
        <v>0</v>
      </c>
      <c r="K156" s="341" t="s">
        <v>201</v>
      </c>
      <c r="L156" s="342"/>
      <c r="M156" s="124">
        <f>SUM(M149:M155)</f>
        <v>45</v>
      </c>
      <c r="N156" s="341" t="s">
        <v>201</v>
      </c>
      <c r="O156" s="342"/>
      <c r="P156" s="124">
        <f>SUM(P149:P155)</f>
        <v>0</v>
      </c>
      <c r="Q156" s="341" t="s">
        <v>201</v>
      </c>
      <c r="R156" s="342"/>
      <c r="S156" s="124">
        <f>SUM(S149:S155)</f>
        <v>0</v>
      </c>
      <c r="T156" s="341" t="s">
        <v>201</v>
      </c>
      <c r="U156" s="342"/>
      <c r="V156" s="124">
        <f>SUM(V149:V155)</f>
        <v>0</v>
      </c>
      <c r="W156" s="341" t="s">
        <v>201</v>
      </c>
      <c r="X156" s="342"/>
      <c r="Y156" s="127">
        <f>SUM(Y149:Y155)</f>
        <v>0</v>
      </c>
      <c r="Z156" s="151"/>
    </row>
    <row r="157" spans="2:26" s="35" customFormat="1" ht="17.100000000000001" customHeight="1">
      <c r="B157" s="105"/>
      <c r="C157" s="54">
        <f>'2. Rekap Back Up Beton'!C38</f>
        <v>4300</v>
      </c>
      <c r="D157" s="96">
        <f>'2. Rekap Back Up Beton'!D38</f>
        <v>4400</v>
      </c>
      <c r="E157" s="111">
        <f>'2. Rekap Back Up Beton'!E38</f>
        <v>5</v>
      </c>
      <c r="F157" s="112">
        <f>(100/((D157-C157)*E157))*((J164*0.5)+(M164*1)+(P164*2)+(S164*20)+(V164*15)+(Y164*1.5))</f>
        <v>6</v>
      </c>
      <c r="G157" s="113" t="str">
        <f>IF(F157&lt;=25,"B",IF(F157&lt;=75,"S",IF(F157&lt;=100,"RR","RB")))</f>
        <v>B</v>
      </c>
      <c r="H157" s="100">
        <v>20</v>
      </c>
      <c r="I157" s="98">
        <v>3</v>
      </c>
      <c r="J157" s="101">
        <f t="shared" ref="J157:J163" si="102">H157*I157</f>
        <v>60</v>
      </c>
      <c r="K157" s="100">
        <v>0</v>
      </c>
      <c r="L157" s="98">
        <v>0</v>
      </c>
      <c r="M157" s="101">
        <f t="shared" ref="M157:M163" si="103">K157*L157</f>
        <v>0</v>
      </c>
      <c r="N157" s="100">
        <v>0</v>
      </c>
      <c r="O157" s="98">
        <v>4</v>
      </c>
      <c r="P157" s="101">
        <f t="shared" ref="P157:P163" si="104">N157*O157</f>
        <v>0</v>
      </c>
      <c r="Q157" s="100">
        <v>0</v>
      </c>
      <c r="R157" s="98">
        <v>0</v>
      </c>
      <c r="S157" s="101">
        <f t="shared" ref="S157:S163" si="105">Q157*R157</f>
        <v>0</v>
      </c>
      <c r="T157" s="100">
        <v>0</v>
      </c>
      <c r="U157" s="98">
        <v>0</v>
      </c>
      <c r="V157" s="101">
        <f>T157*U157</f>
        <v>0</v>
      </c>
      <c r="W157" s="100">
        <v>0</v>
      </c>
      <c r="X157" s="98">
        <v>0</v>
      </c>
      <c r="Y157" s="147">
        <f t="shared" ref="Y157:Y163" si="106">W157*X157</f>
        <v>0</v>
      </c>
      <c r="Z157" s="150"/>
    </row>
    <row r="158" spans="2:26" s="35" customFormat="1" ht="17.100000000000001" customHeight="1">
      <c r="B158" s="105"/>
      <c r="C158" s="54"/>
      <c r="D158" s="96"/>
      <c r="E158" s="111"/>
      <c r="F158" s="112"/>
      <c r="G158" s="113"/>
      <c r="H158" s="100">
        <v>0</v>
      </c>
      <c r="I158" s="98">
        <v>0</v>
      </c>
      <c r="J158" s="101">
        <f t="shared" si="102"/>
        <v>0</v>
      </c>
      <c r="K158" s="100">
        <v>0</v>
      </c>
      <c r="L158" s="98">
        <v>0</v>
      </c>
      <c r="M158" s="101">
        <f t="shared" si="103"/>
        <v>0</v>
      </c>
      <c r="N158" s="100">
        <v>0</v>
      </c>
      <c r="O158" s="98">
        <v>0</v>
      </c>
      <c r="P158" s="101">
        <f t="shared" si="104"/>
        <v>0</v>
      </c>
      <c r="Q158" s="100">
        <v>0</v>
      </c>
      <c r="R158" s="98">
        <v>0</v>
      </c>
      <c r="S158" s="101">
        <f t="shared" si="105"/>
        <v>0</v>
      </c>
      <c r="T158" s="100">
        <v>0</v>
      </c>
      <c r="U158" s="98">
        <v>0</v>
      </c>
      <c r="V158" s="101">
        <f t="shared" ref="V158:V163" si="107">T158*U158</f>
        <v>0</v>
      </c>
      <c r="W158" s="100">
        <v>0</v>
      </c>
      <c r="X158" s="98">
        <v>0</v>
      </c>
      <c r="Y158" s="147">
        <f t="shared" si="106"/>
        <v>0</v>
      </c>
      <c r="Z158" s="150"/>
    </row>
    <row r="159" spans="2:26" s="35" customFormat="1" ht="17.100000000000001" customHeight="1">
      <c r="B159" s="105"/>
      <c r="C159" s="54"/>
      <c r="D159" s="96"/>
      <c r="E159" s="111"/>
      <c r="F159" s="112"/>
      <c r="G159" s="113"/>
      <c r="H159" s="100">
        <v>0</v>
      </c>
      <c r="I159" s="98">
        <v>0</v>
      </c>
      <c r="J159" s="101">
        <f t="shared" si="102"/>
        <v>0</v>
      </c>
      <c r="K159" s="100">
        <v>0</v>
      </c>
      <c r="L159" s="98">
        <v>0</v>
      </c>
      <c r="M159" s="101">
        <f t="shared" si="103"/>
        <v>0</v>
      </c>
      <c r="N159" s="100">
        <v>0</v>
      </c>
      <c r="O159" s="98">
        <v>0</v>
      </c>
      <c r="P159" s="101">
        <f t="shared" si="104"/>
        <v>0</v>
      </c>
      <c r="Q159" s="100">
        <v>0</v>
      </c>
      <c r="R159" s="98">
        <v>0</v>
      </c>
      <c r="S159" s="101">
        <f t="shared" si="105"/>
        <v>0</v>
      </c>
      <c r="T159" s="100">
        <v>0</v>
      </c>
      <c r="U159" s="98">
        <v>0</v>
      </c>
      <c r="V159" s="101">
        <f t="shared" si="107"/>
        <v>0</v>
      </c>
      <c r="W159" s="100">
        <v>0</v>
      </c>
      <c r="X159" s="98">
        <v>0</v>
      </c>
      <c r="Y159" s="147">
        <f t="shared" si="106"/>
        <v>0</v>
      </c>
      <c r="Z159" s="150"/>
    </row>
    <row r="160" spans="2:26" s="35" customFormat="1" ht="17.100000000000001" customHeight="1">
      <c r="B160" s="105"/>
      <c r="C160" s="54"/>
      <c r="D160" s="96"/>
      <c r="E160" s="111"/>
      <c r="F160" s="112"/>
      <c r="G160" s="113"/>
      <c r="H160" s="100">
        <v>0</v>
      </c>
      <c r="I160" s="98">
        <v>0</v>
      </c>
      <c r="J160" s="101">
        <f t="shared" si="102"/>
        <v>0</v>
      </c>
      <c r="K160" s="100">
        <v>0</v>
      </c>
      <c r="L160" s="98">
        <v>0</v>
      </c>
      <c r="M160" s="101">
        <f t="shared" si="103"/>
        <v>0</v>
      </c>
      <c r="N160" s="100">
        <v>0</v>
      </c>
      <c r="O160" s="98">
        <v>0</v>
      </c>
      <c r="P160" s="101">
        <f t="shared" si="104"/>
        <v>0</v>
      </c>
      <c r="Q160" s="100">
        <v>0</v>
      </c>
      <c r="R160" s="98">
        <v>0</v>
      </c>
      <c r="S160" s="101">
        <f t="shared" si="105"/>
        <v>0</v>
      </c>
      <c r="T160" s="100">
        <v>0</v>
      </c>
      <c r="U160" s="98">
        <v>0</v>
      </c>
      <c r="V160" s="101">
        <f t="shared" si="107"/>
        <v>0</v>
      </c>
      <c r="W160" s="100">
        <v>0</v>
      </c>
      <c r="X160" s="98">
        <v>0</v>
      </c>
      <c r="Y160" s="147">
        <f t="shared" si="106"/>
        <v>0</v>
      </c>
      <c r="Z160" s="150"/>
    </row>
    <row r="161" spans="2:26" s="35" customFormat="1" ht="17.100000000000001" customHeight="1">
      <c r="B161" s="105"/>
      <c r="C161" s="54"/>
      <c r="D161" s="96"/>
      <c r="E161" s="111"/>
      <c r="F161" s="112"/>
      <c r="G161" s="113"/>
      <c r="H161" s="100">
        <v>0</v>
      </c>
      <c r="I161" s="98">
        <v>0</v>
      </c>
      <c r="J161" s="101">
        <f t="shared" si="102"/>
        <v>0</v>
      </c>
      <c r="K161" s="100">
        <v>0</v>
      </c>
      <c r="L161" s="98">
        <v>0</v>
      </c>
      <c r="M161" s="101">
        <f t="shared" si="103"/>
        <v>0</v>
      </c>
      <c r="N161" s="100">
        <v>0</v>
      </c>
      <c r="O161" s="98">
        <v>0</v>
      </c>
      <c r="P161" s="101">
        <f t="shared" si="104"/>
        <v>0</v>
      </c>
      <c r="Q161" s="100">
        <v>0</v>
      </c>
      <c r="R161" s="98">
        <v>0</v>
      </c>
      <c r="S161" s="101">
        <f t="shared" si="105"/>
        <v>0</v>
      </c>
      <c r="T161" s="100">
        <v>0</v>
      </c>
      <c r="U161" s="98">
        <v>0</v>
      </c>
      <c r="V161" s="101">
        <f t="shared" si="107"/>
        <v>0</v>
      </c>
      <c r="W161" s="100">
        <v>0</v>
      </c>
      <c r="X161" s="98">
        <v>0</v>
      </c>
      <c r="Y161" s="147">
        <f t="shared" si="106"/>
        <v>0</v>
      </c>
      <c r="Z161" s="150"/>
    </row>
    <row r="162" spans="2:26" s="35" customFormat="1" ht="17.100000000000001" customHeight="1">
      <c r="B162" s="105"/>
      <c r="C162" s="54"/>
      <c r="D162" s="96"/>
      <c r="E162" s="111"/>
      <c r="F162" s="112"/>
      <c r="G162" s="113"/>
      <c r="H162" s="100">
        <v>0</v>
      </c>
      <c r="I162" s="98">
        <v>0</v>
      </c>
      <c r="J162" s="101">
        <f t="shared" si="102"/>
        <v>0</v>
      </c>
      <c r="K162" s="100">
        <v>0</v>
      </c>
      <c r="L162" s="98">
        <v>0</v>
      </c>
      <c r="M162" s="101">
        <f t="shared" si="103"/>
        <v>0</v>
      </c>
      <c r="N162" s="100">
        <v>0</v>
      </c>
      <c r="O162" s="98">
        <v>0</v>
      </c>
      <c r="P162" s="101">
        <f t="shared" si="104"/>
        <v>0</v>
      </c>
      <c r="Q162" s="100">
        <v>0</v>
      </c>
      <c r="R162" s="98">
        <v>0</v>
      </c>
      <c r="S162" s="101">
        <f t="shared" si="105"/>
        <v>0</v>
      </c>
      <c r="T162" s="100">
        <v>0</v>
      </c>
      <c r="U162" s="98">
        <v>0</v>
      </c>
      <c r="V162" s="101">
        <f t="shared" si="107"/>
        <v>0</v>
      </c>
      <c r="W162" s="100">
        <v>0</v>
      </c>
      <c r="X162" s="98">
        <v>0</v>
      </c>
      <c r="Y162" s="147">
        <f t="shared" si="106"/>
        <v>0</v>
      </c>
      <c r="Z162" s="150"/>
    </row>
    <row r="163" spans="2:26" s="35" customFormat="1" ht="17.100000000000001" customHeight="1">
      <c r="B163" s="105"/>
      <c r="C163" s="54"/>
      <c r="D163" s="96"/>
      <c r="E163" s="111"/>
      <c r="F163" s="112"/>
      <c r="G163" s="113"/>
      <c r="H163" s="100">
        <v>0</v>
      </c>
      <c r="I163" s="98">
        <v>0</v>
      </c>
      <c r="J163" s="101">
        <f t="shared" si="102"/>
        <v>0</v>
      </c>
      <c r="K163" s="100">
        <v>0</v>
      </c>
      <c r="L163" s="98">
        <v>0</v>
      </c>
      <c r="M163" s="101">
        <f t="shared" si="103"/>
        <v>0</v>
      </c>
      <c r="N163" s="100">
        <v>0</v>
      </c>
      <c r="O163" s="98">
        <v>0</v>
      </c>
      <c r="P163" s="101">
        <f t="shared" si="104"/>
        <v>0</v>
      </c>
      <c r="Q163" s="100">
        <v>0</v>
      </c>
      <c r="R163" s="98">
        <v>0</v>
      </c>
      <c r="S163" s="101">
        <f t="shared" si="105"/>
        <v>0</v>
      </c>
      <c r="T163" s="100">
        <v>0</v>
      </c>
      <c r="U163" s="98">
        <v>0</v>
      </c>
      <c r="V163" s="101">
        <f t="shared" si="107"/>
        <v>0</v>
      </c>
      <c r="W163" s="100">
        <v>0</v>
      </c>
      <c r="X163" s="98">
        <v>0</v>
      </c>
      <c r="Y163" s="147">
        <f t="shared" si="106"/>
        <v>0</v>
      </c>
      <c r="Z163" s="150"/>
    </row>
    <row r="164" spans="2:26" s="126" customFormat="1" ht="17.100000000000001" customHeight="1">
      <c r="B164" s="118"/>
      <c r="C164" s="119"/>
      <c r="D164" s="120"/>
      <c r="E164" s="121"/>
      <c r="F164" s="122"/>
      <c r="G164" s="123"/>
      <c r="H164" s="341" t="s">
        <v>201</v>
      </c>
      <c r="I164" s="342"/>
      <c r="J164" s="124">
        <f>SUM(J157:J163)</f>
        <v>60</v>
      </c>
      <c r="K164" s="341" t="s">
        <v>201</v>
      </c>
      <c r="L164" s="342"/>
      <c r="M164" s="124">
        <f>SUM(M157:M163)</f>
        <v>0</v>
      </c>
      <c r="N164" s="341" t="s">
        <v>201</v>
      </c>
      <c r="O164" s="342"/>
      <c r="P164" s="124">
        <f>SUM(P157:P163)</f>
        <v>0</v>
      </c>
      <c r="Q164" s="341" t="s">
        <v>201</v>
      </c>
      <c r="R164" s="342"/>
      <c r="S164" s="124">
        <f>SUM(S157:S163)</f>
        <v>0</v>
      </c>
      <c r="T164" s="341" t="s">
        <v>201</v>
      </c>
      <c r="U164" s="342"/>
      <c r="V164" s="124">
        <f>SUM(V157:V163)</f>
        <v>0</v>
      </c>
      <c r="W164" s="341" t="s">
        <v>201</v>
      </c>
      <c r="X164" s="342"/>
      <c r="Y164" s="127">
        <f>SUM(Y157:Y163)</f>
        <v>0</v>
      </c>
      <c r="Z164" s="151"/>
    </row>
    <row r="165" spans="2:26" s="35" customFormat="1" ht="17.100000000000001" customHeight="1">
      <c r="B165" s="105"/>
      <c r="C165" s="54">
        <f>'2. Rekap Back Up Beton'!C39</f>
        <v>4400</v>
      </c>
      <c r="D165" s="96">
        <f>'2. Rekap Back Up Beton'!D39</f>
        <v>4500</v>
      </c>
      <c r="E165" s="111">
        <f>'2. Rekap Back Up Beton'!E39</f>
        <v>5</v>
      </c>
      <c r="F165" s="112">
        <f>(100/((D165-C165)*E165))*((J172*0.5)+(M172*1)+(P172*2)+(S172*20)+(V172*15)+(Y172*1.5))</f>
        <v>64</v>
      </c>
      <c r="G165" s="113" t="str">
        <f>IF(F165&lt;=25,"B",IF(F165&lt;=75,"S",IF(F165&lt;=100,"RR","RB")))</f>
        <v>S</v>
      </c>
      <c r="H165" s="100">
        <v>0</v>
      </c>
      <c r="I165" s="98">
        <v>0</v>
      </c>
      <c r="J165" s="101">
        <f t="shared" ref="J165:J171" si="108">H165*I165</f>
        <v>0</v>
      </c>
      <c r="K165" s="100">
        <v>0</v>
      </c>
      <c r="L165" s="98">
        <v>0</v>
      </c>
      <c r="M165" s="101">
        <f t="shared" ref="M165:M171" si="109">K165*L165</f>
        <v>0</v>
      </c>
      <c r="N165" s="100">
        <v>0</v>
      </c>
      <c r="O165" s="98">
        <v>4</v>
      </c>
      <c r="P165" s="101">
        <f t="shared" ref="P165:P171" si="110">N165*O165</f>
        <v>0</v>
      </c>
      <c r="Q165" s="100">
        <v>8</v>
      </c>
      <c r="R165" s="98">
        <v>2</v>
      </c>
      <c r="S165" s="101">
        <f t="shared" ref="S165:S171" si="111">Q165*R165</f>
        <v>16</v>
      </c>
      <c r="T165" s="100">
        <v>0</v>
      </c>
      <c r="U165" s="98">
        <v>0</v>
      </c>
      <c r="V165" s="101">
        <f>T165*U165</f>
        <v>0</v>
      </c>
      <c r="W165" s="100">
        <v>0</v>
      </c>
      <c r="X165" s="98">
        <v>0</v>
      </c>
      <c r="Y165" s="147">
        <f t="shared" ref="Y165:Y171" si="112">W165*X165</f>
        <v>0</v>
      </c>
      <c r="Z165" s="150"/>
    </row>
    <row r="166" spans="2:26" s="35" customFormat="1" ht="17.100000000000001" customHeight="1">
      <c r="B166" s="105"/>
      <c r="C166" s="54"/>
      <c r="D166" s="96"/>
      <c r="E166" s="111"/>
      <c r="F166" s="112"/>
      <c r="G166" s="113"/>
      <c r="H166" s="100">
        <v>0</v>
      </c>
      <c r="I166" s="98">
        <v>0</v>
      </c>
      <c r="J166" s="101">
        <f t="shared" si="108"/>
        <v>0</v>
      </c>
      <c r="K166" s="100">
        <v>0</v>
      </c>
      <c r="L166" s="98">
        <v>0</v>
      </c>
      <c r="M166" s="101">
        <f t="shared" si="109"/>
        <v>0</v>
      </c>
      <c r="N166" s="100">
        <v>0</v>
      </c>
      <c r="O166" s="98">
        <v>0</v>
      </c>
      <c r="P166" s="101">
        <f t="shared" si="110"/>
        <v>0</v>
      </c>
      <c r="Q166" s="100">
        <v>0</v>
      </c>
      <c r="R166" s="98">
        <v>0</v>
      </c>
      <c r="S166" s="101">
        <f t="shared" si="111"/>
        <v>0</v>
      </c>
      <c r="T166" s="100">
        <v>0</v>
      </c>
      <c r="U166" s="98">
        <v>0</v>
      </c>
      <c r="V166" s="101">
        <f t="shared" ref="V166:V171" si="113">T166*U166</f>
        <v>0</v>
      </c>
      <c r="W166" s="100">
        <v>0</v>
      </c>
      <c r="X166" s="98">
        <v>0</v>
      </c>
      <c r="Y166" s="147">
        <f t="shared" si="112"/>
        <v>0</v>
      </c>
      <c r="Z166" s="150"/>
    </row>
    <row r="167" spans="2:26" s="35" customFormat="1" ht="17.100000000000001" customHeight="1">
      <c r="B167" s="105"/>
      <c r="C167" s="54"/>
      <c r="D167" s="96"/>
      <c r="E167" s="111"/>
      <c r="F167" s="112"/>
      <c r="G167" s="113"/>
      <c r="H167" s="100">
        <v>0</v>
      </c>
      <c r="I167" s="98">
        <v>0</v>
      </c>
      <c r="J167" s="101">
        <f t="shared" si="108"/>
        <v>0</v>
      </c>
      <c r="K167" s="100">
        <v>0</v>
      </c>
      <c r="L167" s="98">
        <v>0</v>
      </c>
      <c r="M167" s="101">
        <f t="shared" si="109"/>
        <v>0</v>
      </c>
      <c r="N167" s="100">
        <v>0</v>
      </c>
      <c r="O167" s="98">
        <v>0</v>
      </c>
      <c r="P167" s="101">
        <f t="shared" si="110"/>
        <v>0</v>
      </c>
      <c r="Q167" s="100">
        <v>0</v>
      </c>
      <c r="R167" s="98">
        <v>0</v>
      </c>
      <c r="S167" s="101">
        <f t="shared" si="111"/>
        <v>0</v>
      </c>
      <c r="T167" s="100">
        <v>0</v>
      </c>
      <c r="U167" s="98">
        <v>0</v>
      </c>
      <c r="V167" s="101">
        <f t="shared" si="113"/>
        <v>0</v>
      </c>
      <c r="W167" s="100">
        <v>0</v>
      </c>
      <c r="X167" s="98">
        <v>0</v>
      </c>
      <c r="Y167" s="147">
        <f t="shared" si="112"/>
        <v>0</v>
      </c>
      <c r="Z167" s="150"/>
    </row>
    <row r="168" spans="2:26" s="35" customFormat="1" ht="17.100000000000001" customHeight="1">
      <c r="B168" s="105"/>
      <c r="C168" s="54"/>
      <c r="D168" s="96"/>
      <c r="E168" s="111"/>
      <c r="F168" s="112"/>
      <c r="G168" s="113"/>
      <c r="H168" s="100">
        <v>0</v>
      </c>
      <c r="I168" s="98">
        <v>0</v>
      </c>
      <c r="J168" s="101">
        <f t="shared" si="108"/>
        <v>0</v>
      </c>
      <c r="K168" s="100">
        <v>0</v>
      </c>
      <c r="L168" s="98">
        <v>0</v>
      </c>
      <c r="M168" s="101">
        <f t="shared" si="109"/>
        <v>0</v>
      </c>
      <c r="N168" s="100">
        <v>0</v>
      </c>
      <c r="O168" s="98">
        <v>0</v>
      </c>
      <c r="P168" s="101">
        <f t="shared" si="110"/>
        <v>0</v>
      </c>
      <c r="Q168" s="100">
        <v>0</v>
      </c>
      <c r="R168" s="98">
        <v>0</v>
      </c>
      <c r="S168" s="101">
        <f t="shared" si="111"/>
        <v>0</v>
      </c>
      <c r="T168" s="100">
        <v>0</v>
      </c>
      <c r="U168" s="98">
        <v>0</v>
      </c>
      <c r="V168" s="101">
        <f t="shared" si="113"/>
        <v>0</v>
      </c>
      <c r="W168" s="100">
        <v>0</v>
      </c>
      <c r="X168" s="98">
        <v>0</v>
      </c>
      <c r="Y168" s="147">
        <f t="shared" si="112"/>
        <v>0</v>
      </c>
      <c r="Z168" s="150"/>
    </row>
    <row r="169" spans="2:26" s="35" customFormat="1" ht="17.100000000000001" customHeight="1">
      <c r="B169" s="105"/>
      <c r="C169" s="54"/>
      <c r="D169" s="96"/>
      <c r="E169" s="111"/>
      <c r="F169" s="112"/>
      <c r="G169" s="113"/>
      <c r="H169" s="100">
        <v>0</v>
      </c>
      <c r="I169" s="98">
        <v>0</v>
      </c>
      <c r="J169" s="101">
        <f t="shared" si="108"/>
        <v>0</v>
      </c>
      <c r="K169" s="100">
        <v>0</v>
      </c>
      <c r="L169" s="98">
        <v>0</v>
      </c>
      <c r="M169" s="101">
        <f t="shared" si="109"/>
        <v>0</v>
      </c>
      <c r="N169" s="100">
        <v>0</v>
      </c>
      <c r="O169" s="98">
        <v>0</v>
      </c>
      <c r="P169" s="101">
        <f t="shared" si="110"/>
        <v>0</v>
      </c>
      <c r="Q169" s="100">
        <v>0</v>
      </c>
      <c r="R169" s="98">
        <v>0</v>
      </c>
      <c r="S169" s="101">
        <f t="shared" si="111"/>
        <v>0</v>
      </c>
      <c r="T169" s="100">
        <v>0</v>
      </c>
      <c r="U169" s="98">
        <v>0</v>
      </c>
      <c r="V169" s="101">
        <f t="shared" si="113"/>
        <v>0</v>
      </c>
      <c r="W169" s="100">
        <v>0</v>
      </c>
      <c r="X169" s="98">
        <v>0</v>
      </c>
      <c r="Y169" s="147">
        <f t="shared" si="112"/>
        <v>0</v>
      </c>
      <c r="Z169" s="150"/>
    </row>
    <row r="170" spans="2:26" s="35" customFormat="1" ht="17.100000000000001" customHeight="1">
      <c r="B170" s="105"/>
      <c r="C170" s="54"/>
      <c r="D170" s="96"/>
      <c r="E170" s="111"/>
      <c r="F170" s="112"/>
      <c r="G170" s="113"/>
      <c r="H170" s="100">
        <v>0</v>
      </c>
      <c r="I170" s="98">
        <v>0</v>
      </c>
      <c r="J170" s="101">
        <f t="shared" si="108"/>
        <v>0</v>
      </c>
      <c r="K170" s="100">
        <v>0</v>
      </c>
      <c r="L170" s="98">
        <v>0</v>
      </c>
      <c r="M170" s="101">
        <f t="shared" si="109"/>
        <v>0</v>
      </c>
      <c r="N170" s="100">
        <v>0</v>
      </c>
      <c r="O170" s="98">
        <v>0</v>
      </c>
      <c r="P170" s="101">
        <f t="shared" si="110"/>
        <v>0</v>
      </c>
      <c r="Q170" s="100">
        <v>0</v>
      </c>
      <c r="R170" s="98">
        <v>0</v>
      </c>
      <c r="S170" s="101">
        <f t="shared" si="111"/>
        <v>0</v>
      </c>
      <c r="T170" s="100">
        <v>0</v>
      </c>
      <c r="U170" s="98">
        <v>0</v>
      </c>
      <c r="V170" s="101">
        <f t="shared" si="113"/>
        <v>0</v>
      </c>
      <c r="W170" s="100">
        <v>0</v>
      </c>
      <c r="X170" s="98">
        <v>0</v>
      </c>
      <c r="Y170" s="147">
        <f t="shared" si="112"/>
        <v>0</v>
      </c>
      <c r="Z170" s="150"/>
    </row>
    <row r="171" spans="2:26" s="35" customFormat="1" ht="17.100000000000001" customHeight="1">
      <c r="B171" s="105"/>
      <c r="C171" s="54"/>
      <c r="D171" s="96"/>
      <c r="E171" s="111"/>
      <c r="F171" s="112"/>
      <c r="G171" s="113"/>
      <c r="H171" s="100">
        <v>0</v>
      </c>
      <c r="I171" s="98">
        <v>0</v>
      </c>
      <c r="J171" s="101">
        <f t="shared" si="108"/>
        <v>0</v>
      </c>
      <c r="K171" s="100">
        <v>0</v>
      </c>
      <c r="L171" s="98">
        <v>0</v>
      </c>
      <c r="M171" s="101">
        <f t="shared" si="109"/>
        <v>0</v>
      </c>
      <c r="N171" s="100">
        <v>0</v>
      </c>
      <c r="O171" s="98">
        <v>0</v>
      </c>
      <c r="P171" s="101">
        <f t="shared" si="110"/>
        <v>0</v>
      </c>
      <c r="Q171" s="100">
        <v>0</v>
      </c>
      <c r="R171" s="98">
        <v>0</v>
      </c>
      <c r="S171" s="101">
        <f t="shared" si="111"/>
        <v>0</v>
      </c>
      <c r="T171" s="100">
        <v>0</v>
      </c>
      <c r="U171" s="98">
        <v>0</v>
      </c>
      <c r="V171" s="101">
        <f t="shared" si="113"/>
        <v>0</v>
      </c>
      <c r="W171" s="100">
        <v>0</v>
      </c>
      <c r="X171" s="98">
        <v>0</v>
      </c>
      <c r="Y171" s="147">
        <f t="shared" si="112"/>
        <v>0</v>
      </c>
      <c r="Z171" s="150"/>
    </row>
    <row r="172" spans="2:26" s="126" customFormat="1" ht="17.100000000000001" customHeight="1">
      <c r="B172" s="118"/>
      <c r="C172" s="119"/>
      <c r="D172" s="120"/>
      <c r="E172" s="121"/>
      <c r="F172" s="122"/>
      <c r="G172" s="123"/>
      <c r="H172" s="341" t="s">
        <v>201</v>
      </c>
      <c r="I172" s="342"/>
      <c r="J172" s="124">
        <f>SUM(J165:J171)</f>
        <v>0</v>
      </c>
      <c r="K172" s="341" t="s">
        <v>201</v>
      </c>
      <c r="L172" s="342"/>
      <c r="M172" s="124">
        <f>SUM(M165:M171)</f>
        <v>0</v>
      </c>
      <c r="N172" s="341" t="s">
        <v>201</v>
      </c>
      <c r="O172" s="342"/>
      <c r="P172" s="124">
        <f>SUM(P165:P171)</f>
        <v>0</v>
      </c>
      <c r="Q172" s="341" t="s">
        <v>201</v>
      </c>
      <c r="R172" s="342"/>
      <c r="S172" s="124">
        <f>SUM(S165:S171)</f>
        <v>16</v>
      </c>
      <c r="T172" s="341" t="s">
        <v>201</v>
      </c>
      <c r="U172" s="342"/>
      <c r="V172" s="124">
        <f>SUM(V165:V171)</f>
        <v>0</v>
      </c>
      <c r="W172" s="341" t="s">
        <v>201</v>
      </c>
      <c r="X172" s="342"/>
      <c r="Y172" s="127">
        <f>SUM(Y165:Y171)</f>
        <v>0</v>
      </c>
      <c r="Z172" s="151"/>
    </row>
    <row r="173" spans="2:26" s="35" customFormat="1" ht="17.100000000000001" customHeight="1">
      <c r="B173" s="105"/>
      <c r="C173" s="54">
        <f>'2. Rekap Back Up Beton'!C40</f>
        <v>4500</v>
      </c>
      <c r="D173" s="96">
        <f>'2. Rekap Back Up Beton'!D40</f>
        <v>4600</v>
      </c>
      <c r="E173" s="111">
        <f>'2. Rekap Back Up Beton'!E40</f>
        <v>5</v>
      </c>
      <c r="F173" s="112">
        <f>(100/((D173-C173)*E173))*((J180*0.5)+(M180*1)+(P180*2)+(S180*20)+(V180*15)+(Y180*1.5))</f>
        <v>1.5</v>
      </c>
      <c r="G173" s="113" t="str">
        <f>IF(F173&lt;=25,"B",IF(F173&lt;=75,"S",IF(F173&lt;=100,"RR","RB")))</f>
        <v>B</v>
      </c>
      <c r="H173" s="100">
        <v>5</v>
      </c>
      <c r="I173" s="98">
        <v>3</v>
      </c>
      <c r="J173" s="101">
        <f t="shared" ref="J173:J179" si="114">H173*I173</f>
        <v>15</v>
      </c>
      <c r="K173" s="100">
        <v>0</v>
      </c>
      <c r="L173" s="98">
        <v>0</v>
      </c>
      <c r="M173" s="101">
        <f t="shared" ref="M173:M179" si="115">K173*L173</f>
        <v>0</v>
      </c>
      <c r="N173" s="100">
        <v>0</v>
      </c>
      <c r="O173" s="98">
        <v>4</v>
      </c>
      <c r="P173" s="101">
        <f t="shared" ref="P173:P179" si="116">N173*O173</f>
        <v>0</v>
      </c>
      <c r="Q173" s="100">
        <v>0</v>
      </c>
      <c r="R173" s="98">
        <v>0</v>
      </c>
      <c r="S173" s="101">
        <f t="shared" ref="S173:S179" si="117">Q173*R173</f>
        <v>0</v>
      </c>
      <c r="T173" s="100">
        <v>0</v>
      </c>
      <c r="U173" s="98">
        <v>0</v>
      </c>
      <c r="V173" s="101">
        <f>T173*U173</f>
        <v>0</v>
      </c>
      <c r="W173" s="100">
        <v>0</v>
      </c>
      <c r="X173" s="98">
        <v>0</v>
      </c>
      <c r="Y173" s="147">
        <f t="shared" ref="Y173:Y179" si="118">W173*X173</f>
        <v>0</v>
      </c>
      <c r="Z173" s="150"/>
    </row>
    <row r="174" spans="2:26" s="35" customFormat="1" ht="17.100000000000001" customHeight="1">
      <c r="B174" s="105"/>
      <c r="C174" s="54"/>
      <c r="D174" s="96"/>
      <c r="E174" s="111"/>
      <c r="F174" s="112"/>
      <c r="G174" s="113"/>
      <c r="H174" s="100">
        <v>0</v>
      </c>
      <c r="I174" s="98">
        <v>0</v>
      </c>
      <c r="J174" s="101">
        <f t="shared" si="114"/>
        <v>0</v>
      </c>
      <c r="K174" s="100">
        <v>0</v>
      </c>
      <c r="L174" s="98">
        <v>0</v>
      </c>
      <c r="M174" s="101">
        <f t="shared" si="115"/>
        <v>0</v>
      </c>
      <c r="N174" s="100">
        <v>0</v>
      </c>
      <c r="O174" s="98">
        <v>0</v>
      </c>
      <c r="P174" s="101">
        <f t="shared" si="116"/>
        <v>0</v>
      </c>
      <c r="Q174" s="100">
        <v>0</v>
      </c>
      <c r="R174" s="98">
        <v>0</v>
      </c>
      <c r="S174" s="101">
        <f t="shared" si="117"/>
        <v>0</v>
      </c>
      <c r="T174" s="100">
        <v>0</v>
      </c>
      <c r="U174" s="98">
        <v>0</v>
      </c>
      <c r="V174" s="101">
        <f t="shared" ref="V174:V179" si="119">T174*U174</f>
        <v>0</v>
      </c>
      <c r="W174" s="100">
        <v>0</v>
      </c>
      <c r="X174" s="98">
        <v>0</v>
      </c>
      <c r="Y174" s="147">
        <f t="shared" si="118"/>
        <v>0</v>
      </c>
      <c r="Z174" s="150"/>
    </row>
    <row r="175" spans="2:26" s="35" customFormat="1" ht="17.100000000000001" customHeight="1">
      <c r="B175" s="105"/>
      <c r="C175" s="54"/>
      <c r="D175" s="96"/>
      <c r="E175" s="111"/>
      <c r="F175" s="112"/>
      <c r="G175" s="113"/>
      <c r="H175" s="100">
        <v>0</v>
      </c>
      <c r="I175" s="98">
        <v>0</v>
      </c>
      <c r="J175" s="101">
        <f t="shared" si="114"/>
        <v>0</v>
      </c>
      <c r="K175" s="100">
        <v>0</v>
      </c>
      <c r="L175" s="98">
        <v>0</v>
      </c>
      <c r="M175" s="101">
        <f t="shared" si="115"/>
        <v>0</v>
      </c>
      <c r="N175" s="100">
        <v>0</v>
      </c>
      <c r="O175" s="98">
        <v>0</v>
      </c>
      <c r="P175" s="101">
        <f t="shared" si="116"/>
        <v>0</v>
      </c>
      <c r="Q175" s="100">
        <v>0</v>
      </c>
      <c r="R175" s="98">
        <v>0</v>
      </c>
      <c r="S175" s="101">
        <f t="shared" si="117"/>
        <v>0</v>
      </c>
      <c r="T175" s="100">
        <v>0</v>
      </c>
      <c r="U175" s="98">
        <v>0</v>
      </c>
      <c r="V175" s="101">
        <f t="shared" si="119"/>
        <v>0</v>
      </c>
      <c r="W175" s="100">
        <v>0</v>
      </c>
      <c r="X175" s="98">
        <v>0</v>
      </c>
      <c r="Y175" s="147">
        <f t="shared" si="118"/>
        <v>0</v>
      </c>
      <c r="Z175" s="150"/>
    </row>
    <row r="176" spans="2:26" s="35" customFormat="1" ht="17.100000000000001" customHeight="1">
      <c r="B176" s="105"/>
      <c r="C176" s="54"/>
      <c r="D176" s="96"/>
      <c r="E176" s="111"/>
      <c r="F176" s="112"/>
      <c r="G176" s="113"/>
      <c r="H176" s="100">
        <v>0</v>
      </c>
      <c r="I176" s="98">
        <v>0</v>
      </c>
      <c r="J176" s="101">
        <f t="shared" si="114"/>
        <v>0</v>
      </c>
      <c r="K176" s="100">
        <v>0</v>
      </c>
      <c r="L176" s="98">
        <v>0</v>
      </c>
      <c r="M176" s="101">
        <f t="shared" si="115"/>
        <v>0</v>
      </c>
      <c r="N176" s="100">
        <v>0</v>
      </c>
      <c r="O176" s="98">
        <v>0</v>
      </c>
      <c r="P176" s="101">
        <f t="shared" si="116"/>
        <v>0</v>
      </c>
      <c r="Q176" s="100">
        <v>0</v>
      </c>
      <c r="R176" s="98">
        <v>0</v>
      </c>
      <c r="S176" s="101">
        <f t="shared" si="117"/>
        <v>0</v>
      </c>
      <c r="T176" s="100">
        <v>0</v>
      </c>
      <c r="U176" s="98">
        <v>0</v>
      </c>
      <c r="V176" s="101">
        <f t="shared" si="119"/>
        <v>0</v>
      </c>
      <c r="W176" s="100">
        <v>0</v>
      </c>
      <c r="X176" s="98">
        <v>0</v>
      </c>
      <c r="Y176" s="147">
        <f t="shared" si="118"/>
        <v>0</v>
      </c>
      <c r="Z176" s="150"/>
    </row>
    <row r="177" spans="2:26" s="35" customFormat="1" ht="17.100000000000001" customHeight="1">
      <c r="B177" s="105"/>
      <c r="C177" s="54"/>
      <c r="D177" s="96"/>
      <c r="E177" s="111"/>
      <c r="F177" s="112"/>
      <c r="G177" s="113"/>
      <c r="H177" s="100">
        <v>0</v>
      </c>
      <c r="I177" s="98">
        <v>0</v>
      </c>
      <c r="J177" s="101">
        <f t="shared" si="114"/>
        <v>0</v>
      </c>
      <c r="K177" s="100">
        <v>0</v>
      </c>
      <c r="L177" s="98">
        <v>0</v>
      </c>
      <c r="M177" s="101">
        <f t="shared" si="115"/>
        <v>0</v>
      </c>
      <c r="N177" s="100">
        <v>0</v>
      </c>
      <c r="O177" s="98">
        <v>0</v>
      </c>
      <c r="P177" s="101">
        <f t="shared" si="116"/>
        <v>0</v>
      </c>
      <c r="Q177" s="100">
        <v>0</v>
      </c>
      <c r="R177" s="98">
        <v>0</v>
      </c>
      <c r="S177" s="101">
        <f t="shared" si="117"/>
        <v>0</v>
      </c>
      <c r="T177" s="100">
        <v>0</v>
      </c>
      <c r="U177" s="98">
        <v>0</v>
      </c>
      <c r="V177" s="101">
        <f t="shared" si="119"/>
        <v>0</v>
      </c>
      <c r="W177" s="100">
        <v>0</v>
      </c>
      <c r="X177" s="98">
        <v>0</v>
      </c>
      <c r="Y177" s="147">
        <f t="shared" si="118"/>
        <v>0</v>
      </c>
      <c r="Z177" s="150"/>
    </row>
    <row r="178" spans="2:26" s="35" customFormat="1" ht="17.100000000000001" customHeight="1">
      <c r="B178" s="105"/>
      <c r="C178" s="54"/>
      <c r="D178" s="96"/>
      <c r="E178" s="111"/>
      <c r="F178" s="112"/>
      <c r="G178" s="113"/>
      <c r="H178" s="100">
        <v>0</v>
      </c>
      <c r="I178" s="98">
        <v>0</v>
      </c>
      <c r="J178" s="101">
        <f t="shared" si="114"/>
        <v>0</v>
      </c>
      <c r="K178" s="100">
        <v>0</v>
      </c>
      <c r="L178" s="98">
        <v>0</v>
      </c>
      <c r="M178" s="101">
        <f t="shared" si="115"/>
        <v>0</v>
      </c>
      <c r="N178" s="100">
        <v>0</v>
      </c>
      <c r="O178" s="98">
        <v>0</v>
      </c>
      <c r="P178" s="101">
        <f t="shared" si="116"/>
        <v>0</v>
      </c>
      <c r="Q178" s="100">
        <v>0</v>
      </c>
      <c r="R178" s="98">
        <v>0</v>
      </c>
      <c r="S178" s="101">
        <f t="shared" si="117"/>
        <v>0</v>
      </c>
      <c r="T178" s="100">
        <v>0</v>
      </c>
      <c r="U178" s="98">
        <v>0</v>
      </c>
      <c r="V178" s="101">
        <f t="shared" si="119"/>
        <v>0</v>
      </c>
      <c r="W178" s="100">
        <v>0</v>
      </c>
      <c r="X178" s="98">
        <v>0</v>
      </c>
      <c r="Y178" s="147">
        <f t="shared" si="118"/>
        <v>0</v>
      </c>
      <c r="Z178" s="150"/>
    </row>
    <row r="179" spans="2:26" s="35" customFormat="1" ht="17.100000000000001" customHeight="1">
      <c r="B179" s="105"/>
      <c r="C179" s="54"/>
      <c r="D179" s="96"/>
      <c r="E179" s="111"/>
      <c r="F179" s="112"/>
      <c r="G179" s="113"/>
      <c r="H179" s="100">
        <v>0</v>
      </c>
      <c r="I179" s="98">
        <v>0</v>
      </c>
      <c r="J179" s="101">
        <f t="shared" si="114"/>
        <v>0</v>
      </c>
      <c r="K179" s="100">
        <v>0</v>
      </c>
      <c r="L179" s="98">
        <v>0</v>
      </c>
      <c r="M179" s="101">
        <f t="shared" si="115"/>
        <v>0</v>
      </c>
      <c r="N179" s="100">
        <v>0</v>
      </c>
      <c r="O179" s="98">
        <v>0</v>
      </c>
      <c r="P179" s="101">
        <f t="shared" si="116"/>
        <v>0</v>
      </c>
      <c r="Q179" s="100">
        <v>0</v>
      </c>
      <c r="R179" s="98">
        <v>0</v>
      </c>
      <c r="S179" s="101">
        <f t="shared" si="117"/>
        <v>0</v>
      </c>
      <c r="T179" s="100">
        <v>0</v>
      </c>
      <c r="U179" s="98">
        <v>0</v>
      </c>
      <c r="V179" s="101">
        <f t="shared" si="119"/>
        <v>0</v>
      </c>
      <c r="W179" s="100">
        <v>0</v>
      </c>
      <c r="X179" s="98">
        <v>0</v>
      </c>
      <c r="Y179" s="147">
        <f t="shared" si="118"/>
        <v>0</v>
      </c>
      <c r="Z179" s="150"/>
    </row>
    <row r="180" spans="2:26" s="126" customFormat="1" ht="17.100000000000001" customHeight="1">
      <c r="B180" s="118"/>
      <c r="C180" s="119"/>
      <c r="D180" s="120"/>
      <c r="E180" s="121"/>
      <c r="F180" s="122"/>
      <c r="G180" s="123"/>
      <c r="H180" s="341" t="s">
        <v>201</v>
      </c>
      <c r="I180" s="342"/>
      <c r="J180" s="124">
        <f>SUM(J173:J179)</f>
        <v>15</v>
      </c>
      <c r="K180" s="341" t="s">
        <v>201</v>
      </c>
      <c r="L180" s="342"/>
      <c r="M180" s="124">
        <f>SUM(M173:M179)</f>
        <v>0</v>
      </c>
      <c r="N180" s="341" t="s">
        <v>201</v>
      </c>
      <c r="O180" s="342"/>
      <c r="P180" s="124">
        <f>SUM(P173:P179)</f>
        <v>0</v>
      </c>
      <c r="Q180" s="341" t="s">
        <v>201</v>
      </c>
      <c r="R180" s="342"/>
      <c r="S180" s="124">
        <f>SUM(S173:S179)</f>
        <v>0</v>
      </c>
      <c r="T180" s="341" t="s">
        <v>201</v>
      </c>
      <c r="U180" s="342"/>
      <c r="V180" s="124">
        <f>SUM(V173:V179)</f>
        <v>0</v>
      </c>
      <c r="W180" s="341" t="s">
        <v>201</v>
      </c>
      <c r="X180" s="342"/>
      <c r="Y180" s="127">
        <f>SUM(Y173:Y179)</f>
        <v>0</v>
      </c>
      <c r="Z180" s="151"/>
    </row>
    <row r="181" spans="2:26" s="35" customFormat="1" ht="17.100000000000001" customHeight="1">
      <c r="B181" s="105"/>
      <c r="C181" s="54">
        <f>'2. Rekap Back Up Beton'!C41</f>
        <v>4600</v>
      </c>
      <c r="D181" s="96">
        <f>'2. Rekap Back Up Beton'!D41</f>
        <v>4700</v>
      </c>
      <c r="E181" s="111">
        <f>'2. Rekap Back Up Beton'!E41</f>
        <v>5</v>
      </c>
      <c r="F181" s="112">
        <f>(100/((D181-C181)*E181))*((J188*0.5)+(M188*1)+(P188*2)+(S188*20)+(V188*15)+(Y188*1.5))</f>
        <v>2.1</v>
      </c>
      <c r="G181" s="113" t="str">
        <f>IF(F181&lt;=25,"B",IF(F181&lt;=75,"S",IF(F181&lt;=100,"RR","RB")))</f>
        <v>B</v>
      </c>
      <c r="H181" s="100">
        <v>7</v>
      </c>
      <c r="I181" s="98">
        <v>3</v>
      </c>
      <c r="J181" s="101">
        <f t="shared" ref="J181:J187" si="120">H181*I181</f>
        <v>21</v>
      </c>
      <c r="K181" s="100">
        <v>0</v>
      </c>
      <c r="L181" s="98">
        <v>0</v>
      </c>
      <c r="M181" s="101">
        <f t="shared" ref="M181:M187" si="121">K181*L181</f>
        <v>0</v>
      </c>
      <c r="N181" s="100">
        <v>0</v>
      </c>
      <c r="O181" s="98">
        <v>4</v>
      </c>
      <c r="P181" s="101">
        <f t="shared" ref="P181:P187" si="122">N181*O181</f>
        <v>0</v>
      </c>
      <c r="Q181" s="100">
        <v>0</v>
      </c>
      <c r="R181" s="98">
        <v>0</v>
      </c>
      <c r="S181" s="101">
        <f t="shared" ref="S181:S187" si="123">Q181*R181</f>
        <v>0</v>
      </c>
      <c r="T181" s="100">
        <v>0</v>
      </c>
      <c r="U181" s="98">
        <v>0</v>
      </c>
      <c r="V181" s="101">
        <f>T181*U181</f>
        <v>0</v>
      </c>
      <c r="W181" s="100">
        <v>0</v>
      </c>
      <c r="X181" s="98">
        <v>0</v>
      </c>
      <c r="Y181" s="147">
        <f t="shared" ref="Y181:Y187" si="124">W181*X181</f>
        <v>0</v>
      </c>
      <c r="Z181" s="150"/>
    </row>
    <row r="182" spans="2:26" s="35" customFormat="1" ht="17.100000000000001" customHeight="1">
      <c r="B182" s="105"/>
      <c r="C182" s="54"/>
      <c r="D182" s="96"/>
      <c r="E182" s="111"/>
      <c r="F182" s="112"/>
      <c r="G182" s="113"/>
      <c r="H182" s="100">
        <v>0</v>
      </c>
      <c r="I182" s="98">
        <v>0</v>
      </c>
      <c r="J182" s="101">
        <f t="shared" si="120"/>
        <v>0</v>
      </c>
      <c r="K182" s="100">
        <v>0</v>
      </c>
      <c r="L182" s="98">
        <v>0</v>
      </c>
      <c r="M182" s="101">
        <f t="shared" si="121"/>
        <v>0</v>
      </c>
      <c r="N182" s="100">
        <v>0</v>
      </c>
      <c r="O182" s="98">
        <v>0</v>
      </c>
      <c r="P182" s="101">
        <f t="shared" si="122"/>
        <v>0</v>
      </c>
      <c r="Q182" s="100">
        <v>0</v>
      </c>
      <c r="R182" s="98">
        <v>0</v>
      </c>
      <c r="S182" s="101">
        <f t="shared" si="123"/>
        <v>0</v>
      </c>
      <c r="T182" s="100">
        <v>0</v>
      </c>
      <c r="U182" s="98">
        <v>0</v>
      </c>
      <c r="V182" s="101">
        <f t="shared" ref="V182:V187" si="125">T182*U182</f>
        <v>0</v>
      </c>
      <c r="W182" s="100">
        <v>0</v>
      </c>
      <c r="X182" s="98">
        <v>0</v>
      </c>
      <c r="Y182" s="147">
        <f t="shared" si="124"/>
        <v>0</v>
      </c>
      <c r="Z182" s="150"/>
    </row>
    <row r="183" spans="2:26" s="35" customFormat="1" ht="17.100000000000001" customHeight="1">
      <c r="B183" s="105"/>
      <c r="C183" s="54"/>
      <c r="D183" s="96"/>
      <c r="E183" s="111"/>
      <c r="F183" s="112"/>
      <c r="G183" s="113"/>
      <c r="H183" s="100">
        <v>0</v>
      </c>
      <c r="I183" s="98">
        <v>0</v>
      </c>
      <c r="J183" s="101">
        <f t="shared" si="120"/>
        <v>0</v>
      </c>
      <c r="K183" s="100">
        <v>0</v>
      </c>
      <c r="L183" s="98">
        <v>0</v>
      </c>
      <c r="M183" s="101">
        <f t="shared" si="121"/>
        <v>0</v>
      </c>
      <c r="N183" s="100">
        <v>0</v>
      </c>
      <c r="O183" s="98">
        <v>0</v>
      </c>
      <c r="P183" s="101">
        <f t="shared" si="122"/>
        <v>0</v>
      </c>
      <c r="Q183" s="100">
        <v>0</v>
      </c>
      <c r="R183" s="98">
        <v>0</v>
      </c>
      <c r="S183" s="101">
        <f t="shared" si="123"/>
        <v>0</v>
      </c>
      <c r="T183" s="100">
        <v>0</v>
      </c>
      <c r="U183" s="98">
        <v>0</v>
      </c>
      <c r="V183" s="101">
        <f t="shared" si="125"/>
        <v>0</v>
      </c>
      <c r="W183" s="100">
        <v>0</v>
      </c>
      <c r="X183" s="98">
        <v>0</v>
      </c>
      <c r="Y183" s="147">
        <f t="shared" si="124"/>
        <v>0</v>
      </c>
      <c r="Z183" s="150"/>
    </row>
    <row r="184" spans="2:26" s="35" customFormat="1" ht="17.100000000000001" customHeight="1">
      <c r="B184" s="105"/>
      <c r="C184" s="54"/>
      <c r="D184" s="96"/>
      <c r="E184" s="111"/>
      <c r="F184" s="112"/>
      <c r="G184" s="113"/>
      <c r="H184" s="100">
        <v>0</v>
      </c>
      <c r="I184" s="98">
        <v>0</v>
      </c>
      <c r="J184" s="101">
        <f t="shared" si="120"/>
        <v>0</v>
      </c>
      <c r="K184" s="100">
        <v>0</v>
      </c>
      <c r="L184" s="98">
        <v>0</v>
      </c>
      <c r="M184" s="101">
        <f t="shared" si="121"/>
        <v>0</v>
      </c>
      <c r="N184" s="100">
        <v>0</v>
      </c>
      <c r="O184" s="98">
        <v>0</v>
      </c>
      <c r="P184" s="101">
        <f t="shared" si="122"/>
        <v>0</v>
      </c>
      <c r="Q184" s="100">
        <v>0</v>
      </c>
      <c r="R184" s="98">
        <v>0</v>
      </c>
      <c r="S184" s="101">
        <f t="shared" si="123"/>
        <v>0</v>
      </c>
      <c r="T184" s="100">
        <v>0</v>
      </c>
      <c r="U184" s="98">
        <v>0</v>
      </c>
      <c r="V184" s="101">
        <f t="shared" si="125"/>
        <v>0</v>
      </c>
      <c r="W184" s="100">
        <v>0</v>
      </c>
      <c r="X184" s="98">
        <v>0</v>
      </c>
      <c r="Y184" s="147">
        <f t="shared" si="124"/>
        <v>0</v>
      </c>
      <c r="Z184" s="150"/>
    </row>
    <row r="185" spans="2:26" s="35" customFormat="1" ht="17.100000000000001" customHeight="1">
      <c r="B185" s="105"/>
      <c r="C185" s="54"/>
      <c r="D185" s="96"/>
      <c r="E185" s="111"/>
      <c r="F185" s="112"/>
      <c r="G185" s="113"/>
      <c r="H185" s="100">
        <v>0</v>
      </c>
      <c r="I185" s="98">
        <v>0</v>
      </c>
      <c r="J185" s="101">
        <f t="shared" si="120"/>
        <v>0</v>
      </c>
      <c r="K185" s="100">
        <v>0</v>
      </c>
      <c r="L185" s="98">
        <v>0</v>
      </c>
      <c r="M185" s="101">
        <f t="shared" si="121"/>
        <v>0</v>
      </c>
      <c r="N185" s="100">
        <v>0</v>
      </c>
      <c r="O185" s="98">
        <v>0</v>
      </c>
      <c r="P185" s="101">
        <f t="shared" si="122"/>
        <v>0</v>
      </c>
      <c r="Q185" s="100">
        <v>0</v>
      </c>
      <c r="R185" s="98">
        <v>0</v>
      </c>
      <c r="S185" s="101">
        <f t="shared" si="123"/>
        <v>0</v>
      </c>
      <c r="T185" s="100">
        <v>0</v>
      </c>
      <c r="U185" s="98">
        <v>0</v>
      </c>
      <c r="V185" s="101">
        <f t="shared" si="125"/>
        <v>0</v>
      </c>
      <c r="W185" s="100">
        <v>0</v>
      </c>
      <c r="X185" s="98">
        <v>0</v>
      </c>
      <c r="Y185" s="147">
        <f t="shared" si="124"/>
        <v>0</v>
      </c>
      <c r="Z185" s="150"/>
    </row>
    <row r="186" spans="2:26" s="35" customFormat="1" ht="17.100000000000001" customHeight="1">
      <c r="B186" s="105"/>
      <c r="C186" s="54"/>
      <c r="D186" s="96"/>
      <c r="E186" s="111"/>
      <c r="F186" s="112"/>
      <c r="G186" s="113"/>
      <c r="H186" s="100">
        <v>0</v>
      </c>
      <c r="I186" s="98">
        <v>0</v>
      </c>
      <c r="J186" s="101">
        <f t="shared" si="120"/>
        <v>0</v>
      </c>
      <c r="K186" s="100">
        <v>0</v>
      </c>
      <c r="L186" s="98">
        <v>0</v>
      </c>
      <c r="M186" s="101">
        <f t="shared" si="121"/>
        <v>0</v>
      </c>
      <c r="N186" s="100">
        <v>0</v>
      </c>
      <c r="O186" s="98">
        <v>0</v>
      </c>
      <c r="P186" s="101">
        <f t="shared" si="122"/>
        <v>0</v>
      </c>
      <c r="Q186" s="100">
        <v>0</v>
      </c>
      <c r="R186" s="98">
        <v>0</v>
      </c>
      <c r="S186" s="101">
        <f t="shared" si="123"/>
        <v>0</v>
      </c>
      <c r="T186" s="100">
        <v>0</v>
      </c>
      <c r="U186" s="98">
        <v>0</v>
      </c>
      <c r="V186" s="101">
        <f t="shared" si="125"/>
        <v>0</v>
      </c>
      <c r="W186" s="100">
        <v>0</v>
      </c>
      <c r="X186" s="98">
        <v>0</v>
      </c>
      <c r="Y186" s="147">
        <f t="shared" si="124"/>
        <v>0</v>
      </c>
      <c r="Z186" s="150"/>
    </row>
    <row r="187" spans="2:26" s="35" customFormat="1" ht="17.100000000000001" customHeight="1">
      <c r="B187" s="105"/>
      <c r="C187" s="54"/>
      <c r="D187" s="96"/>
      <c r="E187" s="111"/>
      <c r="F187" s="112"/>
      <c r="G187" s="113"/>
      <c r="H187" s="100">
        <v>0</v>
      </c>
      <c r="I187" s="98">
        <v>0</v>
      </c>
      <c r="J187" s="101">
        <f t="shared" si="120"/>
        <v>0</v>
      </c>
      <c r="K187" s="100">
        <v>0</v>
      </c>
      <c r="L187" s="98">
        <v>0</v>
      </c>
      <c r="M187" s="101">
        <f t="shared" si="121"/>
        <v>0</v>
      </c>
      <c r="N187" s="100">
        <v>0</v>
      </c>
      <c r="O187" s="98">
        <v>0</v>
      </c>
      <c r="P187" s="101">
        <f t="shared" si="122"/>
        <v>0</v>
      </c>
      <c r="Q187" s="100">
        <v>0</v>
      </c>
      <c r="R187" s="98">
        <v>0</v>
      </c>
      <c r="S187" s="101">
        <f t="shared" si="123"/>
        <v>0</v>
      </c>
      <c r="T187" s="100">
        <v>0</v>
      </c>
      <c r="U187" s="98">
        <v>0</v>
      </c>
      <c r="V187" s="101">
        <f t="shared" si="125"/>
        <v>0</v>
      </c>
      <c r="W187" s="100">
        <v>0</v>
      </c>
      <c r="X187" s="98">
        <v>0</v>
      </c>
      <c r="Y187" s="147">
        <f t="shared" si="124"/>
        <v>0</v>
      </c>
      <c r="Z187" s="150"/>
    </row>
    <row r="188" spans="2:26" s="126" customFormat="1" ht="17.100000000000001" customHeight="1">
      <c r="B188" s="118"/>
      <c r="C188" s="119"/>
      <c r="D188" s="120"/>
      <c r="E188" s="121"/>
      <c r="F188" s="122"/>
      <c r="G188" s="123"/>
      <c r="H188" s="341" t="s">
        <v>201</v>
      </c>
      <c r="I188" s="342"/>
      <c r="J188" s="124">
        <f>SUM(J181:J187)</f>
        <v>21</v>
      </c>
      <c r="K188" s="341" t="s">
        <v>201</v>
      </c>
      <c r="L188" s="342"/>
      <c r="M188" s="124">
        <f>SUM(M181:M187)</f>
        <v>0</v>
      </c>
      <c r="N188" s="341" t="s">
        <v>201</v>
      </c>
      <c r="O188" s="342"/>
      <c r="P188" s="124">
        <f>SUM(P181:P187)</f>
        <v>0</v>
      </c>
      <c r="Q188" s="341" t="s">
        <v>201</v>
      </c>
      <c r="R188" s="342"/>
      <c r="S188" s="124">
        <f>SUM(S181:S187)</f>
        <v>0</v>
      </c>
      <c r="T188" s="341" t="s">
        <v>201</v>
      </c>
      <c r="U188" s="342"/>
      <c r="V188" s="124">
        <f>SUM(V181:V187)</f>
        <v>0</v>
      </c>
      <c r="W188" s="341" t="s">
        <v>201</v>
      </c>
      <c r="X188" s="342"/>
      <c r="Y188" s="127">
        <f>SUM(Y181:Y187)</f>
        <v>0</v>
      </c>
      <c r="Z188" s="151"/>
    </row>
    <row r="189" spans="2:26" s="35" customFormat="1" ht="17.100000000000001" customHeight="1">
      <c r="B189" s="105"/>
      <c r="C189" s="54">
        <f>'2. Rekap Back Up Beton'!C42</f>
        <v>4700</v>
      </c>
      <c r="D189" s="96">
        <f>'2. Rekap Back Up Beton'!D42</f>
        <v>4800</v>
      </c>
      <c r="E189" s="111">
        <f>'2. Rekap Back Up Beton'!E42</f>
        <v>5</v>
      </c>
      <c r="F189" s="112">
        <f>(100/((D189-C189)*E189))*((J196*0.5)+(M196*1)+(P196*2)+(S196*20)+(V196*15)+(Y196*1.5))</f>
        <v>4.5</v>
      </c>
      <c r="G189" s="113" t="str">
        <f>IF(F189&lt;=25,"B",IF(F189&lt;=75,"S",IF(F189&lt;=100,"RR","RB")))</f>
        <v>B</v>
      </c>
      <c r="H189" s="100">
        <v>15</v>
      </c>
      <c r="I189" s="98">
        <v>3</v>
      </c>
      <c r="J189" s="101">
        <f t="shared" ref="J189:J195" si="126">H189*I189</f>
        <v>45</v>
      </c>
      <c r="K189" s="100">
        <v>0</v>
      </c>
      <c r="L189" s="98">
        <v>0</v>
      </c>
      <c r="M189" s="101">
        <f t="shared" ref="M189:M195" si="127">K189*L189</f>
        <v>0</v>
      </c>
      <c r="N189" s="100">
        <v>0</v>
      </c>
      <c r="O189" s="98">
        <v>0</v>
      </c>
      <c r="P189" s="101">
        <f t="shared" ref="P189:P195" si="128">N189*O189</f>
        <v>0</v>
      </c>
      <c r="Q189" s="100">
        <v>0</v>
      </c>
      <c r="R189" s="98">
        <v>0</v>
      </c>
      <c r="S189" s="101">
        <f t="shared" ref="S189:S195" si="129">Q189*R189</f>
        <v>0</v>
      </c>
      <c r="T189" s="100">
        <v>0</v>
      </c>
      <c r="U189" s="98">
        <v>0</v>
      </c>
      <c r="V189" s="101">
        <f>T189*U189</f>
        <v>0</v>
      </c>
      <c r="W189" s="100">
        <v>0</v>
      </c>
      <c r="X189" s="98">
        <v>0</v>
      </c>
      <c r="Y189" s="147">
        <f t="shared" ref="Y189:Y195" si="130">W189*X189</f>
        <v>0</v>
      </c>
      <c r="Z189" s="150"/>
    </row>
    <row r="190" spans="2:26" s="35" customFormat="1" ht="17.100000000000001" customHeight="1">
      <c r="B190" s="105"/>
      <c r="C190" s="54"/>
      <c r="D190" s="96"/>
      <c r="E190" s="111"/>
      <c r="F190" s="112"/>
      <c r="G190" s="113"/>
      <c r="H190" s="100">
        <v>0</v>
      </c>
      <c r="I190" s="98">
        <v>0</v>
      </c>
      <c r="J190" s="101">
        <f t="shared" si="126"/>
        <v>0</v>
      </c>
      <c r="K190" s="100">
        <v>0</v>
      </c>
      <c r="L190" s="98">
        <v>0</v>
      </c>
      <c r="M190" s="101">
        <f t="shared" si="127"/>
        <v>0</v>
      </c>
      <c r="N190" s="100">
        <v>0</v>
      </c>
      <c r="O190" s="98">
        <v>0</v>
      </c>
      <c r="P190" s="101">
        <f t="shared" si="128"/>
        <v>0</v>
      </c>
      <c r="Q190" s="100">
        <v>0</v>
      </c>
      <c r="R190" s="98">
        <v>0</v>
      </c>
      <c r="S190" s="101">
        <f t="shared" si="129"/>
        <v>0</v>
      </c>
      <c r="T190" s="100">
        <v>0</v>
      </c>
      <c r="U190" s="98">
        <v>0</v>
      </c>
      <c r="V190" s="101">
        <f t="shared" ref="V190:V195" si="131">T190*U190</f>
        <v>0</v>
      </c>
      <c r="W190" s="100">
        <v>0</v>
      </c>
      <c r="X190" s="98">
        <v>0</v>
      </c>
      <c r="Y190" s="147">
        <f t="shared" si="130"/>
        <v>0</v>
      </c>
      <c r="Z190" s="150"/>
    </row>
    <row r="191" spans="2:26" s="35" customFormat="1" ht="17.100000000000001" customHeight="1">
      <c r="B191" s="105"/>
      <c r="C191" s="54"/>
      <c r="D191" s="96"/>
      <c r="E191" s="111"/>
      <c r="F191" s="112"/>
      <c r="G191" s="113"/>
      <c r="H191" s="100">
        <v>0</v>
      </c>
      <c r="I191" s="98">
        <v>0</v>
      </c>
      <c r="J191" s="101">
        <f t="shared" si="126"/>
        <v>0</v>
      </c>
      <c r="K191" s="100">
        <v>0</v>
      </c>
      <c r="L191" s="98">
        <v>0</v>
      </c>
      <c r="M191" s="101">
        <f t="shared" si="127"/>
        <v>0</v>
      </c>
      <c r="N191" s="100">
        <v>0</v>
      </c>
      <c r="O191" s="98">
        <v>0</v>
      </c>
      <c r="P191" s="101">
        <f t="shared" si="128"/>
        <v>0</v>
      </c>
      <c r="Q191" s="100">
        <v>0</v>
      </c>
      <c r="R191" s="98">
        <v>0</v>
      </c>
      <c r="S191" s="101">
        <f t="shared" si="129"/>
        <v>0</v>
      </c>
      <c r="T191" s="100">
        <v>0</v>
      </c>
      <c r="U191" s="98">
        <v>0</v>
      </c>
      <c r="V191" s="101">
        <f t="shared" si="131"/>
        <v>0</v>
      </c>
      <c r="W191" s="100">
        <v>0</v>
      </c>
      <c r="X191" s="98">
        <v>0</v>
      </c>
      <c r="Y191" s="147">
        <f t="shared" si="130"/>
        <v>0</v>
      </c>
      <c r="Z191" s="150"/>
    </row>
    <row r="192" spans="2:26" s="35" customFormat="1" ht="17.100000000000001" customHeight="1">
      <c r="B192" s="105"/>
      <c r="C192" s="54"/>
      <c r="D192" s="96"/>
      <c r="E192" s="111"/>
      <c r="F192" s="112"/>
      <c r="G192" s="113"/>
      <c r="H192" s="100">
        <v>0</v>
      </c>
      <c r="I192" s="98">
        <v>0</v>
      </c>
      <c r="J192" s="101">
        <f t="shared" si="126"/>
        <v>0</v>
      </c>
      <c r="K192" s="100">
        <v>0</v>
      </c>
      <c r="L192" s="98">
        <v>0</v>
      </c>
      <c r="M192" s="101">
        <f t="shared" si="127"/>
        <v>0</v>
      </c>
      <c r="N192" s="100">
        <v>0</v>
      </c>
      <c r="O192" s="98">
        <v>0</v>
      </c>
      <c r="P192" s="101">
        <f t="shared" si="128"/>
        <v>0</v>
      </c>
      <c r="Q192" s="100">
        <v>0</v>
      </c>
      <c r="R192" s="98">
        <v>0</v>
      </c>
      <c r="S192" s="101">
        <f t="shared" si="129"/>
        <v>0</v>
      </c>
      <c r="T192" s="100">
        <v>0</v>
      </c>
      <c r="U192" s="98">
        <v>0</v>
      </c>
      <c r="V192" s="101">
        <f t="shared" si="131"/>
        <v>0</v>
      </c>
      <c r="W192" s="100">
        <v>0</v>
      </c>
      <c r="X192" s="98">
        <v>0</v>
      </c>
      <c r="Y192" s="147">
        <f t="shared" si="130"/>
        <v>0</v>
      </c>
      <c r="Z192" s="150"/>
    </row>
    <row r="193" spans="2:26" s="35" customFormat="1" ht="17.100000000000001" customHeight="1">
      <c r="B193" s="105"/>
      <c r="C193" s="54"/>
      <c r="D193" s="96"/>
      <c r="E193" s="111"/>
      <c r="F193" s="112"/>
      <c r="G193" s="113"/>
      <c r="H193" s="100">
        <v>0</v>
      </c>
      <c r="I193" s="98">
        <v>0</v>
      </c>
      <c r="J193" s="101">
        <f t="shared" si="126"/>
        <v>0</v>
      </c>
      <c r="K193" s="100">
        <v>0</v>
      </c>
      <c r="L193" s="98">
        <v>0</v>
      </c>
      <c r="M193" s="101">
        <f t="shared" si="127"/>
        <v>0</v>
      </c>
      <c r="N193" s="100">
        <v>0</v>
      </c>
      <c r="O193" s="98">
        <v>0</v>
      </c>
      <c r="P193" s="101">
        <f t="shared" si="128"/>
        <v>0</v>
      </c>
      <c r="Q193" s="100">
        <v>0</v>
      </c>
      <c r="R193" s="98">
        <v>0</v>
      </c>
      <c r="S193" s="101">
        <f t="shared" si="129"/>
        <v>0</v>
      </c>
      <c r="T193" s="100">
        <v>0</v>
      </c>
      <c r="U193" s="98">
        <v>0</v>
      </c>
      <c r="V193" s="101">
        <f t="shared" si="131"/>
        <v>0</v>
      </c>
      <c r="W193" s="100">
        <v>0</v>
      </c>
      <c r="X193" s="98">
        <v>0</v>
      </c>
      <c r="Y193" s="147">
        <f t="shared" si="130"/>
        <v>0</v>
      </c>
      <c r="Z193" s="150"/>
    </row>
    <row r="194" spans="2:26" s="35" customFormat="1" ht="17.100000000000001" customHeight="1">
      <c r="B194" s="105"/>
      <c r="C194" s="54"/>
      <c r="D194" s="96"/>
      <c r="E194" s="111"/>
      <c r="F194" s="112"/>
      <c r="G194" s="113"/>
      <c r="H194" s="100">
        <v>0</v>
      </c>
      <c r="I194" s="98">
        <v>0</v>
      </c>
      <c r="J194" s="101">
        <f t="shared" si="126"/>
        <v>0</v>
      </c>
      <c r="K194" s="100">
        <v>0</v>
      </c>
      <c r="L194" s="98">
        <v>0</v>
      </c>
      <c r="M194" s="101">
        <f t="shared" si="127"/>
        <v>0</v>
      </c>
      <c r="N194" s="100">
        <v>0</v>
      </c>
      <c r="O194" s="98">
        <v>0</v>
      </c>
      <c r="P194" s="101">
        <f t="shared" si="128"/>
        <v>0</v>
      </c>
      <c r="Q194" s="100">
        <v>0</v>
      </c>
      <c r="R194" s="98">
        <v>0</v>
      </c>
      <c r="S194" s="101">
        <f t="shared" si="129"/>
        <v>0</v>
      </c>
      <c r="T194" s="100">
        <v>0</v>
      </c>
      <c r="U194" s="98">
        <v>0</v>
      </c>
      <c r="V194" s="101">
        <f t="shared" si="131"/>
        <v>0</v>
      </c>
      <c r="W194" s="100">
        <v>0</v>
      </c>
      <c r="X194" s="98">
        <v>0</v>
      </c>
      <c r="Y194" s="147">
        <f t="shared" si="130"/>
        <v>0</v>
      </c>
      <c r="Z194" s="150"/>
    </row>
    <row r="195" spans="2:26" s="35" customFormat="1" ht="17.100000000000001" customHeight="1">
      <c r="B195" s="105"/>
      <c r="C195" s="54"/>
      <c r="D195" s="96"/>
      <c r="E195" s="111"/>
      <c r="F195" s="112"/>
      <c r="G195" s="113"/>
      <c r="H195" s="100">
        <v>0</v>
      </c>
      <c r="I195" s="98">
        <v>0</v>
      </c>
      <c r="J195" s="101">
        <f t="shared" si="126"/>
        <v>0</v>
      </c>
      <c r="K195" s="100">
        <v>0</v>
      </c>
      <c r="L195" s="98">
        <v>0</v>
      </c>
      <c r="M195" s="101">
        <f t="shared" si="127"/>
        <v>0</v>
      </c>
      <c r="N195" s="100">
        <v>0</v>
      </c>
      <c r="O195" s="98">
        <v>0</v>
      </c>
      <c r="P195" s="101">
        <f t="shared" si="128"/>
        <v>0</v>
      </c>
      <c r="Q195" s="100">
        <v>0</v>
      </c>
      <c r="R195" s="98">
        <v>0</v>
      </c>
      <c r="S195" s="101">
        <f t="shared" si="129"/>
        <v>0</v>
      </c>
      <c r="T195" s="100">
        <v>0</v>
      </c>
      <c r="U195" s="98">
        <v>0</v>
      </c>
      <c r="V195" s="101">
        <f t="shared" si="131"/>
        <v>0</v>
      </c>
      <c r="W195" s="100">
        <v>0</v>
      </c>
      <c r="X195" s="98">
        <v>0</v>
      </c>
      <c r="Y195" s="147">
        <f t="shared" si="130"/>
        <v>0</v>
      </c>
      <c r="Z195" s="150"/>
    </row>
    <row r="196" spans="2:26" s="126" customFormat="1" ht="17.100000000000001" customHeight="1" thickBot="1">
      <c r="B196" s="128"/>
      <c r="C196" s="154"/>
      <c r="D196" s="155"/>
      <c r="E196" s="156"/>
      <c r="F196" s="129"/>
      <c r="G196" s="130"/>
      <c r="H196" s="344" t="s">
        <v>201</v>
      </c>
      <c r="I196" s="345"/>
      <c r="J196" s="131">
        <f>SUM(J189:J195)</f>
        <v>45</v>
      </c>
      <c r="K196" s="344" t="s">
        <v>201</v>
      </c>
      <c r="L196" s="345"/>
      <c r="M196" s="131">
        <f>SUM(M189:M195)</f>
        <v>0</v>
      </c>
      <c r="N196" s="344" t="s">
        <v>201</v>
      </c>
      <c r="O196" s="345"/>
      <c r="P196" s="131">
        <f>SUM(P189:P195)</f>
        <v>0</v>
      </c>
      <c r="Q196" s="344" t="s">
        <v>201</v>
      </c>
      <c r="R196" s="345"/>
      <c r="S196" s="131">
        <f>SUM(S189:S195)</f>
        <v>0</v>
      </c>
      <c r="T196" s="344" t="s">
        <v>201</v>
      </c>
      <c r="U196" s="345"/>
      <c r="V196" s="131">
        <f>SUM(V189:V195)</f>
        <v>0</v>
      </c>
      <c r="W196" s="344" t="s">
        <v>201</v>
      </c>
      <c r="X196" s="345"/>
      <c r="Y196" s="132">
        <f>SUM(Y189:Y195)</f>
        <v>0</v>
      </c>
      <c r="Z196" s="152"/>
    </row>
    <row r="197" spans="2:26" s="35" customFormat="1" ht="17.100000000000001" customHeight="1">
      <c r="B197" s="114"/>
      <c r="C197" s="157">
        <f>'2. Rekap Back Up Beton'!C43</f>
        <v>4800</v>
      </c>
      <c r="D197" s="158">
        <f>'2. Rekap Back Up Beton'!D43</f>
        <v>4900</v>
      </c>
      <c r="E197" s="159">
        <f>'2. Rekap Back Up Beton'!E43</f>
        <v>5</v>
      </c>
      <c r="F197" s="115">
        <f>(100/((D197-C197)*E197))*((J204*0.5)+(M204*1)+(P204*2)+(S204*20)+(V204*15)+(Y204*1.5))</f>
        <v>6</v>
      </c>
      <c r="G197" s="116" t="str">
        <f>IF(F197&lt;=25,"B",IF(F197&lt;=75,"S",IF(F197&lt;=100,"RR","RB")))</f>
        <v>B</v>
      </c>
      <c r="H197" s="135">
        <v>0</v>
      </c>
      <c r="I197" s="136">
        <v>0</v>
      </c>
      <c r="J197" s="137">
        <f t="shared" ref="J197:J203" si="132">H197*I197</f>
        <v>0</v>
      </c>
      <c r="K197" s="135">
        <v>10</v>
      </c>
      <c r="L197" s="136">
        <v>3</v>
      </c>
      <c r="M197" s="137">
        <f t="shared" ref="M197:M203" si="133">K197*L197</f>
        <v>30</v>
      </c>
      <c r="N197" s="135">
        <v>0</v>
      </c>
      <c r="O197" s="136">
        <v>4</v>
      </c>
      <c r="P197" s="137">
        <f t="shared" ref="P197:P203" si="134">N197*O197</f>
        <v>0</v>
      </c>
      <c r="Q197" s="135">
        <v>0</v>
      </c>
      <c r="R197" s="136">
        <v>0</v>
      </c>
      <c r="S197" s="137">
        <f t="shared" ref="S197:S203" si="135">Q197*R197</f>
        <v>0</v>
      </c>
      <c r="T197" s="135">
        <v>0</v>
      </c>
      <c r="U197" s="136">
        <v>0</v>
      </c>
      <c r="V197" s="137">
        <f>T197*U197</f>
        <v>0</v>
      </c>
      <c r="W197" s="135">
        <v>0</v>
      </c>
      <c r="X197" s="136">
        <v>0</v>
      </c>
      <c r="Y197" s="148">
        <f t="shared" ref="Y197:Y203" si="136">W197*X197</f>
        <v>0</v>
      </c>
      <c r="Z197" s="153"/>
    </row>
    <row r="198" spans="2:26" s="35" customFormat="1" ht="17.100000000000001" customHeight="1">
      <c r="B198" s="105"/>
      <c r="C198" s="54"/>
      <c r="D198" s="96"/>
      <c r="E198" s="111"/>
      <c r="F198" s="112"/>
      <c r="G198" s="113"/>
      <c r="H198" s="100">
        <v>0</v>
      </c>
      <c r="I198" s="98">
        <v>0</v>
      </c>
      <c r="J198" s="101">
        <f t="shared" si="132"/>
        <v>0</v>
      </c>
      <c r="K198" s="100">
        <v>0</v>
      </c>
      <c r="L198" s="98">
        <v>0</v>
      </c>
      <c r="M198" s="101">
        <f t="shared" si="133"/>
        <v>0</v>
      </c>
      <c r="N198" s="100">
        <v>0</v>
      </c>
      <c r="O198" s="98">
        <v>0</v>
      </c>
      <c r="P198" s="101">
        <f t="shared" si="134"/>
        <v>0</v>
      </c>
      <c r="Q198" s="100">
        <v>0</v>
      </c>
      <c r="R198" s="98">
        <v>0</v>
      </c>
      <c r="S198" s="101">
        <f t="shared" si="135"/>
        <v>0</v>
      </c>
      <c r="T198" s="100">
        <v>0</v>
      </c>
      <c r="U198" s="98">
        <v>0</v>
      </c>
      <c r="V198" s="101">
        <f t="shared" ref="V198:V203" si="137">T198*U198</f>
        <v>0</v>
      </c>
      <c r="W198" s="100">
        <v>0</v>
      </c>
      <c r="X198" s="98">
        <v>0</v>
      </c>
      <c r="Y198" s="147">
        <f t="shared" si="136"/>
        <v>0</v>
      </c>
      <c r="Z198" s="150"/>
    </row>
    <row r="199" spans="2:26" s="35" customFormat="1" ht="17.100000000000001" customHeight="1">
      <c r="B199" s="105"/>
      <c r="C199" s="54"/>
      <c r="D199" s="96"/>
      <c r="E199" s="111"/>
      <c r="F199" s="112"/>
      <c r="G199" s="113"/>
      <c r="H199" s="100">
        <v>0</v>
      </c>
      <c r="I199" s="98">
        <v>0</v>
      </c>
      <c r="J199" s="101">
        <f t="shared" si="132"/>
        <v>0</v>
      </c>
      <c r="K199" s="100">
        <v>0</v>
      </c>
      <c r="L199" s="98">
        <v>0</v>
      </c>
      <c r="M199" s="101">
        <f t="shared" si="133"/>
        <v>0</v>
      </c>
      <c r="N199" s="100">
        <v>0</v>
      </c>
      <c r="O199" s="98">
        <v>0</v>
      </c>
      <c r="P199" s="101">
        <f t="shared" si="134"/>
        <v>0</v>
      </c>
      <c r="Q199" s="100">
        <v>0</v>
      </c>
      <c r="R199" s="98">
        <v>0</v>
      </c>
      <c r="S199" s="101">
        <f t="shared" si="135"/>
        <v>0</v>
      </c>
      <c r="T199" s="100">
        <v>0</v>
      </c>
      <c r="U199" s="98">
        <v>0</v>
      </c>
      <c r="V199" s="101">
        <f t="shared" si="137"/>
        <v>0</v>
      </c>
      <c r="W199" s="100">
        <v>0</v>
      </c>
      <c r="X199" s="98">
        <v>0</v>
      </c>
      <c r="Y199" s="147">
        <f t="shared" si="136"/>
        <v>0</v>
      </c>
      <c r="Z199" s="150"/>
    </row>
    <row r="200" spans="2:26" s="35" customFormat="1" ht="17.100000000000001" customHeight="1">
      <c r="B200" s="105"/>
      <c r="C200" s="54"/>
      <c r="D200" s="96"/>
      <c r="E200" s="111"/>
      <c r="F200" s="112"/>
      <c r="G200" s="113"/>
      <c r="H200" s="100">
        <v>0</v>
      </c>
      <c r="I200" s="98">
        <v>0</v>
      </c>
      <c r="J200" s="101">
        <f t="shared" si="132"/>
        <v>0</v>
      </c>
      <c r="K200" s="100">
        <v>0</v>
      </c>
      <c r="L200" s="98">
        <v>0</v>
      </c>
      <c r="M200" s="101">
        <f t="shared" si="133"/>
        <v>0</v>
      </c>
      <c r="N200" s="100">
        <v>0</v>
      </c>
      <c r="O200" s="98">
        <v>0</v>
      </c>
      <c r="P200" s="101">
        <f t="shared" si="134"/>
        <v>0</v>
      </c>
      <c r="Q200" s="100">
        <v>0</v>
      </c>
      <c r="R200" s="98">
        <v>0</v>
      </c>
      <c r="S200" s="101">
        <f t="shared" si="135"/>
        <v>0</v>
      </c>
      <c r="T200" s="100">
        <v>0</v>
      </c>
      <c r="U200" s="98">
        <v>0</v>
      </c>
      <c r="V200" s="101">
        <f t="shared" si="137"/>
        <v>0</v>
      </c>
      <c r="W200" s="100">
        <v>0</v>
      </c>
      <c r="X200" s="98">
        <v>0</v>
      </c>
      <c r="Y200" s="147">
        <f t="shared" si="136"/>
        <v>0</v>
      </c>
      <c r="Z200" s="150"/>
    </row>
    <row r="201" spans="2:26" s="35" customFormat="1" ht="17.100000000000001" customHeight="1">
      <c r="B201" s="105"/>
      <c r="C201" s="54"/>
      <c r="D201" s="96"/>
      <c r="E201" s="111"/>
      <c r="F201" s="112"/>
      <c r="G201" s="113"/>
      <c r="H201" s="100">
        <v>0</v>
      </c>
      <c r="I201" s="98">
        <v>0</v>
      </c>
      <c r="J201" s="101">
        <f t="shared" si="132"/>
        <v>0</v>
      </c>
      <c r="K201" s="100">
        <v>0</v>
      </c>
      <c r="L201" s="98">
        <v>0</v>
      </c>
      <c r="M201" s="101">
        <f t="shared" si="133"/>
        <v>0</v>
      </c>
      <c r="N201" s="100">
        <v>0</v>
      </c>
      <c r="O201" s="98">
        <v>0</v>
      </c>
      <c r="P201" s="101">
        <f t="shared" si="134"/>
        <v>0</v>
      </c>
      <c r="Q201" s="100">
        <v>0</v>
      </c>
      <c r="R201" s="98">
        <v>0</v>
      </c>
      <c r="S201" s="101">
        <f t="shared" si="135"/>
        <v>0</v>
      </c>
      <c r="T201" s="100">
        <v>0</v>
      </c>
      <c r="U201" s="98">
        <v>0</v>
      </c>
      <c r="V201" s="101">
        <f t="shared" si="137"/>
        <v>0</v>
      </c>
      <c r="W201" s="100">
        <v>0</v>
      </c>
      <c r="X201" s="98">
        <v>0</v>
      </c>
      <c r="Y201" s="147">
        <f t="shared" si="136"/>
        <v>0</v>
      </c>
      <c r="Z201" s="150"/>
    </row>
    <row r="202" spans="2:26" s="35" customFormat="1" ht="17.100000000000001" customHeight="1">
      <c r="B202" s="105"/>
      <c r="C202" s="54"/>
      <c r="D202" s="96"/>
      <c r="E202" s="111"/>
      <c r="F202" s="112"/>
      <c r="G202" s="113"/>
      <c r="H202" s="100">
        <v>0</v>
      </c>
      <c r="I202" s="98">
        <v>0</v>
      </c>
      <c r="J202" s="101">
        <f t="shared" si="132"/>
        <v>0</v>
      </c>
      <c r="K202" s="100">
        <v>0</v>
      </c>
      <c r="L202" s="98">
        <v>0</v>
      </c>
      <c r="M202" s="101">
        <f t="shared" si="133"/>
        <v>0</v>
      </c>
      <c r="N202" s="100">
        <v>0</v>
      </c>
      <c r="O202" s="98">
        <v>0</v>
      </c>
      <c r="P202" s="101">
        <f t="shared" si="134"/>
        <v>0</v>
      </c>
      <c r="Q202" s="100">
        <v>0</v>
      </c>
      <c r="R202" s="98">
        <v>0</v>
      </c>
      <c r="S202" s="101">
        <f t="shared" si="135"/>
        <v>0</v>
      </c>
      <c r="T202" s="100">
        <v>0</v>
      </c>
      <c r="U202" s="98">
        <v>0</v>
      </c>
      <c r="V202" s="101">
        <f t="shared" si="137"/>
        <v>0</v>
      </c>
      <c r="W202" s="100">
        <v>0</v>
      </c>
      <c r="X202" s="98">
        <v>0</v>
      </c>
      <c r="Y202" s="147">
        <f t="shared" si="136"/>
        <v>0</v>
      </c>
      <c r="Z202" s="150"/>
    </row>
    <row r="203" spans="2:26" s="35" customFormat="1" ht="17.100000000000001" customHeight="1">
      <c r="B203" s="105"/>
      <c r="C203" s="54"/>
      <c r="D203" s="96"/>
      <c r="E203" s="111"/>
      <c r="F203" s="112"/>
      <c r="G203" s="113"/>
      <c r="H203" s="100">
        <v>0</v>
      </c>
      <c r="I203" s="98">
        <v>0</v>
      </c>
      <c r="J203" s="101">
        <f t="shared" si="132"/>
        <v>0</v>
      </c>
      <c r="K203" s="100">
        <v>0</v>
      </c>
      <c r="L203" s="98">
        <v>0</v>
      </c>
      <c r="M203" s="101">
        <f t="shared" si="133"/>
        <v>0</v>
      </c>
      <c r="N203" s="100">
        <v>0</v>
      </c>
      <c r="O203" s="98">
        <v>0</v>
      </c>
      <c r="P203" s="101">
        <f t="shared" si="134"/>
        <v>0</v>
      </c>
      <c r="Q203" s="100">
        <v>0</v>
      </c>
      <c r="R203" s="98">
        <v>0</v>
      </c>
      <c r="S203" s="101">
        <f t="shared" si="135"/>
        <v>0</v>
      </c>
      <c r="T203" s="100">
        <v>0</v>
      </c>
      <c r="U203" s="98">
        <v>0</v>
      </c>
      <c r="V203" s="101">
        <f t="shared" si="137"/>
        <v>0</v>
      </c>
      <c r="W203" s="100">
        <v>0</v>
      </c>
      <c r="X203" s="98">
        <v>0</v>
      </c>
      <c r="Y203" s="147">
        <f t="shared" si="136"/>
        <v>0</v>
      </c>
      <c r="Z203" s="150"/>
    </row>
    <row r="204" spans="2:26" s="126" customFormat="1" ht="17.100000000000001" customHeight="1">
      <c r="B204" s="118"/>
      <c r="C204" s="119"/>
      <c r="D204" s="120"/>
      <c r="E204" s="121"/>
      <c r="F204" s="122"/>
      <c r="G204" s="123"/>
      <c r="H204" s="341" t="s">
        <v>201</v>
      </c>
      <c r="I204" s="342"/>
      <c r="J204" s="124">
        <f>SUM(J197:J203)</f>
        <v>0</v>
      </c>
      <c r="K204" s="341" t="s">
        <v>201</v>
      </c>
      <c r="L204" s="342"/>
      <c r="M204" s="124">
        <f>SUM(M197:M203)</f>
        <v>30</v>
      </c>
      <c r="N204" s="341" t="s">
        <v>201</v>
      </c>
      <c r="O204" s="342"/>
      <c r="P204" s="124">
        <f>SUM(P197:P203)</f>
        <v>0</v>
      </c>
      <c r="Q204" s="341" t="s">
        <v>201</v>
      </c>
      <c r="R204" s="342"/>
      <c r="S204" s="124">
        <f>SUM(S197:S203)</f>
        <v>0</v>
      </c>
      <c r="T204" s="341" t="s">
        <v>201</v>
      </c>
      <c r="U204" s="342"/>
      <c r="V204" s="124">
        <f>SUM(V197:V203)</f>
        <v>0</v>
      </c>
      <c r="W204" s="341" t="s">
        <v>201</v>
      </c>
      <c r="X204" s="342"/>
      <c r="Y204" s="127">
        <f>SUM(Y197:Y203)</f>
        <v>0</v>
      </c>
      <c r="Z204" s="151"/>
    </row>
    <row r="205" spans="2:26" s="35" customFormat="1" ht="17.100000000000001" customHeight="1">
      <c r="B205" s="105"/>
      <c r="C205" s="54">
        <f>'2. Rekap Back Up Beton'!C44</f>
        <v>4900</v>
      </c>
      <c r="D205" s="96">
        <f>'2. Rekap Back Up Beton'!D44</f>
        <v>5000</v>
      </c>
      <c r="E205" s="111">
        <f>'2. Rekap Back Up Beton'!E44</f>
        <v>5</v>
      </c>
      <c r="F205" s="112">
        <f>(100/((D205-C205)*E205))*((J212*0.5)+(M212*1)+(P212*2)+(S212*20)+(V212*15)+(Y212*1.5))</f>
        <v>2.7</v>
      </c>
      <c r="G205" s="113" t="str">
        <f>IF(F205&lt;=25,"B",IF(F205&lt;=75,"S",IF(F205&lt;=100,"RR","RB")))</f>
        <v>B</v>
      </c>
      <c r="H205" s="100">
        <v>9</v>
      </c>
      <c r="I205" s="98">
        <v>3</v>
      </c>
      <c r="J205" s="101">
        <f t="shared" ref="J205:J211" si="138">H205*I205</f>
        <v>27</v>
      </c>
      <c r="K205" s="100">
        <v>0</v>
      </c>
      <c r="L205" s="98">
        <v>0</v>
      </c>
      <c r="M205" s="101">
        <f t="shared" ref="M205:M211" si="139">K205*L205</f>
        <v>0</v>
      </c>
      <c r="N205" s="100">
        <v>0</v>
      </c>
      <c r="O205" s="98">
        <v>4</v>
      </c>
      <c r="P205" s="101">
        <f t="shared" ref="P205:P211" si="140">N205*O205</f>
        <v>0</v>
      </c>
      <c r="Q205" s="100">
        <v>0</v>
      </c>
      <c r="R205" s="98">
        <v>0</v>
      </c>
      <c r="S205" s="101">
        <f t="shared" ref="S205:S211" si="141">Q205*R205</f>
        <v>0</v>
      </c>
      <c r="T205" s="100">
        <v>0</v>
      </c>
      <c r="U205" s="98">
        <v>0</v>
      </c>
      <c r="V205" s="101">
        <f>T205*U205</f>
        <v>0</v>
      </c>
      <c r="W205" s="100">
        <v>0</v>
      </c>
      <c r="X205" s="98">
        <v>0</v>
      </c>
      <c r="Y205" s="147">
        <f t="shared" ref="Y205:Y211" si="142">W205*X205</f>
        <v>0</v>
      </c>
      <c r="Z205" s="150"/>
    </row>
    <row r="206" spans="2:26" s="35" customFormat="1" ht="17.100000000000001" customHeight="1">
      <c r="B206" s="105"/>
      <c r="C206" s="54"/>
      <c r="D206" s="96"/>
      <c r="E206" s="111"/>
      <c r="F206" s="112"/>
      <c r="G206" s="113"/>
      <c r="H206" s="100">
        <v>0</v>
      </c>
      <c r="I206" s="98">
        <v>0</v>
      </c>
      <c r="J206" s="101">
        <f t="shared" si="138"/>
        <v>0</v>
      </c>
      <c r="K206" s="100">
        <v>0</v>
      </c>
      <c r="L206" s="98">
        <v>0</v>
      </c>
      <c r="M206" s="101">
        <f t="shared" si="139"/>
        <v>0</v>
      </c>
      <c r="N206" s="100">
        <v>0</v>
      </c>
      <c r="O206" s="98">
        <v>0</v>
      </c>
      <c r="P206" s="101">
        <f t="shared" si="140"/>
        <v>0</v>
      </c>
      <c r="Q206" s="100">
        <v>0</v>
      </c>
      <c r="R206" s="98">
        <v>0</v>
      </c>
      <c r="S206" s="101">
        <f t="shared" si="141"/>
        <v>0</v>
      </c>
      <c r="T206" s="100">
        <v>0</v>
      </c>
      <c r="U206" s="98">
        <v>0</v>
      </c>
      <c r="V206" s="101">
        <f t="shared" ref="V206:V211" si="143">T206*U206</f>
        <v>0</v>
      </c>
      <c r="W206" s="100">
        <v>0</v>
      </c>
      <c r="X206" s="98">
        <v>0</v>
      </c>
      <c r="Y206" s="147">
        <f t="shared" si="142"/>
        <v>0</v>
      </c>
      <c r="Z206" s="150"/>
    </row>
    <row r="207" spans="2:26" s="35" customFormat="1" ht="17.100000000000001" customHeight="1">
      <c r="B207" s="105"/>
      <c r="C207" s="54"/>
      <c r="D207" s="96"/>
      <c r="E207" s="111"/>
      <c r="F207" s="112"/>
      <c r="G207" s="113"/>
      <c r="H207" s="100">
        <v>0</v>
      </c>
      <c r="I207" s="98">
        <v>0</v>
      </c>
      <c r="J207" s="101">
        <f t="shared" si="138"/>
        <v>0</v>
      </c>
      <c r="K207" s="100">
        <v>0</v>
      </c>
      <c r="L207" s="98">
        <v>0</v>
      </c>
      <c r="M207" s="101">
        <f t="shared" si="139"/>
        <v>0</v>
      </c>
      <c r="N207" s="100">
        <v>0</v>
      </c>
      <c r="O207" s="98">
        <v>0</v>
      </c>
      <c r="P207" s="101">
        <f t="shared" si="140"/>
        <v>0</v>
      </c>
      <c r="Q207" s="100">
        <v>0</v>
      </c>
      <c r="R207" s="98">
        <v>0</v>
      </c>
      <c r="S207" s="101">
        <f t="shared" si="141"/>
        <v>0</v>
      </c>
      <c r="T207" s="100">
        <v>0</v>
      </c>
      <c r="U207" s="98">
        <v>0</v>
      </c>
      <c r="V207" s="101">
        <f t="shared" si="143"/>
        <v>0</v>
      </c>
      <c r="W207" s="100">
        <v>0</v>
      </c>
      <c r="X207" s="98">
        <v>0</v>
      </c>
      <c r="Y207" s="147">
        <f t="shared" si="142"/>
        <v>0</v>
      </c>
      <c r="Z207" s="150"/>
    </row>
    <row r="208" spans="2:26" s="35" customFormat="1" ht="17.100000000000001" customHeight="1">
      <c r="B208" s="105"/>
      <c r="C208" s="54"/>
      <c r="D208" s="96"/>
      <c r="E208" s="111"/>
      <c r="F208" s="112"/>
      <c r="G208" s="113"/>
      <c r="H208" s="100">
        <v>0</v>
      </c>
      <c r="I208" s="98">
        <v>0</v>
      </c>
      <c r="J208" s="101">
        <f t="shared" si="138"/>
        <v>0</v>
      </c>
      <c r="K208" s="100">
        <v>0</v>
      </c>
      <c r="L208" s="98">
        <v>0</v>
      </c>
      <c r="M208" s="101">
        <f t="shared" si="139"/>
        <v>0</v>
      </c>
      <c r="N208" s="100">
        <v>0</v>
      </c>
      <c r="O208" s="98">
        <v>0</v>
      </c>
      <c r="P208" s="101">
        <f t="shared" si="140"/>
        <v>0</v>
      </c>
      <c r="Q208" s="100">
        <v>0</v>
      </c>
      <c r="R208" s="98">
        <v>0</v>
      </c>
      <c r="S208" s="101">
        <f t="shared" si="141"/>
        <v>0</v>
      </c>
      <c r="T208" s="100">
        <v>0</v>
      </c>
      <c r="U208" s="98">
        <v>0</v>
      </c>
      <c r="V208" s="101">
        <f t="shared" si="143"/>
        <v>0</v>
      </c>
      <c r="W208" s="100">
        <v>0</v>
      </c>
      <c r="X208" s="98">
        <v>0</v>
      </c>
      <c r="Y208" s="147">
        <f t="shared" si="142"/>
        <v>0</v>
      </c>
      <c r="Z208" s="150"/>
    </row>
    <row r="209" spans="2:26" s="35" customFormat="1" ht="17.100000000000001" customHeight="1">
      <c r="B209" s="105"/>
      <c r="C209" s="54"/>
      <c r="D209" s="96"/>
      <c r="E209" s="111"/>
      <c r="F209" s="112"/>
      <c r="G209" s="113"/>
      <c r="H209" s="100">
        <v>0</v>
      </c>
      <c r="I209" s="98">
        <v>0</v>
      </c>
      <c r="J209" s="101">
        <f t="shared" si="138"/>
        <v>0</v>
      </c>
      <c r="K209" s="100">
        <v>0</v>
      </c>
      <c r="L209" s="98">
        <v>0</v>
      </c>
      <c r="M209" s="101">
        <f t="shared" si="139"/>
        <v>0</v>
      </c>
      <c r="N209" s="100">
        <v>0</v>
      </c>
      <c r="O209" s="98">
        <v>0</v>
      </c>
      <c r="P209" s="101">
        <f t="shared" si="140"/>
        <v>0</v>
      </c>
      <c r="Q209" s="100">
        <v>0</v>
      </c>
      <c r="R209" s="98">
        <v>0</v>
      </c>
      <c r="S209" s="101">
        <f t="shared" si="141"/>
        <v>0</v>
      </c>
      <c r="T209" s="100">
        <v>0</v>
      </c>
      <c r="U209" s="98">
        <v>0</v>
      </c>
      <c r="V209" s="101">
        <f t="shared" si="143"/>
        <v>0</v>
      </c>
      <c r="W209" s="100">
        <v>0</v>
      </c>
      <c r="X209" s="98">
        <v>0</v>
      </c>
      <c r="Y209" s="147">
        <f t="shared" si="142"/>
        <v>0</v>
      </c>
      <c r="Z209" s="150"/>
    </row>
    <row r="210" spans="2:26" s="35" customFormat="1" ht="17.100000000000001" customHeight="1">
      <c r="B210" s="105"/>
      <c r="C210" s="54"/>
      <c r="D210" s="96"/>
      <c r="E210" s="111"/>
      <c r="F210" s="112"/>
      <c r="G210" s="113"/>
      <c r="H210" s="100">
        <v>0</v>
      </c>
      <c r="I210" s="98">
        <v>0</v>
      </c>
      <c r="J210" s="101">
        <f t="shared" si="138"/>
        <v>0</v>
      </c>
      <c r="K210" s="100">
        <v>0</v>
      </c>
      <c r="L210" s="98">
        <v>0</v>
      </c>
      <c r="M210" s="101">
        <f t="shared" si="139"/>
        <v>0</v>
      </c>
      <c r="N210" s="100">
        <v>0</v>
      </c>
      <c r="O210" s="98">
        <v>0</v>
      </c>
      <c r="P210" s="101">
        <f t="shared" si="140"/>
        <v>0</v>
      </c>
      <c r="Q210" s="100">
        <v>0</v>
      </c>
      <c r="R210" s="98">
        <v>0</v>
      </c>
      <c r="S210" s="101">
        <f t="shared" si="141"/>
        <v>0</v>
      </c>
      <c r="T210" s="100">
        <v>0</v>
      </c>
      <c r="U210" s="98">
        <v>0</v>
      </c>
      <c r="V210" s="101">
        <f t="shared" si="143"/>
        <v>0</v>
      </c>
      <c r="W210" s="100">
        <v>0</v>
      </c>
      <c r="X210" s="98">
        <v>0</v>
      </c>
      <c r="Y210" s="147">
        <f t="shared" si="142"/>
        <v>0</v>
      </c>
      <c r="Z210" s="150"/>
    </row>
    <row r="211" spans="2:26" s="35" customFormat="1" ht="17.100000000000001" customHeight="1">
      <c r="B211" s="105"/>
      <c r="C211" s="54"/>
      <c r="D211" s="96"/>
      <c r="E211" s="111"/>
      <c r="F211" s="112"/>
      <c r="G211" s="113"/>
      <c r="H211" s="100">
        <v>0</v>
      </c>
      <c r="I211" s="98">
        <v>0</v>
      </c>
      <c r="J211" s="101">
        <f t="shared" si="138"/>
        <v>0</v>
      </c>
      <c r="K211" s="100">
        <v>0</v>
      </c>
      <c r="L211" s="98">
        <v>0</v>
      </c>
      <c r="M211" s="101">
        <f t="shared" si="139"/>
        <v>0</v>
      </c>
      <c r="N211" s="100">
        <v>0</v>
      </c>
      <c r="O211" s="98">
        <v>0</v>
      </c>
      <c r="P211" s="101">
        <f t="shared" si="140"/>
        <v>0</v>
      </c>
      <c r="Q211" s="100">
        <v>0</v>
      </c>
      <c r="R211" s="98">
        <v>0</v>
      </c>
      <c r="S211" s="101">
        <f t="shared" si="141"/>
        <v>0</v>
      </c>
      <c r="T211" s="100">
        <v>0</v>
      </c>
      <c r="U211" s="98">
        <v>0</v>
      </c>
      <c r="V211" s="101">
        <f t="shared" si="143"/>
        <v>0</v>
      </c>
      <c r="W211" s="100">
        <v>0</v>
      </c>
      <c r="X211" s="98">
        <v>0</v>
      </c>
      <c r="Y211" s="147">
        <f t="shared" si="142"/>
        <v>0</v>
      </c>
      <c r="Z211" s="150"/>
    </row>
    <row r="212" spans="2:26" s="126" customFormat="1" ht="17.100000000000001" customHeight="1">
      <c r="B212" s="118"/>
      <c r="C212" s="119"/>
      <c r="D212" s="120"/>
      <c r="E212" s="121"/>
      <c r="F212" s="122"/>
      <c r="G212" s="123"/>
      <c r="H212" s="341" t="s">
        <v>201</v>
      </c>
      <c r="I212" s="342"/>
      <c r="J212" s="124">
        <f>SUM(J205:J211)</f>
        <v>27</v>
      </c>
      <c r="K212" s="341" t="s">
        <v>201</v>
      </c>
      <c r="L212" s="342"/>
      <c r="M212" s="124">
        <f>SUM(M205:M211)</f>
        <v>0</v>
      </c>
      <c r="N212" s="341" t="s">
        <v>201</v>
      </c>
      <c r="O212" s="342"/>
      <c r="P212" s="124">
        <f>SUM(P205:P211)</f>
        <v>0</v>
      </c>
      <c r="Q212" s="341" t="s">
        <v>201</v>
      </c>
      <c r="R212" s="342"/>
      <c r="S212" s="124">
        <f>SUM(S205:S211)</f>
        <v>0</v>
      </c>
      <c r="T212" s="341" t="s">
        <v>201</v>
      </c>
      <c r="U212" s="342"/>
      <c r="V212" s="124">
        <f>SUM(V205:V211)</f>
        <v>0</v>
      </c>
      <c r="W212" s="341" t="s">
        <v>201</v>
      </c>
      <c r="X212" s="342"/>
      <c r="Y212" s="127">
        <f>SUM(Y205:Y211)</f>
        <v>0</v>
      </c>
      <c r="Z212" s="151"/>
    </row>
    <row r="213" spans="2:26" s="35" customFormat="1" ht="17.100000000000001" customHeight="1">
      <c r="B213" s="105"/>
      <c r="C213" s="54">
        <f>'2. Rekap Back Up Beton'!C45</f>
        <v>5000</v>
      </c>
      <c r="D213" s="96">
        <f>'2. Rekap Back Up Beton'!D45</f>
        <v>5100</v>
      </c>
      <c r="E213" s="111">
        <f>'2. Rekap Back Up Beton'!E45</f>
        <v>5</v>
      </c>
      <c r="F213" s="112">
        <f>(100/((D213-C213)*E213))*((J220*0.5)+(M220*1)+(P220*2)+(S220*20)+(V220*15)+(Y220*1.5))</f>
        <v>9</v>
      </c>
      <c r="G213" s="113" t="str">
        <f>IF(F213&lt;=25,"B",IF(F213&lt;=75,"S",IF(F213&lt;=100,"RR","RB")))</f>
        <v>B</v>
      </c>
      <c r="H213" s="100">
        <v>0</v>
      </c>
      <c r="I213" s="98">
        <v>0</v>
      </c>
      <c r="J213" s="101">
        <f t="shared" ref="J213:J219" si="144">H213*I213</f>
        <v>0</v>
      </c>
      <c r="K213" s="100">
        <v>15</v>
      </c>
      <c r="L213" s="98">
        <v>3</v>
      </c>
      <c r="M213" s="101">
        <f t="shared" ref="M213:M219" si="145">K213*L213</f>
        <v>45</v>
      </c>
      <c r="N213" s="100">
        <v>0</v>
      </c>
      <c r="O213" s="98">
        <v>4</v>
      </c>
      <c r="P213" s="101">
        <f t="shared" ref="P213:P219" si="146">N213*O213</f>
        <v>0</v>
      </c>
      <c r="Q213" s="100">
        <v>0</v>
      </c>
      <c r="R213" s="98">
        <v>0</v>
      </c>
      <c r="S213" s="101">
        <f t="shared" ref="S213:S219" si="147">Q213*R213</f>
        <v>0</v>
      </c>
      <c r="T213" s="100">
        <v>0</v>
      </c>
      <c r="U213" s="98">
        <v>0</v>
      </c>
      <c r="V213" s="101">
        <f>T213*U213</f>
        <v>0</v>
      </c>
      <c r="W213" s="100">
        <v>0</v>
      </c>
      <c r="X213" s="98">
        <v>0</v>
      </c>
      <c r="Y213" s="147">
        <f t="shared" ref="Y213:Y219" si="148">W213*X213</f>
        <v>0</v>
      </c>
      <c r="Z213" s="150"/>
    </row>
    <row r="214" spans="2:26" s="35" customFormat="1" ht="17.100000000000001" customHeight="1">
      <c r="B214" s="105"/>
      <c r="C214" s="54"/>
      <c r="D214" s="96"/>
      <c r="E214" s="111"/>
      <c r="F214" s="112"/>
      <c r="G214" s="113"/>
      <c r="H214" s="100">
        <v>0</v>
      </c>
      <c r="I214" s="98">
        <v>0</v>
      </c>
      <c r="J214" s="101">
        <f t="shared" si="144"/>
        <v>0</v>
      </c>
      <c r="K214" s="100">
        <v>0</v>
      </c>
      <c r="L214" s="98">
        <v>0</v>
      </c>
      <c r="M214" s="101">
        <f t="shared" si="145"/>
        <v>0</v>
      </c>
      <c r="N214" s="100">
        <v>0</v>
      </c>
      <c r="O214" s="98">
        <v>0</v>
      </c>
      <c r="P214" s="101">
        <f t="shared" si="146"/>
        <v>0</v>
      </c>
      <c r="Q214" s="100">
        <v>0</v>
      </c>
      <c r="R214" s="98">
        <v>0</v>
      </c>
      <c r="S214" s="101">
        <f t="shared" si="147"/>
        <v>0</v>
      </c>
      <c r="T214" s="100">
        <v>0</v>
      </c>
      <c r="U214" s="98">
        <v>0</v>
      </c>
      <c r="V214" s="101">
        <f t="shared" ref="V214:V219" si="149">T214*U214</f>
        <v>0</v>
      </c>
      <c r="W214" s="100">
        <v>0</v>
      </c>
      <c r="X214" s="98">
        <v>0</v>
      </c>
      <c r="Y214" s="147">
        <f t="shared" si="148"/>
        <v>0</v>
      </c>
      <c r="Z214" s="150"/>
    </row>
    <row r="215" spans="2:26" s="35" customFormat="1" ht="17.100000000000001" customHeight="1">
      <c r="B215" s="105"/>
      <c r="C215" s="54"/>
      <c r="D215" s="96"/>
      <c r="E215" s="111"/>
      <c r="F215" s="112"/>
      <c r="G215" s="113"/>
      <c r="H215" s="100">
        <v>0</v>
      </c>
      <c r="I215" s="98">
        <v>0</v>
      </c>
      <c r="J215" s="101">
        <f t="shared" si="144"/>
        <v>0</v>
      </c>
      <c r="K215" s="100">
        <v>0</v>
      </c>
      <c r="L215" s="98">
        <v>0</v>
      </c>
      <c r="M215" s="101">
        <f t="shared" si="145"/>
        <v>0</v>
      </c>
      <c r="N215" s="100">
        <v>0</v>
      </c>
      <c r="O215" s="98">
        <v>0</v>
      </c>
      <c r="P215" s="101">
        <f t="shared" si="146"/>
        <v>0</v>
      </c>
      <c r="Q215" s="100">
        <v>0</v>
      </c>
      <c r="R215" s="98">
        <v>0</v>
      </c>
      <c r="S215" s="101">
        <f t="shared" si="147"/>
        <v>0</v>
      </c>
      <c r="T215" s="100">
        <v>0</v>
      </c>
      <c r="U215" s="98">
        <v>0</v>
      </c>
      <c r="V215" s="101">
        <f t="shared" si="149"/>
        <v>0</v>
      </c>
      <c r="W215" s="100">
        <v>0</v>
      </c>
      <c r="X215" s="98">
        <v>0</v>
      </c>
      <c r="Y215" s="147">
        <f t="shared" si="148"/>
        <v>0</v>
      </c>
      <c r="Z215" s="150"/>
    </row>
    <row r="216" spans="2:26" s="35" customFormat="1" ht="17.100000000000001" customHeight="1">
      <c r="B216" s="105"/>
      <c r="C216" s="54"/>
      <c r="D216" s="96"/>
      <c r="E216" s="111"/>
      <c r="F216" s="112"/>
      <c r="G216" s="113"/>
      <c r="H216" s="100">
        <v>0</v>
      </c>
      <c r="I216" s="98">
        <v>0</v>
      </c>
      <c r="J216" s="101">
        <f t="shared" si="144"/>
        <v>0</v>
      </c>
      <c r="K216" s="100">
        <v>0</v>
      </c>
      <c r="L216" s="98">
        <v>0</v>
      </c>
      <c r="M216" s="101">
        <f t="shared" si="145"/>
        <v>0</v>
      </c>
      <c r="N216" s="100">
        <v>0</v>
      </c>
      <c r="O216" s="98">
        <v>0</v>
      </c>
      <c r="P216" s="101">
        <f t="shared" si="146"/>
        <v>0</v>
      </c>
      <c r="Q216" s="100">
        <v>0</v>
      </c>
      <c r="R216" s="98">
        <v>0</v>
      </c>
      <c r="S216" s="101">
        <f t="shared" si="147"/>
        <v>0</v>
      </c>
      <c r="T216" s="100">
        <v>0</v>
      </c>
      <c r="U216" s="98">
        <v>0</v>
      </c>
      <c r="V216" s="101">
        <f t="shared" si="149"/>
        <v>0</v>
      </c>
      <c r="W216" s="100">
        <v>0</v>
      </c>
      <c r="X216" s="98">
        <v>0</v>
      </c>
      <c r="Y216" s="147">
        <f t="shared" si="148"/>
        <v>0</v>
      </c>
      <c r="Z216" s="150"/>
    </row>
    <row r="217" spans="2:26" s="35" customFormat="1" ht="17.100000000000001" customHeight="1">
      <c r="B217" s="105"/>
      <c r="C217" s="54"/>
      <c r="D217" s="96"/>
      <c r="E217" s="111"/>
      <c r="F217" s="112"/>
      <c r="G217" s="113"/>
      <c r="H217" s="100">
        <v>0</v>
      </c>
      <c r="I217" s="98">
        <v>0</v>
      </c>
      <c r="J217" s="101">
        <f t="shared" si="144"/>
        <v>0</v>
      </c>
      <c r="K217" s="100">
        <v>0</v>
      </c>
      <c r="L217" s="98">
        <v>0</v>
      </c>
      <c r="M217" s="101">
        <f t="shared" si="145"/>
        <v>0</v>
      </c>
      <c r="N217" s="100">
        <v>0</v>
      </c>
      <c r="O217" s="98">
        <v>0</v>
      </c>
      <c r="P217" s="101">
        <f t="shared" si="146"/>
        <v>0</v>
      </c>
      <c r="Q217" s="100">
        <v>0</v>
      </c>
      <c r="R217" s="98">
        <v>0</v>
      </c>
      <c r="S217" s="101">
        <f t="shared" si="147"/>
        <v>0</v>
      </c>
      <c r="T217" s="100">
        <v>0</v>
      </c>
      <c r="U217" s="98">
        <v>0</v>
      </c>
      <c r="V217" s="101">
        <f t="shared" si="149"/>
        <v>0</v>
      </c>
      <c r="W217" s="100">
        <v>0</v>
      </c>
      <c r="X217" s="98">
        <v>0</v>
      </c>
      <c r="Y217" s="147">
        <f t="shared" si="148"/>
        <v>0</v>
      </c>
      <c r="Z217" s="150"/>
    </row>
    <row r="218" spans="2:26" s="35" customFormat="1" ht="17.100000000000001" customHeight="1">
      <c r="B218" s="105"/>
      <c r="C218" s="54"/>
      <c r="D218" s="96"/>
      <c r="E218" s="111"/>
      <c r="F218" s="112"/>
      <c r="G218" s="113"/>
      <c r="H218" s="100">
        <v>0</v>
      </c>
      <c r="I218" s="98">
        <v>0</v>
      </c>
      <c r="J218" s="101">
        <f t="shared" si="144"/>
        <v>0</v>
      </c>
      <c r="K218" s="100">
        <v>0</v>
      </c>
      <c r="L218" s="98">
        <v>0</v>
      </c>
      <c r="M218" s="101">
        <f t="shared" si="145"/>
        <v>0</v>
      </c>
      <c r="N218" s="100">
        <v>0</v>
      </c>
      <c r="O218" s="98">
        <v>0</v>
      </c>
      <c r="P218" s="101">
        <f t="shared" si="146"/>
        <v>0</v>
      </c>
      <c r="Q218" s="100">
        <v>0</v>
      </c>
      <c r="R218" s="98">
        <v>0</v>
      </c>
      <c r="S218" s="101">
        <f t="shared" si="147"/>
        <v>0</v>
      </c>
      <c r="T218" s="100">
        <v>0</v>
      </c>
      <c r="U218" s="98">
        <v>0</v>
      </c>
      <c r="V218" s="101">
        <f t="shared" si="149"/>
        <v>0</v>
      </c>
      <c r="W218" s="100">
        <v>0</v>
      </c>
      <c r="X218" s="98">
        <v>0</v>
      </c>
      <c r="Y218" s="147">
        <f t="shared" si="148"/>
        <v>0</v>
      </c>
      <c r="Z218" s="150"/>
    </row>
    <row r="219" spans="2:26" s="35" customFormat="1" ht="17.100000000000001" customHeight="1">
      <c r="B219" s="105"/>
      <c r="C219" s="54"/>
      <c r="D219" s="96"/>
      <c r="E219" s="111"/>
      <c r="F219" s="112"/>
      <c r="G219" s="113"/>
      <c r="H219" s="100">
        <v>0</v>
      </c>
      <c r="I219" s="98">
        <v>0</v>
      </c>
      <c r="J219" s="101">
        <f t="shared" si="144"/>
        <v>0</v>
      </c>
      <c r="K219" s="100">
        <v>0</v>
      </c>
      <c r="L219" s="98">
        <v>0</v>
      </c>
      <c r="M219" s="101">
        <f t="shared" si="145"/>
        <v>0</v>
      </c>
      <c r="N219" s="100">
        <v>0</v>
      </c>
      <c r="O219" s="98">
        <v>0</v>
      </c>
      <c r="P219" s="101">
        <f t="shared" si="146"/>
        <v>0</v>
      </c>
      <c r="Q219" s="100">
        <v>0</v>
      </c>
      <c r="R219" s="98">
        <v>0</v>
      </c>
      <c r="S219" s="101">
        <f t="shared" si="147"/>
        <v>0</v>
      </c>
      <c r="T219" s="100">
        <v>0</v>
      </c>
      <c r="U219" s="98">
        <v>0</v>
      </c>
      <c r="V219" s="101">
        <f t="shared" si="149"/>
        <v>0</v>
      </c>
      <c r="W219" s="100">
        <v>0</v>
      </c>
      <c r="X219" s="98">
        <v>0</v>
      </c>
      <c r="Y219" s="147">
        <f t="shared" si="148"/>
        <v>0</v>
      </c>
      <c r="Z219" s="150"/>
    </row>
    <row r="220" spans="2:26" s="126" customFormat="1" ht="17.100000000000001" customHeight="1">
      <c r="B220" s="118"/>
      <c r="C220" s="119"/>
      <c r="D220" s="120"/>
      <c r="E220" s="121"/>
      <c r="F220" s="122"/>
      <c r="G220" s="123"/>
      <c r="H220" s="341" t="s">
        <v>201</v>
      </c>
      <c r="I220" s="342"/>
      <c r="J220" s="124">
        <f>SUM(J213:J219)</f>
        <v>0</v>
      </c>
      <c r="K220" s="341" t="s">
        <v>201</v>
      </c>
      <c r="L220" s="342"/>
      <c r="M220" s="124">
        <f>SUM(M213:M219)</f>
        <v>45</v>
      </c>
      <c r="N220" s="341" t="s">
        <v>201</v>
      </c>
      <c r="O220" s="342"/>
      <c r="P220" s="124">
        <f>SUM(P213:P219)</f>
        <v>0</v>
      </c>
      <c r="Q220" s="341" t="s">
        <v>201</v>
      </c>
      <c r="R220" s="342"/>
      <c r="S220" s="124">
        <f>SUM(S213:S219)</f>
        <v>0</v>
      </c>
      <c r="T220" s="341" t="s">
        <v>201</v>
      </c>
      <c r="U220" s="342"/>
      <c r="V220" s="124">
        <f>SUM(V213:V219)</f>
        <v>0</v>
      </c>
      <c r="W220" s="341" t="s">
        <v>201</v>
      </c>
      <c r="X220" s="342"/>
      <c r="Y220" s="127">
        <f>SUM(Y213:Y219)</f>
        <v>0</v>
      </c>
      <c r="Z220" s="151"/>
    </row>
    <row r="221" spans="2:26" s="35" customFormat="1" ht="17.100000000000001" customHeight="1">
      <c r="B221" s="248"/>
      <c r="C221" s="249">
        <f>'2. Rekap Back Up Beton'!C46</f>
        <v>5100</v>
      </c>
      <c r="D221" s="250">
        <f>'2. Rekap Back Up Beton'!D46</f>
        <v>5200</v>
      </c>
      <c r="E221" s="251">
        <f>'2. Rekap Back Up Beton'!E46</f>
        <v>5</v>
      </c>
      <c r="F221" s="112">
        <f>(100/((D221-C221)*E221))*((J228*0.5)+(M228*1)+(P228*2)+(S228*20)+(V228*15)+(Y228*1.5))</f>
        <v>70</v>
      </c>
      <c r="G221" s="113" t="str">
        <f>IF(F221&lt;=25,"B",IF(F221&lt;=75,"S",IF(F221&lt;=100,"RR","RB")))</f>
        <v>S</v>
      </c>
      <c r="H221" s="100">
        <v>0</v>
      </c>
      <c r="I221" s="98">
        <v>0</v>
      </c>
      <c r="J221" s="101">
        <f t="shared" ref="J221:J227" si="150">H221*I221</f>
        <v>0</v>
      </c>
      <c r="K221" s="100">
        <v>70</v>
      </c>
      <c r="L221" s="98">
        <v>5</v>
      </c>
      <c r="M221" s="101">
        <f t="shared" ref="M221:M227" si="151">K221*L221</f>
        <v>350</v>
      </c>
      <c r="N221" s="100">
        <v>0</v>
      </c>
      <c r="O221" s="98">
        <v>4</v>
      </c>
      <c r="P221" s="101">
        <f t="shared" ref="P221:P227" si="152">N221*O221</f>
        <v>0</v>
      </c>
      <c r="Q221" s="100">
        <v>0</v>
      </c>
      <c r="R221" s="98">
        <v>0</v>
      </c>
      <c r="S221" s="101">
        <f t="shared" ref="S221:S227" si="153">Q221*R221</f>
        <v>0</v>
      </c>
      <c r="T221" s="100">
        <v>0</v>
      </c>
      <c r="U221" s="98">
        <v>0</v>
      </c>
      <c r="V221" s="101">
        <f>T221*U221</f>
        <v>0</v>
      </c>
      <c r="W221" s="100">
        <v>0</v>
      </c>
      <c r="X221" s="98">
        <v>0</v>
      </c>
      <c r="Y221" s="147">
        <f t="shared" ref="Y221:Y227" si="154">W221*X221</f>
        <v>0</v>
      </c>
      <c r="Z221" s="150"/>
    </row>
    <row r="222" spans="2:26" s="35" customFormat="1" ht="17.100000000000001" customHeight="1">
      <c r="B222" s="105"/>
      <c r="C222" s="54"/>
      <c r="D222" s="96"/>
      <c r="E222" s="111"/>
      <c r="F222" s="112"/>
      <c r="G222" s="113"/>
      <c r="H222" s="100">
        <v>0</v>
      </c>
      <c r="I222" s="98">
        <v>0</v>
      </c>
      <c r="J222" s="101">
        <f t="shared" si="150"/>
        <v>0</v>
      </c>
      <c r="K222" s="100">
        <v>0</v>
      </c>
      <c r="L222" s="98">
        <v>0</v>
      </c>
      <c r="M222" s="101">
        <f t="shared" si="151"/>
        <v>0</v>
      </c>
      <c r="N222" s="100">
        <v>0</v>
      </c>
      <c r="O222" s="98">
        <v>0</v>
      </c>
      <c r="P222" s="101">
        <f t="shared" si="152"/>
        <v>0</v>
      </c>
      <c r="Q222" s="100">
        <v>0</v>
      </c>
      <c r="R222" s="98">
        <v>0</v>
      </c>
      <c r="S222" s="101">
        <f t="shared" si="153"/>
        <v>0</v>
      </c>
      <c r="T222" s="100">
        <v>0</v>
      </c>
      <c r="U222" s="98">
        <v>0</v>
      </c>
      <c r="V222" s="101">
        <f t="shared" ref="V222:V227" si="155">T222*U222</f>
        <v>0</v>
      </c>
      <c r="W222" s="100">
        <v>0</v>
      </c>
      <c r="X222" s="98">
        <v>0</v>
      </c>
      <c r="Y222" s="147">
        <f t="shared" si="154"/>
        <v>0</v>
      </c>
      <c r="Z222" s="150"/>
    </row>
    <row r="223" spans="2:26" s="35" customFormat="1" ht="17.100000000000001" customHeight="1">
      <c r="B223" s="105"/>
      <c r="C223" s="54"/>
      <c r="D223" s="96"/>
      <c r="E223" s="111"/>
      <c r="F223" s="112"/>
      <c r="G223" s="113"/>
      <c r="H223" s="100">
        <v>0</v>
      </c>
      <c r="I223" s="98">
        <v>0</v>
      </c>
      <c r="J223" s="101">
        <f t="shared" si="150"/>
        <v>0</v>
      </c>
      <c r="K223" s="100">
        <v>0</v>
      </c>
      <c r="L223" s="98">
        <v>0</v>
      </c>
      <c r="M223" s="101">
        <f t="shared" si="151"/>
        <v>0</v>
      </c>
      <c r="N223" s="100">
        <v>0</v>
      </c>
      <c r="O223" s="98">
        <v>0</v>
      </c>
      <c r="P223" s="101">
        <f t="shared" si="152"/>
        <v>0</v>
      </c>
      <c r="Q223" s="100">
        <v>0</v>
      </c>
      <c r="R223" s="98">
        <v>0</v>
      </c>
      <c r="S223" s="101">
        <f t="shared" si="153"/>
        <v>0</v>
      </c>
      <c r="T223" s="100">
        <v>0</v>
      </c>
      <c r="U223" s="98">
        <v>0</v>
      </c>
      <c r="V223" s="101">
        <f t="shared" si="155"/>
        <v>0</v>
      </c>
      <c r="W223" s="100">
        <v>0</v>
      </c>
      <c r="X223" s="98">
        <v>0</v>
      </c>
      <c r="Y223" s="147">
        <f t="shared" si="154"/>
        <v>0</v>
      </c>
      <c r="Z223" s="150"/>
    </row>
    <row r="224" spans="2:26" s="35" customFormat="1" ht="17.100000000000001" customHeight="1">
      <c r="B224" s="105"/>
      <c r="C224" s="54"/>
      <c r="D224" s="96"/>
      <c r="E224" s="111"/>
      <c r="F224" s="112"/>
      <c r="G224" s="113"/>
      <c r="H224" s="100">
        <v>0</v>
      </c>
      <c r="I224" s="98">
        <v>0</v>
      </c>
      <c r="J224" s="101">
        <f t="shared" si="150"/>
        <v>0</v>
      </c>
      <c r="K224" s="100">
        <v>0</v>
      </c>
      <c r="L224" s="98">
        <v>0</v>
      </c>
      <c r="M224" s="101">
        <f t="shared" si="151"/>
        <v>0</v>
      </c>
      <c r="N224" s="100">
        <v>0</v>
      </c>
      <c r="O224" s="98">
        <v>0</v>
      </c>
      <c r="P224" s="101">
        <f t="shared" si="152"/>
        <v>0</v>
      </c>
      <c r="Q224" s="100">
        <v>0</v>
      </c>
      <c r="R224" s="98">
        <v>0</v>
      </c>
      <c r="S224" s="101">
        <f t="shared" si="153"/>
        <v>0</v>
      </c>
      <c r="T224" s="100">
        <v>0</v>
      </c>
      <c r="U224" s="98">
        <v>0</v>
      </c>
      <c r="V224" s="101">
        <f t="shared" si="155"/>
        <v>0</v>
      </c>
      <c r="W224" s="100">
        <v>0</v>
      </c>
      <c r="X224" s="98">
        <v>0</v>
      </c>
      <c r="Y224" s="147">
        <f t="shared" si="154"/>
        <v>0</v>
      </c>
      <c r="Z224" s="150"/>
    </row>
    <row r="225" spans="2:26" s="35" customFormat="1" ht="17.100000000000001" customHeight="1">
      <c r="B225" s="105"/>
      <c r="C225" s="54"/>
      <c r="D225" s="96"/>
      <c r="E225" s="111"/>
      <c r="F225" s="112"/>
      <c r="G225" s="113"/>
      <c r="H225" s="100">
        <v>0</v>
      </c>
      <c r="I225" s="98">
        <v>0</v>
      </c>
      <c r="J225" s="101">
        <f t="shared" si="150"/>
        <v>0</v>
      </c>
      <c r="K225" s="100">
        <v>0</v>
      </c>
      <c r="L225" s="98">
        <v>0</v>
      </c>
      <c r="M225" s="101">
        <f t="shared" si="151"/>
        <v>0</v>
      </c>
      <c r="N225" s="100">
        <v>0</v>
      </c>
      <c r="O225" s="98">
        <v>0</v>
      </c>
      <c r="P225" s="101">
        <f t="shared" si="152"/>
        <v>0</v>
      </c>
      <c r="Q225" s="100">
        <v>0</v>
      </c>
      <c r="R225" s="98">
        <v>0</v>
      </c>
      <c r="S225" s="101">
        <f t="shared" si="153"/>
        <v>0</v>
      </c>
      <c r="T225" s="100">
        <v>0</v>
      </c>
      <c r="U225" s="98">
        <v>0</v>
      </c>
      <c r="V225" s="101">
        <f t="shared" si="155"/>
        <v>0</v>
      </c>
      <c r="W225" s="100">
        <v>0</v>
      </c>
      <c r="X225" s="98">
        <v>0</v>
      </c>
      <c r="Y225" s="147">
        <f t="shared" si="154"/>
        <v>0</v>
      </c>
      <c r="Z225" s="150"/>
    </row>
    <row r="226" spans="2:26" s="35" customFormat="1" ht="17.100000000000001" customHeight="1">
      <c r="B226" s="105"/>
      <c r="C226" s="54"/>
      <c r="D226" s="96"/>
      <c r="E226" s="111"/>
      <c r="F226" s="112"/>
      <c r="G226" s="113"/>
      <c r="H226" s="100">
        <v>0</v>
      </c>
      <c r="I226" s="98">
        <v>0</v>
      </c>
      <c r="J226" s="101">
        <f t="shared" si="150"/>
        <v>0</v>
      </c>
      <c r="K226" s="100">
        <v>0</v>
      </c>
      <c r="L226" s="98">
        <v>0</v>
      </c>
      <c r="M226" s="101">
        <f t="shared" si="151"/>
        <v>0</v>
      </c>
      <c r="N226" s="100">
        <v>0</v>
      </c>
      <c r="O226" s="98">
        <v>0</v>
      </c>
      <c r="P226" s="101">
        <f t="shared" si="152"/>
        <v>0</v>
      </c>
      <c r="Q226" s="100">
        <v>0</v>
      </c>
      <c r="R226" s="98">
        <v>0</v>
      </c>
      <c r="S226" s="101">
        <f t="shared" si="153"/>
        <v>0</v>
      </c>
      <c r="T226" s="100">
        <v>0</v>
      </c>
      <c r="U226" s="98">
        <v>0</v>
      </c>
      <c r="V226" s="101">
        <f t="shared" si="155"/>
        <v>0</v>
      </c>
      <c r="W226" s="100">
        <v>0</v>
      </c>
      <c r="X226" s="98">
        <v>0</v>
      </c>
      <c r="Y226" s="147">
        <f t="shared" si="154"/>
        <v>0</v>
      </c>
      <c r="Z226" s="150"/>
    </row>
    <row r="227" spans="2:26" s="35" customFormat="1" ht="17.100000000000001" customHeight="1">
      <c r="B227" s="105"/>
      <c r="C227" s="54"/>
      <c r="D227" s="96"/>
      <c r="E227" s="111"/>
      <c r="F227" s="112"/>
      <c r="G227" s="113"/>
      <c r="H227" s="100">
        <v>0</v>
      </c>
      <c r="I227" s="98">
        <v>0</v>
      </c>
      <c r="J227" s="101">
        <f t="shared" si="150"/>
        <v>0</v>
      </c>
      <c r="K227" s="100">
        <v>0</v>
      </c>
      <c r="L227" s="98">
        <v>0</v>
      </c>
      <c r="M227" s="101">
        <f t="shared" si="151"/>
        <v>0</v>
      </c>
      <c r="N227" s="100">
        <v>0</v>
      </c>
      <c r="O227" s="98">
        <v>0</v>
      </c>
      <c r="P227" s="101">
        <f t="shared" si="152"/>
        <v>0</v>
      </c>
      <c r="Q227" s="100">
        <v>0</v>
      </c>
      <c r="R227" s="98">
        <v>0</v>
      </c>
      <c r="S227" s="101">
        <f t="shared" si="153"/>
        <v>0</v>
      </c>
      <c r="T227" s="100">
        <v>0</v>
      </c>
      <c r="U227" s="98">
        <v>0</v>
      </c>
      <c r="V227" s="101">
        <f t="shared" si="155"/>
        <v>0</v>
      </c>
      <c r="W227" s="100">
        <v>0</v>
      </c>
      <c r="X227" s="98">
        <v>0</v>
      </c>
      <c r="Y227" s="147">
        <f t="shared" si="154"/>
        <v>0</v>
      </c>
      <c r="Z227" s="150"/>
    </row>
    <row r="228" spans="2:26" s="126" customFormat="1" ht="17.100000000000001" customHeight="1">
      <c r="B228" s="118"/>
      <c r="C228" s="119"/>
      <c r="D228" s="120"/>
      <c r="E228" s="121"/>
      <c r="F228" s="122"/>
      <c r="G228" s="123"/>
      <c r="H228" s="341" t="s">
        <v>201</v>
      </c>
      <c r="I228" s="342"/>
      <c r="J228" s="124">
        <f>SUM(J221:J227)</f>
        <v>0</v>
      </c>
      <c r="K228" s="341" t="s">
        <v>201</v>
      </c>
      <c r="L228" s="342"/>
      <c r="M228" s="124">
        <f>SUM(M221:M227)</f>
        <v>350</v>
      </c>
      <c r="N228" s="341" t="s">
        <v>201</v>
      </c>
      <c r="O228" s="342"/>
      <c r="P228" s="124">
        <f>SUM(P221:P227)</f>
        <v>0</v>
      </c>
      <c r="Q228" s="341" t="s">
        <v>201</v>
      </c>
      <c r="R228" s="342"/>
      <c r="S228" s="124">
        <f>SUM(S221:S227)</f>
        <v>0</v>
      </c>
      <c r="T228" s="341" t="s">
        <v>201</v>
      </c>
      <c r="U228" s="342"/>
      <c r="V228" s="124">
        <f>SUM(V221:V227)</f>
        <v>0</v>
      </c>
      <c r="W228" s="341" t="s">
        <v>201</v>
      </c>
      <c r="X228" s="342"/>
      <c r="Y228" s="127">
        <f>SUM(Y221:Y227)</f>
        <v>0</v>
      </c>
      <c r="Z228" s="151"/>
    </row>
    <row r="229" spans="2:26" s="35" customFormat="1" ht="17.100000000000001" customHeight="1">
      <c r="B229" s="105"/>
      <c r="C229" s="54">
        <f>'2. Rekap Back Up Beton'!C47</f>
        <v>8150</v>
      </c>
      <c r="D229" s="96">
        <f>'2. Rekap Back Up Beton'!D47</f>
        <v>8200</v>
      </c>
      <c r="E229" s="111">
        <f>'2. Rekap Back Up Beton'!E47</f>
        <v>5</v>
      </c>
      <c r="F229" s="112">
        <f>(100/((D229-C229)*E229))*((J236*0.5)+(M236*1)+(P236*2)+(S236*20)+(V236*15)+(Y236*1.5))</f>
        <v>30</v>
      </c>
      <c r="G229" s="113" t="str">
        <f>IF(F229&lt;=25,"B",IF(F229&lt;=75,"S",IF(F229&lt;=100,"RR","RB")))</f>
        <v>S</v>
      </c>
      <c r="H229" s="100">
        <v>50</v>
      </c>
      <c r="I229" s="98">
        <v>3</v>
      </c>
      <c r="J229" s="101">
        <f t="shared" ref="J229:J235" si="156">H229*I229</f>
        <v>150</v>
      </c>
      <c r="K229" s="100">
        <v>0</v>
      </c>
      <c r="L229" s="98">
        <v>0</v>
      </c>
      <c r="M229" s="101">
        <f t="shared" ref="M229:M235" si="157">K229*L229</f>
        <v>0</v>
      </c>
      <c r="N229" s="100">
        <v>0</v>
      </c>
      <c r="O229" s="98">
        <v>4</v>
      </c>
      <c r="P229" s="101">
        <f t="shared" ref="P229:P235" si="158">N229*O229</f>
        <v>0</v>
      </c>
      <c r="Q229" s="100">
        <v>0</v>
      </c>
      <c r="R229" s="98">
        <v>0</v>
      </c>
      <c r="S229" s="101">
        <f t="shared" ref="S229:S235" si="159">Q229*R229</f>
        <v>0</v>
      </c>
      <c r="T229" s="100">
        <v>0</v>
      </c>
      <c r="U229" s="98">
        <v>0</v>
      </c>
      <c r="V229" s="101">
        <f>T229*U229</f>
        <v>0</v>
      </c>
      <c r="W229" s="100">
        <v>0</v>
      </c>
      <c r="X229" s="98">
        <v>0</v>
      </c>
      <c r="Y229" s="147">
        <f t="shared" ref="Y229:Y235" si="160">W229*X229</f>
        <v>0</v>
      </c>
      <c r="Z229" s="150"/>
    </row>
    <row r="230" spans="2:26" s="35" customFormat="1" ht="17.100000000000001" customHeight="1">
      <c r="B230" s="105"/>
      <c r="C230" s="54"/>
      <c r="D230" s="96"/>
      <c r="E230" s="111"/>
      <c r="F230" s="112"/>
      <c r="G230" s="113"/>
      <c r="H230" s="100">
        <v>0</v>
      </c>
      <c r="I230" s="98">
        <v>0</v>
      </c>
      <c r="J230" s="101">
        <f t="shared" si="156"/>
        <v>0</v>
      </c>
      <c r="K230" s="100">
        <v>0</v>
      </c>
      <c r="L230" s="98">
        <v>0</v>
      </c>
      <c r="M230" s="101">
        <f t="shared" si="157"/>
        <v>0</v>
      </c>
      <c r="N230" s="100">
        <v>0</v>
      </c>
      <c r="O230" s="98">
        <v>0</v>
      </c>
      <c r="P230" s="101">
        <f t="shared" si="158"/>
        <v>0</v>
      </c>
      <c r="Q230" s="100">
        <v>0</v>
      </c>
      <c r="R230" s="98">
        <v>0</v>
      </c>
      <c r="S230" s="101">
        <f t="shared" si="159"/>
        <v>0</v>
      </c>
      <c r="T230" s="100">
        <v>0</v>
      </c>
      <c r="U230" s="98">
        <v>0</v>
      </c>
      <c r="V230" s="101">
        <f t="shared" ref="V230:V235" si="161">T230*U230</f>
        <v>0</v>
      </c>
      <c r="W230" s="100">
        <v>0</v>
      </c>
      <c r="X230" s="98">
        <v>0</v>
      </c>
      <c r="Y230" s="147">
        <f t="shared" si="160"/>
        <v>0</v>
      </c>
      <c r="Z230" s="150"/>
    </row>
    <row r="231" spans="2:26" s="35" customFormat="1" ht="17.100000000000001" customHeight="1">
      <c r="B231" s="105"/>
      <c r="C231" s="54"/>
      <c r="D231" s="96"/>
      <c r="E231" s="111"/>
      <c r="F231" s="112"/>
      <c r="G231" s="113"/>
      <c r="H231" s="100">
        <v>0</v>
      </c>
      <c r="I231" s="98">
        <v>0</v>
      </c>
      <c r="J231" s="101">
        <f t="shared" si="156"/>
        <v>0</v>
      </c>
      <c r="K231" s="100">
        <v>0</v>
      </c>
      <c r="L231" s="98">
        <v>0</v>
      </c>
      <c r="M231" s="101">
        <f t="shared" si="157"/>
        <v>0</v>
      </c>
      <c r="N231" s="100">
        <v>0</v>
      </c>
      <c r="O231" s="98">
        <v>0</v>
      </c>
      <c r="P231" s="101">
        <f t="shared" si="158"/>
        <v>0</v>
      </c>
      <c r="Q231" s="100">
        <v>0</v>
      </c>
      <c r="R231" s="98">
        <v>0</v>
      </c>
      <c r="S231" s="101">
        <f t="shared" si="159"/>
        <v>0</v>
      </c>
      <c r="T231" s="100">
        <v>0</v>
      </c>
      <c r="U231" s="98">
        <v>0</v>
      </c>
      <c r="V231" s="101">
        <f t="shared" si="161"/>
        <v>0</v>
      </c>
      <c r="W231" s="100">
        <v>0</v>
      </c>
      <c r="X231" s="98">
        <v>0</v>
      </c>
      <c r="Y231" s="147">
        <f t="shared" si="160"/>
        <v>0</v>
      </c>
      <c r="Z231" s="150"/>
    </row>
    <row r="232" spans="2:26" s="35" customFormat="1" ht="17.100000000000001" customHeight="1">
      <c r="B232" s="105"/>
      <c r="C232" s="54"/>
      <c r="D232" s="96"/>
      <c r="E232" s="111"/>
      <c r="F232" s="112"/>
      <c r="G232" s="113"/>
      <c r="H232" s="100">
        <v>0</v>
      </c>
      <c r="I232" s="98">
        <v>0</v>
      </c>
      <c r="J232" s="101">
        <f t="shared" si="156"/>
        <v>0</v>
      </c>
      <c r="K232" s="100">
        <v>0</v>
      </c>
      <c r="L232" s="98">
        <v>0</v>
      </c>
      <c r="M232" s="101">
        <f t="shared" si="157"/>
        <v>0</v>
      </c>
      <c r="N232" s="100">
        <v>0</v>
      </c>
      <c r="O232" s="98">
        <v>0</v>
      </c>
      <c r="P232" s="101">
        <f t="shared" si="158"/>
        <v>0</v>
      </c>
      <c r="Q232" s="100">
        <v>0</v>
      </c>
      <c r="R232" s="98">
        <v>0</v>
      </c>
      <c r="S232" s="101">
        <f t="shared" si="159"/>
        <v>0</v>
      </c>
      <c r="T232" s="100">
        <v>0</v>
      </c>
      <c r="U232" s="98">
        <v>0</v>
      </c>
      <c r="V232" s="101">
        <f t="shared" si="161"/>
        <v>0</v>
      </c>
      <c r="W232" s="100">
        <v>0</v>
      </c>
      <c r="X232" s="98">
        <v>0</v>
      </c>
      <c r="Y232" s="147">
        <f t="shared" si="160"/>
        <v>0</v>
      </c>
      <c r="Z232" s="150"/>
    </row>
    <row r="233" spans="2:26" s="35" customFormat="1" ht="17.100000000000001" customHeight="1">
      <c r="B233" s="105"/>
      <c r="C233" s="54"/>
      <c r="D233" s="96"/>
      <c r="E233" s="111"/>
      <c r="F233" s="112"/>
      <c r="G233" s="113"/>
      <c r="H233" s="100">
        <v>0</v>
      </c>
      <c r="I233" s="98">
        <v>0</v>
      </c>
      <c r="J233" s="101">
        <f t="shared" si="156"/>
        <v>0</v>
      </c>
      <c r="K233" s="100">
        <v>0</v>
      </c>
      <c r="L233" s="98">
        <v>0</v>
      </c>
      <c r="M233" s="101">
        <f t="shared" si="157"/>
        <v>0</v>
      </c>
      <c r="N233" s="100">
        <v>0</v>
      </c>
      <c r="O233" s="98">
        <v>0</v>
      </c>
      <c r="P233" s="101">
        <f t="shared" si="158"/>
        <v>0</v>
      </c>
      <c r="Q233" s="100">
        <v>0</v>
      </c>
      <c r="R233" s="98">
        <v>0</v>
      </c>
      <c r="S233" s="101">
        <f t="shared" si="159"/>
        <v>0</v>
      </c>
      <c r="T233" s="100">
        <v>0</v>
      </c>
      <c r="U233" s="98">
        <v>0</v>
      </c>
      <c r="V233" s="101">
        <f t="shared" si="161"/>
        <v>0</v>
      </c>
      <c r="W233" s="100">
        <v>0</v>
      </c>
      <c r="X233" s="98">
        <v>0</v>
      </c>
      <c r="Y233" s="147">
        <f t="shared" si="160"/>
        <v>0</v>
      </c>
      <c r="Z233" s="150"/>
    </row>
    <row r="234" spans="2:26" s="35" customFormat="1" ht="17.100000000000001" customHeight="1">
      <c r="B234" s="105"/>
      <c r="C234" s="54"/>
      <c r="D234" s="96"/>
      <c r="E234" s="111"/>
      <c r="F234" s="112"/>
      <c r="G234" s="113"/>
      <c r="H234" s="100">
        <v>0</v>
      </c>
      <c r="I234" s="98">
        <v>0</v>
      </c>
      <c r="J234" s="101">
        <f t="shared" si="156"/>
        <v>0</v>
      </c>
      <c r="K234" s="100">
        <v>0</v>
      </c>
      <c r="L234" s="98">
        <v>0</v>
      </c>
      <c r="M234" s="101">
        <f t="shared" si="157"/>
        <v>0</v>
      </c>
      <c r="N234" s="100">
        <v>0</v>
      </c>
      <c r="O234" s="98">
        <v>0</v>
      </c>
      <c r="P234" s="101">
        <f t="shared" si="158"/>
        <v>0</v>
      </c>
      <c r="Q234" s="100">
        <v>0</v>
      </c>
      <c r="R234" s="98">
        <v>0</v>
      </c>
      <c r="S234" s="101">
        <f t="shared" si="159"/>
        <v>0</v>
      </c>
      <c r="T234" s="100">
        <v>0</v>
      </c>
      <c r="U234" s="98">
        <v>0</v>
      </c>
      <c r="V234" s="101">
        <f t="shared" si="161"/>
        <v>0</v>
      </c>
      <c r="W234" s="100">
        <v>0</v>
      </c>
      <c r="X234" s="98">
        <v>0</v>
      </c>
      <c r="Y234" s="147">
        <f t="shared" si="160"/>
        <v>0</v>
      </c>
      <c r="Z234" s="150"/>
    </row>
    <row r="235" spans="2:26" s="35" customFormat="1" ht="17.100000000000001" customHeight="1">
      <c r="B235" s="105"/>
      <c r="C235" s="54"/>
      <c r="D235" s="96"/>
      <c r="E235" s="111"/>
      <c r="F235" s="112"/>
      <c r="G235" s="113"/>
      <c r="H235" s="100">
        <v>0</v>
      </c>
      <c r="I235" s="98">
        <v>0</v>
      </c>
      <c r="J235" s="101">
        <f t="shared" si="156"/>
        <v>0</v>
      </c>
      <c r="K235" s="100">
        <v>0</v>
      </c>
      <c r="L235" s="98">
        <v>0</v>
      </c>
      <c r="M235" s="101">
        <f t="shared" si="157"/>
        <v>0</v>
      </c>
      <c r="N235" s="100">
        <v>0</v>
      </c>
      <c r="O235" s="98">
        <v>0</v>
      </c>
      <c r="P235" s="101">
        <f t="shared" si="158"/>
        <v>0</v>
      </c>
      <c r="Q235" s="100">
        <v>0</v>
      </c>
      <c r="R235" s="98">
        <v>0</v>
      </c>
      <c r="S235" s="101">
        <f t="shared" si="159"/>
        <v>0</v>
      </c>
      <c r="T235" s="100">
        <v>0</v>
      </c>
      <c r="U235" s="98">
        <v>0</v>
      </c>
      <c r="V235" s="101">
        <f t="shared" si="161"/>
        <v>0</v>
      </c>
      <c r="W235" s="100">
        <v>0</v>
      </c>
      <c r="X235" s="98">
        <v>0</v>
      </c>
      <c r="Y235" s="147">
        <f t="shared" si="160"/>
        <v>0</v>
      </c>
      <c r="Z235" s="150"/>
    </row>
    <row r="236" spans="2:26" s="126" customFormat="1" ht="17.100000000000001" customHeight="1" thickBot="1">
      <c r="B236" s="128"/>
      <c r="C236" s="154"/>
      <c r="D236" s="155"/>
      <c r="E236" s="156"/>
      <c r="F236" s="129"/>
      <c r="G236" s="130"/>
      <c r="H236" s="344" t="s">
        <v>201</v>
      </c>
      <c r="I236" s="345"/>
      <c r="J236" s="131">
        <f>SUM(J229:J235)</f>
        <v>150</v>
      </c>
      <c r="K236" s="344" t="s">
        <v>201</v>
      </c>
      <c r="L236" s="345"/>
      <c r="M236" s="131">
        <f>SUM(M229:M235)</f>
        <v>0</v>
      </c>
      <c r="N236" s="344" t="s">
        <v>201</v>
      </c>
      <c r="O236" s="345"/>
      <c r="P236" s="131">
        <f>SUM(P229:P235)</f>
        <v>0</v>
      </c>
      <c r="Q236" s="344" t="s">
        <v>201</v>
      </c>
      <c r="R236" s="345"/>
      <c r="S236" s="131">
        <f>SUM(S229:S235)</f>
        <v>0</v>
      </c>
      <c r="T236" s="344" t="s">
        <v>201</v>
      </c>
      <c r="U236" s="345"/>
      <c r="V236" s="131">
        <f>SUM(V229:V235)</f>
        <v>0</v>
      </c>
      <c r="W236" s="344" t="s">
        <v>201</v>
      </c>
      <c r="X236" s="345"/>
      <c r="Y236" s="132">
        <f>SUM(Y229:Y235)</f>
        <v>0</v>
      </c>
      <c r="Z236" s="152"/>
    </row>
    <row r="237" spans="2:26" s="35" customFormat="1" ht="17.100000000000001" customHeight="1">
      <c r="B237" s="114"/>
      <c r="C237" s="157">
        <f>'2. Rekap Back Up Beton'!C48</f>
        <v>8200</v>
      </c>
      <c r="D237" s="158">
        <f>'2. Rekap Back Up Beton'!D48</f>
        <v>8300</v>
      </c>
      <c r="E237" s="159">
        <f>'2. Rekap Back Up Beton'!E48</f>
        <v>5</v>
      </c>
      <c r="F237" s="115">
        <f>(100/((D237-C237)*E237))*((J244*0.5)+(M244*1)+(P244*2)+(S244*20)+(V244*15)+(Y244*1.5))</f>
        <v>30</v>
      </c>
      <c r="G237" s="116" t="str">
        <f>IF(F237&lt;=25,"B",IF(F237&lt;=75,"S",IF(F237&lt;=100,"RR","RB")))</f>
        <v>S</v>
      </c>
      <c r="H237" s="135">
        <v>100</v>
      </c>
      <c r="I237" s="136">
        <v>3</v>
      </c>
      <c r="J237" s="137">
        <f t="shared" ref="J237:J243" si="162">H237*I237</f>
        <v>300</v>
      </c>
      <c r="K237" s="135">
        <v>0</v>
      </c>
      <c r="L237" s="136">
        <v>0</v>
      </c>
      <c r="M237" s="137">
        <f t="shared" ref="M237:M243" si="163">K237*L237</f>
        <v>0</v>
      </c>
      <c r="N237" s="135">
        <v>0</v>
      </c>
      <c r="O237" s="136">
        <v>4</v>
      </c>
      <c r="P237" s="137">
        <f t="shared" ref="P237:P243" si="164">N237*O237</f>
        <v>0</v>
      </c>
      <c r="Q237" s="135">
        <v>0</v>
      </c>
      <c r="R237" s="136">
        <v>0</v>
      </c>
      <c r="S237" s="137">
        <f t="shared" ref="S237:S243" si="165">Q237*R237</f>
        <v>0</v>
      </c>
      <c r="T237" s="135">
        <v>0</v>
      </c>
      <c r="U237" s="136">
        <v>0</v>
      </c>
      <c r="V237" s="137">
        <f>T237*U237</f>
        <v>0</v>
      </c>
      <c r="W237" s="135">
        <v>0</v>
      </c>
      <c r="X237" s="136">
        <v>0</v>
      </c>
      <c r="Y237" s="148">
        <f t="shared" ref="Y237:Y243" si="166">W237*X237</f>
        <v>0</v>
      </c>
      <c r="Z237" s="153"/>
    </row>
    <row r="238" spans="2:26" s="35" customFormat="1" ht="17.100000000000001" customHeight="1">
      <c r="B238" s="105"/>
      <c r="C238" s="54"/>
      <c r="D238" s="96"/>
      <c r="E238" s="111"/>
      <c r="F238" s="112"/>
      <c r="G238" s="113"/>
      <c r="H238" s="100">
        <v>0</v>
      </c>
      <c r="I238" s="98">
        <v>0</v>
      </c>
      <c r="J238" s="101">
        <f t="shared" si="162"/>
        <v>0</v>
      </c>
      <c r="K238" s="100">
        <v>0</v>
      </c>
      <c r="L238" s="98">
        <v>0</v>
      </c>
      <c r="M238" s="101">
        <f t="shared" si="163"/>
        <v>0</v>
      </c>
      <c r="N238" s="100">
        <v>0</v>
      </c>
      <c r="O238" s="98">
        <v>0</v>
      </c>
      <c r="P238" s="101">
        <f t="shared" si="164"/>
        <v>0</v>
      </c>
      <c r="Q238" s="100">
        <v>0</v>
      </c>
      <c r="R238" s="98">
        <v>0</v>
      </c>
      <c r="S238" s="101">
        <f t="shared" si="165"/>
        <v>0</v>
      </c>
      <c r="T238" s="100">
        <v>0</v>
      </c>
      <c r="U238" s="98">
        <v>0</v>
      </c>
      <c r="V238" s="101">
        <f t="shared" ref="V238:V243" si="167">T238*U238</f>
        <v>0</v>
      </c>
      <c r="W238" s="100">
        <v>0</v>
      </c>
      <c r="X238" s="98">
        <v>0</v>
      </c>
      <c r="Y238" s="147">
        <f t="shared" si="166"/>
        <v>0</v>
      </c>
      <c r="Z238" s="150"/>
    </row>
    <row r="239" spans="2:26" s="35" customFormat="1" ht="17.100000000000001" customHeight="1">
      <c r="B239" s="105"/>
      <c r="C239" s="54"/>
      <c r="D239" s="96"/>
      <c r="E239" s="111"/>
      <c r="F239" s="112"/>
      <c r="G239" s="113"/>
      <c r="H239" s="100">
        <v>0</v>
      </c>
      <c r="I239" s="98">
        <v>0</v>
      </c>
      <c r="J239" s="101">
        <f t="shared" si="162"/>
        <v>0</v>
      </c>
      <c r="K239" s="100">
        <v>0</v>
      </c>
      <c r="L239" s="98">
        <v>0</v>
      </c>
      <c r="M239" s="101">
        <f t="shared" si="163"/>
        <v>0</v>
      </c>
      <c r="N239" s="100">
        <v>0</v>
      </c>
      <c r="O239" s="98">
        <v>0</v>
      </c>
      <c r="P239" s="101">
        <f t="shared" si="164"/>
        <v>0</v>
      </c>
      <c r="Q239" s="100">
        <v>0</v>
      </c>
      <c r="R239" s="98">
        <v>0</v>
      </c>
      <c r="S239" s="101">
        <f t="shared" si="165"/>
        <v>0</v>
      </c>
      <c r="T239" s="100">
        <v>0</v>
      </c>
      <c r="U239" s="98">
        <v>0</v>
      </c>
      <c r="V239" s="101">
        <f t="shared" si="167"/>
        <v>0</v>
      </c>
      <c r="W239" s="100">
        <v>0</v>
      </c>
      <c r="X239" s="98">
        <v>0</v>
      </c>
      <c r="Y239" s="147">
        <f t="shared" si="166"/>
        <v>0</v>
      </c>
      <c r="Z239" s="150"/>
    </row>
    <row r="240" spans="2:26" s="35" customFormat="1" ht="17.100000000000001" customHeight="1">
      <c r="B240" s="105"/>
      <c r="C240" s="54"/>
      <c r="D240" s="96"/>
      <c r="E240" s="111"/>
      <c r="F240" s="112"/>
      <c r="G240" s="113"/>
      <c r="H240" s="100">
        <v>0</v>
      </c>
      <c r="I240" s="98">
        <v>0</v>
      </c>
      <c r="J240" s="101">
        <f t="shared" si="162"/>
        <v>0</v>
      </c>
      <c r="K240" s="100">
        <v>0</v>
      </c>
      <c r="L240" s="98">
        <v>0</v>
      </c>
      <c r="M240" s="101">
        <f t="shared" si="163"/>
        <v>0</v>
      </c>
      <c r="N240" s="100">
        <v>0</v>
      </c>
      <c r="O240" s="98">
        <v>0</v>
      </c>
      <c r="P240" s="101">
        <f t="shared" si="164"/>
        <v>0</v>
      </c>
      <c r="Q240" s="100">
        <v>0</v>
      </c>
      <c r="R240" s="98">
        <v>0</v>
      </c>
      <c r="S240" s="101">
        <f t="shared" si="165"/>
        <v>0</v>
      </c>
      <c r="T240" s="100">
        <v>0</v>
      </c>
      <c r="U240" s="98">
        <v>0</v>
      </c>
      <c r="V240" s="101">
        <f t="shared" si="167"/>
        <v>0</v>
      </c>
      <c r="W240" s="100">
        <v>0</v>
      </c>
      <c r="X240" s="98">
        <v>0</v>
      </c>
      <c r="Y240" s="147">
        <f t="shared" si="166"/>
        <v>0</v>
      </c>
      <c r="Z240" s="150"/>
    </row>
    <row r="241" spans="2:26" s="35" customFormat="1" ht="17.100000000000001" customHeight="1">
      <c r="B241" s="105"/>
      <c r="C241" s="54"/>
      <c r="D241" s="96"/>
      <c r="E241" s="111"/>
      <c r="F241" s="112"/>
      <c r="G241" s="113"/>
      <c r="H241" s="100">
        <v>0</v>
      </c>
      <c r="I241" s="98">
        <v>0</v>
      </c>
      <c r="J241" s="101">
        <f t="shared" si="162"/>
        <v>0</v>
      </c>
      <c r="K241" s="100">
        <v>0</v>
      </c>
      <c r="L241" s="98">
        <v>0</v>
      </c>
      <c r="M241" s="101">
        <f t="shared" si="163"/>
        <v>0</v>
      </c>
      <c r="N241" s="100">
        <v>0</v>
      </c>
      <c r="O241" s="98">
        <v>0</v>
      </c>
      <c r="P241" s="101">
        <f t="shared" si="164"/>
        <v>0</v>
      </c>
      <c r="Q241" s="100">
        <v>0</v>
      </c>
      <c r="R241" s="98">
        <v>0</v>
      </c>
      <c r="S241" s="101">
        <f t="shared" si="165"/>
        <v>0</v>
      </c>
      <c r="T241" s="100">
        <v>0</v>
      </c>
      <c r="U241" s="98">
        <v>0</v>
      </c>
      <c r="V241" s="101">
        <f t="shared" si="167"/>
        <v>0</v>
      </c>
      <c r="W241" s="100">
        <v>0</v>
      </c>
      <c r="X241" s="98">
        <v>0</v>
      </c>
      <c r="Y241" s="147">
        <f t="shared" si="166"/>
        <v>0</v>
      </c>
      <c r="Z241" s="150"/>
    </row>
    <row r="242" spans="2:26" s="35" customFormat="1" ht="17.100000000000001" customHeight="1">
      <c r="B242" s="105"/>
      <c r="C242" s="54"/>
      <c r="D242" s="96"/>
      <c r="E242" s="111"/>
      <c r="F242" s="112"/>
      <c r="G242" s="113"/>
      <c r="H242" s="100">
        <v>0</v>
      </c>
      <c r="I242" s="98">
        <v>0</v>
      </c>
      <c r="J242" s="101">
        <f t="shared" si="162"/>
        <v>0</v>
      </c>
      <c r="K242" s="100">
        <v>0</v>
      </c>
      <c r="L242" s="98">
        <v>0</v>
      </c>
      <c r="M242" s="101">
        <f t="shared" si="163"/>
        <v>0</v>
      </c>
      <c r="N242" s="100">
        <v>0</v>
      </c>
      <c r="O242" s="98">
        <v>0</v>
      </c>
      <c r="P242" s="101">
        <f t="shared" si="164"/>
        <v>0</v>
      </c>
      <c r="Q242" s="100">
        <v>0</v>
      </c>
      <c r="R242" s="98">
        <v>0</v>
      </c>
      <c r="S242" s="101">
        <f t="shared" si="165"/>
        <v>0</v>
      </c>
      <c r="T242" s="100">
        <v>0</v>
      </c>
      <c r="U242" s="98">
        <v>0</v>
      </c>
      <c r="V242" s="101">
        <f t="shared" si="167"/>
        <v>0</v>
      </c>
      <c r="W242" s="100">
        <v>0</v>
      </c>
      <c r="X242" s="98">
        <v>0</v>
      </c>
      <c r="Y242" s="147">
        <f t="shared" si="166"/>
        <v>0</v>
      </c>
      <c r="Z242" s="150"/>
    </row>
    <row r="243" spans="2:26" s="35" customFormat="1" ht="17.100000000000001" customHeight="1">
      <c r="B243" s="105"/>
      <c r="C243" s="54"/>
      <c r="D243" s="96"/>
      <c r="E243" s="111"/>
      <c r="F243" s="112"/>
      <c r="G243" s="113"/>
      <c r="H243" s="100">
        <v>0</v>
      </c>
      <c r="I243" s="98">
        <v>0</v>
      </c>
      <c r="J243" s="101">
        <f t="shared" si="162"/>
        <v>0</v>
      </c>
      <c r="K243" s="100">
        <v>0</v>
      </c>
      <c r="L243" s="98">
        <v>0</v>
      </c>
      <c r="M243" s="101">
        <f t="shared" si="163"/>
        <v>0</v>
      </c>
      <c r="N243" s="100">
        <v>0</v>
      </c>
      <c r="O243" s="98">
        <v>0</v>
      </c>
      <c r="P243" s="101">
        <f t="shared" si="164"/>
        <v>0</v>
      </c>
      <c r="Q243" s="100">
        <v>0</v>
      </c>
      <c r="R243" s="98">
        <v>0</v>
      </c>
      <c r="S243" s="101">
        <f t="shared" si="165"/>
        <v>0</v>
      </c>
      <c r="T243" s="100">
        <v>0</v>
      </c>
      <c r="U243" s="98">
        <v>0</v>
      </c>
      <c r="V243" s="101">
        <f t="shared" si="167"/>
        <v>0</v>
      </c>
      <c r="W243" s="100">
        <v>0</v>
      </c>
      <c r="X243" s="98">
        <v>0</v>
      </c>
      <c r="Y243" s="147">
        <f t="shared" si="166"/>
        <v>0</v>
      </c>
      <c r="Z243" s="150"/>
    </row>
    <row r="244" spans="2:26" s="126" customFormat="1" ht="17.100000000000001" customHeight="1">
      <c r="B244" s="118"/>
      <c r="C244" s="119"/>
      <c r="D244" s="120"/>
      <c r="E244" s="121"/>
      <c r="F244" s="122"/>
      <c r="G244" s="123"/>
      <c r="H244" s="341" t="s">
        <v>201</v>
      </c>
      <c r="I244" s="342"/>
      <c r="J244" s="124">
        <f>SUM(J237:J243)</f>
        <v>300</v>
      </c>
      <c r="K244" s="341" t="s">
        <v>201</v>
      </c>
      <c r="L244" s="342"/>
      <c r="M244" s="124">
        <f>SUM(M237:M243)</f>
        <v>0</v>
      </c>
      <c r="N244" s="341" t="s">
        <v>201</v>
      </c>
      <c r="O244" s="342"/>
      <c r="P244" s="124">
        <f>SUM(P237:P243)</f>
        <v>0</v>
      </c>
      <c r="Q244" s="341" t="s">
        <v>201</v>
      </c>
      <c r="R244" s="342"/>
      <c r="S244" s="124">
        <f>SUM(S237:S243)</f>
        <v>0</v>
      </c>
      <c r="T244" s="341" t="s">
        <v>201</v>
      </c>
      <c r="U244" s="342"/>
      <c r="V244" s="124">
        <f>SUM(V237:V243)</f>
        <v>0</v>
      </c>
      <c r="W244" s="341" t="s">
        <v>201</v>
      </c>
      <c r="X244" s="342"/>
      <c r="Y244" s="127">
        <f>SUM(Y237:Y243)</f>
        <v>0</v>
      </c>
      <c r="Z244" s="151"/>
    </row>
    <row r="245" spans="2:26" s="35" customFormat="1" ht="17.100000000000001" customHeight="1">
      <c r="B245" s="105"/>
      <c r="C245" s="54">
        <f>'2. Rekap Back Up Beton'!C49</f>
        <v>8300</v>
      </c>
      <c r="D245" s="96">
        <f>'2. Rekap Back Up Beton'!D49</f>
        <v>8400</v>
      </c>
      <c r="E245" s="111">
        <f>'2. Rekap Back Up Beton'!E49</f>
        <v>5</v>
      </c>
      <c r="F245" s="112">
        <f>(100/((D245-C245)*E245))*((J252*0.5)+(M252*1)+(P252*2)+(S252*20)+(V252*15)+(Y252*1.5))</f>
        <v>30</v>
      </c>
      <c r="G245" s="113" t="str">
        <f>IF(F245&lt;=25,"B",IF(F245&lt;=75,"S",IF(F245&lt;=100,"RR","RB")))</f>
        <v>S</v>
      </c>
      <c r="H245" s="100">
        <v>100</v>
      </c>
      <c r="I245" s="98">
        <v>3</v>
      </c>
      <c r="J245" s="101">
        <f t="shared" ref="J245:J251" si="168">H245*I245</f>
        <v>300</v>
      </c>
      <c r="K245" s="100">
        <v>0</v>
      </c>
      <c r="L245" s="98">
        <v>0</v>
      </c>
      <c r="M245" s="101">
        <f t="shared" ref="M245:M251" si="169">K245*L245</f>
        <v>0</v>
      </c>
      <c r="N245" s="100">
        <v>0</v>
      </c>
      <c r="O245" s="98">
        <v>4</v>
      </c>
      <c r="P245" s="101">
        <f t="shared" ref="P245:P251" si="170">N245*O245</f>
        <v>0</v>
      </c>
      <c r="Q245" s="100">
        <v>0</v>
      </c>
      <c r="R245" s="98">
        <v>0</v>
      </c>
      <c r="S245" s="101">
        <f t="shared" ref="S245:S251" si="171">Q245*R245</f>
        <v>0</v>
      </c>
      <c r="T245" s="100">
        <v>0</v>
      </c>
      <c r="U245" s="98">
        <v>0</v>
      </c>
      <c r="V245" s="101">
        <f>T245*U245</f>
        <v>0</v>
      </c>
      <c r="W245" s="100">
        <v>0</v>
      </c>
      <c r="X245" s="98">
        <v>0</v>
      </c>
      <c r="Y245" s="147">
        <f t="shared" ref="Y245:Y251" si="172">W245*X245</f>
        <v>0</v>
      </c>
      <c r="Z245" s="150"/>
    </row>
    <row r="246" spans="2:26" s="35" customFormat="1" ht="17.100000000000001" customHeight="1">
      <c r="B246" s="105"/>
      <c r="C246" s="54"/>
      <c r="D246" s="96"/>
      <c r="E246" s="111"/>
      <c r="F246" s="112"/>
      <c r="G246" s="113"/>
      <c r="H246" s="100">
        <v>0</v>
      </c>
      <c r="I246" s="98">
        <v>0</v>
      </c>
      <c r="J246" s="101">
        <f t="shared" si="168"/>
        <v>0</v>
      </c>
      <c r="K246" s="100">
        <v>0</v>
      </c>
      <c r="L246" s="98">
        <v>0</v>
      </c>
      <c r="M246" s="101">
        <f t="shared" si="169"/>
        <v>0</v>
      </c>
      <c r="N246" s="100">
        <v>0</v>
      </c>
      <c r="O246" s="98">
        <v>0</v>
      </c>
      <c r="P246" s="101">
        <f t="shared" si="170"/>
        <v>0</v>
      </c>
      <c r="Q246" s="100">
        <v>0</v>
      </c>
      <c r="R246" s="98">
        <v>0</v>
      </c>
      <c r="S246" s="101">
        <f t="shared" si="171"/>
        <v>0</v>
      </c>
      <c r="T246" s="100">
        <v>0</v>
      </c>
      <c r="U246" s="98">
        <v>0</v>
      </c>
      <c r="V246" s="101">
        <f t="shared" ref="V246:V251" si="173">T246*U246</f>
        <v>0</v>
      </c>
      <c r="W246" s="100">
        <v>0</v>
      </c>
      <c r="X246" s="98">
        <v>0</v>
      </c>
      <c r="Y246" s="147">
        <f t="shared" si="172"/>
        <v>0</v>
      </c>
      <c r="Z246" s="150"/>
    </row>
    <row r="247" spans="2:26" s="35" customFormat="1" ht="17.100000000000001" customHeight="1">
      <c r="B247" s="105"/>
      <c r="C247" s="54"/>
      <c r="D247" s="96"/>
      <c r="E247" s="111"/>
      <c r="F247" s="112"/>
      <c r="G247" s="113"/>
      <c r="H247" s="100">
        <v>0</v>
      </c>
      <c r="I247" s="98">
        <v>0</v>
      </c>
      <c r="J247" s="101">
        <f t="shared" si="168"/>
        <v>0</v>
      </c>
      <c r="K247" s="100">
        <v>0</v>
      </c>
      <c r="L247" s="98">
        <v>0</v>
      </c>
      <c r="M247" s="101">
        <f t="shared" si="169"/>
        <v>0</v>
      </c>
      <c r="N247" s="100">
        <v>0</v>
      </c>
      <c r="O247" s="98">
        <v>0</v>
      </c>
      <c r="P247" s="101">
        <f t="shared" si="170"/>
        <v>0</v>
      </c>
      <c r="Q247" s="100">
        <v>0</v>
      </c>
      <c r="R247" s="98">
        <v>0</v>
      </c>
      <c r="S247" s="101">
        <f t="shared" si="171"/>
        <v>0</v>
      </c>
      <c r="T247" s="100">
        <v>0</v>
      </c>
      <c r="U247" s="98">
        <v>0</v>
      </c>
      <c r="V247" s="101">
        <f t="shared" si="173"/>
        <v>0</v>
      </c>
      <c r="W247" s="100">
        <v>0</v>
      </c>
      <c r="X247" s="98">
        <v>0</v>
      </c>
      <c r="Y247" s="147">
        <f t="shared" si="172"/>
        <v>0</v>
      </c>
      <c r="Z247" s="150"/>
    </row>
    <row r="248" spans="2:26" s="35" customFormat="1" ht="17.100000000000001" customHeight="1">
      <c r="B248" s="105"/>
      <c r="C248" s="54"/>
      <c r="D248" s="96"/>
      <c r="E248" s="111"/>
      <c r="F248" s="112"/>
      <c r="G248" s="113"/>
      <c r="H248" s="100">
        <v>0</v>
      </c>
      <c r="I248" s="98">
        <v>0</v>
      </c>
      <c r="J248" s="101">
        <f t="shared" si="168"/>
        <v>0</v>
      </c>
      <c r="K248" s="100">
        <v>0</v>
      </c>
      <c r="L248" s="98">
        <v>0</v>
      </c>
      <c r="M248" s="101">
        <f t="shared" si="169"/>
        <v>0</v>
      </c>
      <c r="N248" s="100">
        <v>0</v>
      </c>
      <c r="O248" s="98">
        <v>0</v>
      </c>
      <c r="P248" s="101">
        <f t="shared" si="170"/>
        <v>0</v>
      </c>
      <c r="Q248" s="100">
        <v>0</v>
      </c>
      <c r="R248" s="98">
        <v>0</v>
      </c>
      <c r="S248" s="101">
        <f t="shared" si="171"/>
        <v>0</v>
      </c>
      <c r="T248" s="100">
        <v>0</v>
      </c>
      <c r="U248" s="98">
        <v>0</v>
      </c>
      <c r="V248" s="101">
        <f t="shared" si="173"/>
        <v>0</v>
      </c>
      <c r="W248" s="100">
        <v>0</v>
      </c>
      <c r="X248" s="98">
        <v>0</v>
      </c>
      <c r="Y248" s="147">
        <f t="shared" si="172"/>
        <v>0</v>
      </c>
      <c r="Z248" s="150"/>
    </row>
    <row r="249" spans="2:26" s="35" customFormat="1" ht="17.100000000000001" customHeight="1">
      <c r="B249" s="105"/>
      <c r="C249" s="54"/>
      <c r="D249" s="96"/>
      <c r="E249" s="111"/>
      <c r="F249" s="112"/>
      <c r="G249" s="113"/>
      <c r="H249" s="100">
        <v>0</v>
      </c>
      <c r="I249" s="98">
        <v>0</v>
      </c>
      <c r="J249" s="101">
        <f t="shared" si="168"/>
        <v>0</v>
      </c>
      <c r="K249" s="100">
        <v>0</v>
      </c>
      <c r="L249" s="98">
        <v>0</v>
      </c>
      <c r="M249" s="101">
        <f t="shared" si="169"/>
        <v>0</v>
      </c>
      <c r="N249" s="100">
        <v>0</v>
      </c>
      <c r="O249" s="98">
        <v>0</v>
      </c>
      <c r="P249" s="101">
        <f t="shared" si="170"/>
        <v>0</v>
      </c>
      <c r="Q249" s="100">
        <v>0</v>
      </c>
      <c r="R249" s="98">
        <v>0</v>
      </c>
      <c r="S249" s="101">
        <f t="shared" si="171"/>
        <v>0</v>
      </c>
      <c r="T249" s="100">
        <v>0</v>
      </c>
      <c r="U249" s="98">
        <v>0</v>
      </c>
      <c r="V249" s="101">
        <f t="shared" si="173"/>
        <v>0</v>
      </c>
      <c r="W249" s="100">
        <v>0</v>
      </c>
      <c r="X249" s="98">
        <v>0</v>
      </c>
      <c r="Y249" s="147">
        <f t="shared" si="172"/>
        <v>0</v>
      </c>
      <c r="Z249" s="150"/>
    </row>
    <row r="250" spans="2:26" s="35" customFormat="1" ht="17.100000000000001" customHeight="1">
      <c r="B250" s="105"/>
      <c r="C250" s="54"/>
      <c r="D250" s="96"/>
      <c r="E250" s="111"/>
      <c r="F250" s="112"/>
      <c r="G250" s="113"/>
      <c r="H250" s="100">
        <v>0</v>
      </c>
      <c r="I250" s="98">
        <v>0</v>
      </c>
      <c r="J250" s="101">
        <f t="shared" si="168"/>
        <v>0</v>
      </c>
      <c r="K250" s="100">
        <v>0</v>
      </c>
      <c r="L250" s="98">
        <v>0</v>
      </c>
      <c r="M250" s="101">
        <f t="shared" si="169"/>
        <v>0</v>
      </c>
      <c r="N250" s="100">
        <v>0</v>
      </c>
      <c r="O250" s="98">
        <v>0</v>
      </c>
      <c r="P250" s="101">
        <f t="shared" si="170"/>
        <v>0</v>
      </c>
      <c r="Q250" s="100">
        <v>0</v>
      </c>
      <c r="R250" s="98">
        <v>0</v>
      </c>
      <c r="S250" s="101">
        <f t="shared" si="171"/>
        <v>0</v>
      </c>
      <c r="T250" s="100">
        <v>0</v>
      </c>
      <c r="U250" s="98">
        <v>0</v>
      </c>
      <c r="V250" s="101">
        <f t="shared" si="173"/>
        <v>0</v>
      </c>
      <c r="W250" s="100">
        <v>0</v>
      </c>
      <c r="X250" s="98">
        <v>0</v>
      </c>
      <c r="Y250" s="147">
        <f t="shared" si="172"/>
        <v>0</v>
      </c>
      <c r="Z250" s="150"/>
    </row>
    <row r="251" spans="2:26" s="35" customFormat="1" ht="17.100000000000001" customHeight="1">
      <c r="B251" s="105"/>
      <c r="C251" s="54"/>
      <c r="D251" s="96"/>
      <c r="E251" s="111"/>
      <c r="F251" s="112"/>
      <c r="G251" s="113"/>
      <c r="H251" s="100">
        <v>0</v>
      </c>
      <c r="I251" s="98">
        <v>0</v>
      </c>
      <c r="J251" s="101">
        <f t="shared" si="168"/>
        <v>0</v>
      </c>
      <c r="K251" s="100">
        <v>0</v>
      </c>
      <c r="L251" s="98">
        <v>0</v>
      </c>
      <c r="M251" s="101">
        <f t="shared" si="169"/>
        <v>0</v>
      </c>
      <c r="N251" s="100">
        <v>0</v>
      </c>
      <c r="O251" s="98">
        <v>0</v>
      </c>
      <c r="P251" s="101">
        <f t="shared" si="170"/>
        <v>0</v>
      </c>
      <c r="Q251" s="100">
        <v>0</v>
      </c>
      <c r="R251" s="98">
        <v>0</v>
      </c>
      <c r="S251" s="101">
        <f t="shared" si="171"/>
        <v>0</v>
      </c>
      <c r="T251" s="100">
        <v>0</v>
      </c>
      <c r="U251" s="98">
        <v>0</v>
      </c>
      <c r="V251" s="101">
        <f t="shared" si="173"/>
        <v>0</v>
      </c>
      <c r="W251" s="100">
        <v>0</v>
      </c>
      <c r="X251" s="98">
        <v>0</v>
      </c>
      <c r="Y251" s="147">
        <f t="shared" si="172"/>
        <v>0</v>
      </c>
      <c r="Z251" s="150"/>
    </row>
    <row r="252" spans="2:26" s="126" customFormat="1" ht="17.100000000000001" customHeight="1">
      <c r="B252" s="118"/>
      <c r="C252" s="119"/>
      <c r="D252" s="120"/>
      <c r="E252" s="121"/>
      <c r="F252" s="122"/>
      <c r="G252" s="123"/>
      <c r="H252" s="341" t="s">
        <v>201</v>
      </c>
      <c r="I252" s="342"/>
      <c r="J252" s="124">
        <f>SUM(J245:J251)</f>
        <v>300</v>
      </c>
      <c r="K252" s="341" t="s">
        <v>201</v>
      </c>
      <c r="L252" s="342"/>
      <c r="M252" s="124">
        <f>SUM(M245:M251)</f>
        <v>0</v>
      </c>
      <c r="N252" s="341" t="s">
        <v>201</v>
      </c>
      <c r="O252" s="342"/>
      <c r="P252" s="124">
        <f>SUM(P245:P251)</f>
        <v>0</v>
      </c>
      <c r="Q252" s="341" t="s">
        <v>201</v>
      </c>
      <c r="R252" s="342"/>
      <c r="S252" s="124">
        <f>SUM(S245:S251)</f>
        <v>0</v>
      </c>
      <c r="T252" s="341" t="s">
        <v>201</v>
      </c>
      <c r="U252" s="342"/>
      <c r="V252" s="124">
        <f>SUM(V245:V251)</f>
        <v>0</v>
      </c>
      <c r="W252" s="341" t="s">
        <v>201</v>
      </c>
      <c r="X252" s="342"/>
      <c r="Y252" s="127">
        <f>SUM(Y245:Y251)</f>
        <v>0</v>
      </c>
      <c r="Z252" s="151"/>
    </row>
    <row r="253" spans="2:26" s="35" customFormat="1" ht="17.100000000000001" customHeight="1">
      <c r="B253" s="105"/>
      <c r="C253" s="54">
        <f>'2. Rekap Back Up Beton'!C50</f>
        <v>8400</v>
      </c>
      <c r="D253" s="96">
        <f>'2. Rekap Back Up Beton'!D50</f>
        <v>8500</v>
      </c>
      <c r="E253" s="111">
        <f>'2. Rekap Back Up Beton'!E50</f>
        <v>5</v>
      </c>
      <c r="F253" s="112">
        <f>(100/((D253-C253)*E253))*((J260*0.5)+(M260*1)+(P260*2)+(S260*20)+(V260*15)+(Y260*1.5))</f>
        <v>30</v>
      </c>
      <c r="G253" s="113" t="str">
        <f>IF(F253&lt;=25,"B",IF(F253&lt;=75,"S",IF(F253&lt;=100,"RR","RB")))</f>
        <v>S</v>
      </c>
      <c r="H253" s="100">
        <v>100</v>
      </c>
      <c r="I253" s="98">
        <v>3</v>
      </c>
      <c r="J253" s="101">
        <f t="shared" ref="J253:J259" si="174">H253*I253</f>
        <v>300</v>
      </c>
      <c r="K253" s="100">
        <v>0</v>
      </c>
      <c r="L253" s="98">
        <v>0</v>
      </c>
      <c r="M253" s="101">
        <f t="shared" ref="M253:M259" si="175">K253*L253</f>
        <v>0</v>
      </c>
      <c r="N253" s="100">
        <v>0</v>
      </c>
      <c r="O253" s="98">
        <v>4</v>
      </c>
      <c r="P253" s="101">
        <f t="shared" ref="P253:P259" si="176">N253*O253</f>
        <v>0</v>
      </c>
      <c r="Q253" s="100">
        <v>0</v>
      </c>
      <c r="R253" s="98">
        <v>0</v>
      </c>
      <c r="S253" s="101">
        <f t="shared" ref="S253:S259" si="177">Q253*R253</f>
        <v>0</v>
      </c>
      <c r="T253" s="100">
        <v>0</v>
      </c>
      <c r="U253" s="98">
        <v>0</v>
      </c>
      <c r="V253" s="101">
        <f>T253*U253</f>
        <v>0</v>
      </c>
      <c r="W253" s="100">
        <v>0</v>
      </c>
      <c r="X253" s="98">
        <v>0</v>
      </c>
      <c r="Y253" s="147">
        <f t="shared" ref="Y253:Y259" si="178">W253*X253</f>
        <v>0</v>
      </c>
      <c r="Z253" s="150"/>
    </row>
    <row r="254" spans="2:26" s="35" customFormat="1" ht="17.100000000000001" customHeight="1">
      <c r="B254" s="105"/>
      <c r="C254" s="54"/>
      <c r="D254" s="96"/>
      <c r="E254" s="111"/>
      <c r="F254" s="112"/>
      <c r="G254" s="113"/>
      <c r="H254" s="100">
        <v>0</v>
      </c>
      <c r="I254" s="98">
        <v>0</v>
      </c>
      <c r="J254" s="101">
        <f t="shared" si="174"/>
        <v>0</v>
      </c>
      <c r="K254" s="100">
        <v>0</v>
      </c>
      <c r="L254" s="98">
        <v>0</v>
      </c>
      <c r="M254" s="101">
        <f t="shared" si="175"/>
        <v>0</v>
      </c>
      <c r="N254" s="100">
        <v>0</v>
      </c>
      <c r="O254" s="98">
        <v>0</v>
      </c>
      <c r="P254" s="101">
        <f t="shared" si="176"/>
        <v>0</v>
      </c>
      <c r="Q254" s="100">
        <v>0</v>
      </c>
      <c r="R254" s="98">
        <v>0</v>
      </c>
      <c r="S254" s="101">
        <f t="shared" si="177"/>
        <v>0</v>
      </c>
      <c r="T254" s="100">
        <v>0</v>
      </c>
      <c r="U254" s="98">
        <v>0</v>
      </c>
      <c r="V254" s="101">
        <f t="shared" ref="V254:V259" si="179">T254*U254</f>
        <v>0</v>
      </c>
      <c r="W254" s="100">
        <v>0</v>
      </c>
      <c r="X254" s="98">
        <v>0</v>
      </c>
      <c r="Y254" s="147">
        <f t="shared" si="178"/>
        <v>0</v>
      </c>
      <c r="Z254" s="150"/>
    </row>
    <row r="255" spans="2:26" s="35" customFormat="1" ht="17.100000000000001" customHeight="1">
      <c r="B255" s="105"/>
      <c r="C255" s="54"/>
      <c r="D255" s="96"/>
      <c r="E255" s="111"/>
      <c r="F255" s="112"/>
      <c r="G255" s="113"/>
      <c r="H255" s="100">
        <v>0</v>
      </c>
      <c r="I255" s="98">
        <v>0</v>
      </c>
      <c r="J255" s="101">
        <f t="shared" si="174"/>
        <v>0</v>
      </c>
      <c r="K255" s="100">
        <v>0</v>
      </c>
      <c r="L255" s="98">
        <v>0</v>
      </c>
      <c r="M255" s="101">
        <f t="shared" si="175"/>
        <v>0</v>
      </c>
      <c r="N255" s="100">
        <v>0</v>
      </c>
      <c r="O255" s="98">
        <v>0</v>
      </c>
      <c r="P255" s="101">
        <f t="shared" si="176"/>
        <v>0</v>
      </c>
      <c r="Q255" s="100">
        <v>0</v>
      </c>
      <c r="R255" s="98">
        <v>0</v>
      </c>
      <c r="S255" s="101">
        <f t="shared" si="177"/>
        <v>0</v>
      </c>
      <c r="T255" s="100">
        <v>0</v>
      </c>
      <c r="U255" s="98">
        <v>0</v>
      </c>
      <c r="V255" s="101">
        <f t="shared" si="179"/>
        <v>0</v>
      </c>
      <c r="W255" s="100">
        <v>0</v>
      </c>
      <c r="X255" s="98">
        <v>0</v>
      </c>
      <c r="Y255" s="147">
        <f t="shared" si="178"/>
        <v>0</v>
      </c>
      <c r="Z255" s="150"/>
    </row>
    <row r="256" spans="2:26" s="35" customFormat="1" ht="17.100000000000001" customHeight="1">
      <c r="B256" s="105"/>
      <c r="C256" s="54"/>
      <c r="D256" s="96"/>
      <c r="E256" s="111"/>
      <c r="F256" s="112"/>
      <c r="G256" s="113"/>
      <c r="H256" s="100">
        <v>0</v>
      </c>
      <c r="I256" s="98">
        <v>0</v>
      </c>
      <c r="J256" s="101">
        <f t="shared" si="174"/>
        <v>0</v>
      </c>
      <c r="K256" s="100">
        <v>0</v>
      </c>
      <c r="L256" s="98">
        <v>0</v>
      </c>
      <c r="M256" s="101">
        <f t="shared" si="175"/>
        <v>0</v>
      </c>
      <c r="N256" s="100">
        <v>0</v>
      </c>
      <c r="O256" s="98">
        <v>0</v>
      </c>
      <c r="P256" s="101">
        <f t="shared" si="176"/>
        <v>0</v>
      </c>
      <c r="Q256" s="100">
        <v>0</v>
      </c>
      <c r="R256" s="98">
        <v>0</v>
      </c>
      <c r="S256" s="101">
        <f t="shared" si="177"/>
        <v>0</v>
      </c>
      <c r="T256" s="100">
        <v>0</v>
      </c>
      <c r="U256" s="98">
        <v>0</v>
      </c>
      <c r="V256" s="101">
        <f t="shared" si="179"/>
        <v>0</v>
      </c>
      <c r="W256" s="100">
        <v>0</v>
      </c>
      <c r="X256" s="98">
        <v>0</v>
      </c>
      <c r="Y256" s="147">
        <f t="shared" si="178"/>
        <v>0</v>
      </c>
      <c r="Z256" s="150"/>
    </row>
    <row r="257" spans="2:26" s="35" customFormat="1" ht="17.100000000000001" customHeight="1">
      <c r="B257" s="105"/>
      <c r="C257" s="54"/>
      <c r="D257" s="96"/>
      <c r="E257" s="111"/>
      <c r="F257" s="112"/>
      <c r="G257" s="113"/>
      <c r="H257" s="100">
        <v>0</v>
      </c>
      <c r="I257" s="98">
        <v>0</v>
      </c>
      <c r="J257" s="101">
        <f t="shared" si="174"/>
        <v>0</v>
      </c>
      <c r="K257" s="100">
        <v>0</v>
      </c>
      <c r="L257" s="98">
        <v>0</v>
      </c>
      <c r="M257" s="101">
        <f t="shared" si="175"/>
        <v>0</v>
      </c>
      <c r="N257" s="100">
        <v>0</v>
      </c>
      <c r="O257" s="98">
        <v>0</v>
      </c>
      <c r="P257" s="101">
        <f t="shared" si="176"/>
        <v>0</v>
      </c>
      <c r="Q257" s="100">
        <v>0</v>
      </c>
      <c r="R257" s="98">
        <v>0</v>
      </c>
      <c r="S257" s="101">
        <f t="shared" si="177"/>
        <v>0</v>
      </c>
      <c r="T257" s="100">
        <v>0</v>
      </c>
      <c r="U257" s="98">
        <v>0</v>
      </c>
      <c r="V257" s="101">
        <f t="shared" si="179"/>
        <v>0</v>
      </c>
      <c r="W257" s="100">
        <v>0</v>
      </c>
      <c r="X257" s="98">
        <v>0</v>
      </c>
      <c r="Y257" s="147">
        <f t="shared" si="178"/>
        <v>0</v>
      </c>
      <c r="Z257" s="150"/>
    </row>
    <row r="258" spans="2:26" s="35" customFormat="1" ht="17.100000000000001" customHeight="1">
      <c r="B258" s="105"/>
      <c r="C258" s="54"/>
      <c r="D258" s="96"/>
      <c r="E258" s="111"/>
      <c r="F258" s="112"/>
      <c r="G258" s="113"/>
      <c r="H258" s="100">
        <v>0</v>
      </c>
      <c r="I258" s="98">
        <v>0</v>
      </c>
      <c r="J258" s="101">
        <f t="shared" si="174"/>
        <v>0</v>
      </c>
      <c r="K258" s="100">
        <v>0</v>
      </c>
      <c r="L258" s="98">
        <v>0</v>
      </c>
      <c r="M258" s="101">
        <f t="shared" si="175"/>
        <v>0</v>
      </c>
      <c r="N258" s="100">
        <v>0</v>
      </c>
      <c r="O258" s="98">
        <v>0</v>
      </c>
      <c r="P258" s="101">
        <f t="shared" si="176"/>
        <v>0</v>
      </c>
      <c r="Q258" s="100">
        <v>0</v>
      </c>
      <c r="R258" s="98">
        <v>0</v>
      </c>
      <c r="S258" s="101">
        <f t="shared" si="177"/>
        <v>0</v>
      </c>
      <c r="T258" s="100">
        <v>0</v>
      </c>
      <c r="U258" s="98">
        <v>0</v>
      </c>
      <c r="V258" s="101">
        <f t="shared" si="179"/>
        <v>0</v>
      </c>
      <c r="W258" s="100">
        <v>0</v>
      </c>
      <c r="X258" s="98">
        <v>0</v>
      </c>
      <c r="Y258" s="147">
        <f t="shared" si="178"/>
        <v>0</v>
      </c>
      <c r="Z258" s="150"/>
    </row>
    <row r="259" spans="2:26" s="35" customFormat="1" ht="17.100000000000001" customHeight="1">
      <c r="B259" s="105"/>
      <c r="C259" s="54"/>
      <c r="D259" s="96"/>
      <c r="E259" s="111"/>
      <c r="F259" s="112"/>
      <c r="G259" s="113"/>
      <c r="H259" s="100">
        <v>0</v>
      </c>
      <c r="I259" s="98">
        <v>0</v>
      </c>
      <c r="J259" s="101">
        <f t="shared" si="174"/>
        <v>0</v>
      </c>
      <c r="K259" s="100">
        <v>0</v>
      </c>
      <c r="L259" s="98">
        <v>0</v>
      </c>
      <c r="M259" s="101">
        <f t="shared" si="175"/>
        <v>0</v>
      </c>
      <c r="N259" s="100">
        <v>0</v>
      </c>
      <c r="O259" s="98">
        <v>0</v>
      </c>
      <c r="P259" s="101">
        <f t="shared" si="176"/>
        <v>0</v>
      </c>
      <c r="Q259" s="100">
        <v>0</v>
      </c>
      <c r="R259" s="98">
        <v>0</v>
      </c>
      <c r="S259" s="101">
        <f t="shared" si="177"/>
        <v>0</v>
      </c>
      <c r="T259" s="100">
        <v>0</v>
      </c>
      <c r="U259" s="98">
        <v>0</v>
      </c>
      <c r="V259" s="101">
        <f t="shared" si="179"/>
        <v>0</v>
      </c>
      <c r="W259" s="100">
        <v>0</v>
      </c>
      <c r="X259" s="98">
        <v>0</v>
      </c>
      <c r="Y259" s="147">
        <f t="shared" si="178"/>
        <v>0</v>
      </c>
      <c r="Z259" s="150"/>
    </row>
    <row r="260" spans="2:26" s="126" customFormat="1" ht="17.100000000000001" customHeight="1" thickBot="1">
      <c r="B260" s="128"/>
      <c r="C260" s="154"/>
      <c r="D260" s="155"/>
      <c r="E260" s="156"/>
      <c r="F260" s="129"/>
      <c r="G260" s="130"/>
      <c r="H260" s="344" t="s">
        <v>201</v>
      </c>
      <c r="I260" s="345"/>
      <c r="J260" s="131">
        <f>SUM(J253:J259)</f>
        <v>300</v>
      </c>
      <c r="K260" s="344" t="s">
        <v>201</v>
      </c>
      <c r="L260" s="345"/>
      <c r="M260" s="131">
        <f>SUM(M253:M259)</f>
        <v>0</v>
      </c>
      <c r="N260" s="344" t="s">
        <v>201</v>
      </c>
      <c r="O260" s="345"/>
      <c r="P260" s="131">
        <f>SUM(P253:P259)</f>
        <v>0</v>
      </c>
      <c r="Q260" s="344" t="s">
        <v>201</v>
      </c>
      <c r="R260" s="345"/>
      <c r="S260" s="131">
        <f>SUM(S253:S259)</f>
        <v>0</v>
      </c>
      <c r="T260" s="344" t="s">
        <v>201</v>
      </c>
      <c r="U260" s="345"/>
      <c r="V260" s="131">
        <f>SUM(V253:V259)</f>
        <v>0</v>
      </c>
      <c r="W260" s="344" t="s">
        <v>201</v>
      </c>
      <c r="X260" s="345"/>
      <c r="Y260" s="132">
        <f>SUM(Y253:Y259)</f>
        <v>0</v>
      </c>
      <c r="Z260" s="152"/>
    </row>
    <row r="261" spans="2:26" s="35" customFormat="1" ht="17.100000000000001" customHeight="1">
      <c r="B261" s="114"/>
      <c r="C261" s="157">
        <f>'2. Rekap Back Up Beton'!C51</f>
        <v>8500</v>
      </c>
      <c r="D261" s="158">
        <f>'2. Rekap Back Up Beton'!D51</f>
        <v>8600</v>
      </c>
      <c r="E261" s="159">
        <f>'2. Rekap Back Up Beton'!E51</f>
        <v>5</v>
      </c>
      <c r="F261" s="115">
        <f>(100/((D261-C261)*E261))*((J268*0.5)+(M268*1)+(P268*2)+(S268*20)+(V268*15)+(Y268*1.5))</f>
        <v>30</v>
      </c>
      <c r="G261" s="116" t="str">
        <f>IF(F261&lt;=25,"B",IF(F261&lt;=75,"S",IF(F261&lt;=100,"RR","RB")))</f>
        <v>S</v>
      </c>
      <c r="H261" s="135">
        <v>100</v>
      </c>
      <c r="I261" s="136">
        <v>3</v>
      </c>
      <c r="J261" s="137">
        <f t="shared" ref="J261:J267" si="180">H261*I261</f>
        <v>300</v>
      </c>
      <c r="K261" s="135">
        <v>0</v>
      </c>
      <c r="L261" s="136">
        <v>0</v>
      </c>
      <c r="M261" s="137">
        <f t="shared" ref="M261:M267" si="181">K261*L261</f>
        <v>0</v>
      </c>
      <c r="N261" s="135">
        <v>0</v>
      </c>
      <c r="O261" s="136">
        <v>4</v>
      </c>
      <c r="P261" s="137">
        <f t="shared" ref="P261:P267" si="182">N261*O261</f>
        <v>0</v>
      </c>
      <c r="Q261" s="135">
        <v>0</v>
      </c>
      <c r="R261" s="136">
        <v>0</v>
      </c>
      <c r="S261" s="137">
        <f t="shared" ref="S261:S267" si="183">Q261*R261</f>
        <v>0</v>
      </c>
      <c r="T261" s="135">
        <v>0</v>
      </c>
      <c r="U261" s="136">
        <v>0</v>
      </c>
      <c r="V261" s="137">
        <f>T261*U261</f>
        <v>0</v>
      </c>
      <c r="W261" s="135">
        <v>0</v>
      </c>
      <c r="X261" s="136">
        <v>0</v>
      </c>
      <c r="Y261" s="148">
        <f t="shared" ref="Y261:Y267" si="184">W261*X261</f>
        <v>0</v>
      </c>
      <c r="Z261" s="153"/>
    </row>
    <row r="262" spans="2:26" s="35" customFormat="1" ht="17.100000000000001" customHeight="1">
      <c r="B262" s="105"/>
      <c r="C262" s="54"/>
      <c r="D262" s="96"/>
      <c r="E262" s="111"/>
      <c r="F262" s="112"/>
      <c r="G262" s="113"/>
      <c r="H262" s="100">
        <v>0</v>
      </c>
      <c r="I262" s="98">
        <v>0</v>
      </c>
      <c r="J262" s="101">
        <f t="shared" si="180"/>
        <v>0</v>
      </c>
      <c r="K262" s="100">
        <v>0</v>
      </c>
      <c r="L262" s="98">
        <v>0</v>
      </c>
      <c r="M262" s="101">
        <f t="shared" si="181"/>
        <v>0</v>
      </c>
      <c r="N262" s="100">
        <v>0</v>
      </c>
      <c r="O262" s="98">
        <v>0</v>
      </c>
      <c r="P262" s="101">
        <f t="shared" si="182"/>
        <v>0</v>
      </c>
      <c r="Q262" s="100">
        <v>0</v>
      </c>
      <c r="R262" s="98">
        <v>0</v>
      </c>
      <c r="S262" s="101">
        <f t="shared" si="183"/>
        <v>0</v>
      </c>
      <c r="T262" s="100">
        <v>0</v>
      </c>
      <c r="U262" s="98">
        <v>0</v>
      </c>
      <c r="V262" s="101">
        <f t="shared" ref="V262:V267" si="185">T262*U262</f>
        <v>0</v>
      </c>
      <c r="W262" s="100">
        <v>0</v>
      </c>
      <c r="X262" s="98">
        <v>0</v>
      </c>
      <c r="Y262" s="147">
        <f t="shared" si="184"/>
        <v>0</v>
      </c>
      <c r="Z262" s="150"/>
    </row>
    <row r="263" spans="2:26" s="35" customFormat="1" ht="17.100000000000001" customHeight="1">
      <c r="B263" s="105"/>
      <c r="C263" s="54"/>
      <c r="D263" s="96"/>
      <c r="E263" s="111"/>
      <c r="F263" s="112"/>
      <c r="G263" s="113"/>
      <c r="H263" s="100">
        <v>0</v>
      </c>
      <c r="I263" s="98">
        <v>0</v>
      </c>
      <c r="J263" s="101">
        <f t="shared" si="180"/>
        <v>0</v>
      </c>
      <c r="K263" s="100">
        <v>0</v>
      </c>
      <c r="L263" s="98">
        <v>0</v>
      </c>
      <c r="M263" s="101">
        <f t="shared" si="181"/>
        <v>0</v>
      </c>
      <c r="N263" s="100">
        <v>0</v>
      </c>
      <c r="O263" s="98">
        <v>0</v>
      </c>
      <c r="P263" s="101">
        <f t="shared" si="182"/>
        <v>0</v>
      </c>
      <c r="Q263" s="100">
        <v>0</v>
      </c>
      <c r="R263" s="98">
        <v>0</v>
      </c>
      <c r="S263" s="101">
        <f t="shared" si="183"/>
        <v>0</v>
      </c>
      <c r="T263" s="100">
        <v>0</v>
      </c>
      <c r="U263" s="98">
        <v>0</v>
      </c>
      <c r="V263" s="101">
        <f t="shared" si="185"/>
        <v>0</v>
      </c>
      <c r="W263" s="100">
        <v>0</v>
      </c>
      <c r="X263" s="98">
        <v>0</v>
      </c>
      <c r="Y263" s="147">
        <f t="shared" si="184"/>
        <v>0</v>
      </c>
      <c r="Z263" s="150"/>
    </row>
    <row r="264" spans="2:26" s="35" customFormat="1" ht="17.100000000000001" customHeight="1">
      <c r="B264" s="105"/>
      <c r="C264" s="54"/>
      <c r="D264" s="96"/>
      <c r="E264" s="111"/>
      <c r="F264" s="112"/>
      <c r="G264" s="113"/>
      <c r="H264" s="100">
        <v>0</v>
      </c>
      <c r="I264" s="98">
        <v>0</v>
      </c>
      <c r="J264" s="101">
        <f t="shared" si="180"/>
        <v>0</v>
      </c>
      <c r="K264" s="100">
        <v>0</v>
      </c>
      <c r="L264" s="98">
        <v>0</v>
      </c>
      <c r="M264" s="101">
        <f t="shared" si="181"/>
        <v>0</v>
      </c>
      <c r="N264" s="100">
        <v>0</v>
      </c>
      <c r="O264" s="98">
        <v>0</v>
      </c>
      <c r="P264" s="101">
        <f t="shared" si="182"/>
        <v>0</v>
      </c>
      <c r="Q264" s="100">
        <v>0</v>
      </c>
      <c r="R264" s="98">
        <v>0</v>
      </c>
      <c r="S264" s="101">
        <f t="shared" si="183"/>
        <v>0</v>
      </c>
      <c r="T264" s="100">
        <v>0</v>
      </c>
      <c r="U264" s="98">
        <v>0</v>
      </c>
      <c r="V264" s="101">
        <f t="shared" si="185"/>
        <v>0</v>
      </c>
      <c r="W264" s="100">
        <v>0</v>
      </c>
      <c r="X264" s="98">
        <v>0</v>
      </c>
      <c r="Y264" s="147">
        <f t="shared" si="184"/>
        <v>0</v>
      </c>
      <c r="Z264" s="150"/>
    </row>
    <row r="265" spans="2:26" s="35" customFormat="1" ht="17.100000000000001" customHeight="1">
      <c r="B265" s="105"/>
      <c r="C265" s="54"/>
      <c r="D265" s="96"/>
      <c r="E265" s="111"/>
      <c r="F265" s="112"/>
      <c r="G265" s="113"/>
      <c r="H265" s="100">
        <v>0</v>
      </c>
      <c r="I265" s="98">
        <v>0</v>
      </c>
      <c r="J265" s="101">
        <f t="shared" si="180"/>
        <v>0</v>
      </c>
      <c r="K265" s="100">
        <v>0</v>
      </c>
      <c r="L265" s="98">
        <v>0</v>
      </c>
      <c r="M265" s="101">
        <f t="shared" si="181"/>
        <v>0</v>
      </c>
      <c r="N265" s="100">
        <v>0</v>
      </c>
      <c r="O265" s="98">
        <v>0</v>
      </c>
      <c r="P265" s="101">
        <f t="shared" si="182"/>
        <v>0</v>
      </c>
      <c r="Q265" s="100">
        <v>0</v>
      </c>
      <c r="R265" s="98">
        <v>0</v>
      </c>
      <c r="S265" s="101">
        <f t="shared" si="183"/>
        <v>0</v>
      </c>
      <c r="T265" s="100">
        <v>0</v>
      </c>
      <c r="U265" s="98">
        <v>0</v>
      </c>
      <c r="V265" s="101">
        <f t="shared" si="185"/>
        <v>0</v>
      </c>
      <c r="W265" s="100">
        <v>0</v>
      </c>
      <c r="X265" s="98">
        <v>0</v>
      </c>
      <c r="Y265" s="147">
        <f t="shared" si="184"/>
        <v>0</v>
      </c>
      <c r="Z265" s="150"/>
    </row>
    <row r="266" spans="2:26" s="35" customFormat="1" ht="17.100000000000001" customHeight="1">
      <c r="B266" s="105"/>
      <c r="C266" s="54"/>
      <c r="D266" s="96"/>
      <c r="E266" s="111"/>
      <c r="F266" s="112"/>
      <c r="G266" s="113"/>
      <c r="H266" s="100">
        <v>0</v>
      </c>
      <c r="I266" s="98">
        <v>0</v>
      </c>
      <c r="J266" s="101">
        <f t="shared" si="180"/>
        <v>0</v>
      </c>
      <c r="K266" s="100">
        <v>0</v>
      </c>
      <c r="L266" s="98">
        <v>0</v>
      </c>
      <c r="M266" s="101">
        <f t="shared" si="181"/>
        <v>0</v>
      </c>
      <c r="N266" s="100">
        <v>0</v>
      </c>
      <c r="O266" s="98">
        <v>0</v>
      </c>
      <c r="P266" s="101">
        <f t="shared" si="182"/>
        <v>0</v>
      </c>
      <c r="Q266" s="100">
        <v>0</v>
      </c>
      <c r="R266" s="98">
        <v>0</v>
      </c>
      <c r="S266" s="101">
        <f t="shared" si="183"/>
        <v>0</v>
      </c>
      <c r="T266" s="100">
        <v>0</v>
      </c>
      <c r="U266" s="98">
        <v>0</v>
      </c>
      <c r="V266" s="101">
        <f t="shared" si="185"/>
        <v>0</v>
      </c>
      <c r="W266" s="100">
        <v>0</v>
      </c>
      <c r="X266" s="98">
        <v>0</v>
      </c>
      <c r="Y266" s="147">
        <f t="shared" si="184"/>
        <v>0</v>
      </c>
      <c r="Z266" s="150"/>
    </row>
    <row r="267" spans="2:26" s="35" customFormat="1" ht="17.100000000000001" customHeight="1">
      <c r="B267" s="105"/>
      <c r="C267" s="54"/>
      <c r="D267" s="96"/>
      <c r="E267" s="111"/>
      <c r="F267" s="112"/>
      <c r="G267" s="113"/>
      <c r="H267" s="100">
        <v>0</v>
      </c>
      <c r="I267" s="98">
        <v>0</v>
      </c>
      <c r="J267" s="101">
        <f t="shared" si="180"/>
        <v>0</v>
      </c>
      <c r="K267" s="100">
        <v>0</v>
      </c>
      <c r="L267" s="98">
        <v>0</v>
      </c>
      <c r="M267" s="101">
        <f t="shared" si="181"/>
        <v>0</v>
      </c>
      <c r="N267" s="100">
        <v>0</v>
      </c>
      <c r="O267" s="98">
        <v>0</v>
      </c>
      <c r="P267" s="101">
        <f t="shared" si="182"/>
        <v>0</v>
      </c>
      <c r="Q267" s="100">
        <v>0</v>
      </c>
      <c r="R267" s="98">
        <v>0</v>
      </c>
      <c r="S267" s="101">
        <f t="shared" si="183"/>
        <v>0</v>
      </c>
      <c r="T267" s="100">
        <v>0</v>
      </c>
      <c r="U267" s="98">
        <v>0</v>
      </c>
      <c r="V267" s="101">
        <f t="shared" si="185"/>
        <v>0</v>
      </c>
      <c r="W267" s="100">
        <v>0</v>
      </c>
      <c r="X267" s="98">
        <v>0</v>
      </c>
      <c r="Y267" s="147">
        <f t="shared" si="184"/>
        <v>0</v>
      </c>
      <c r="Z267" s="150"/>
    </row>
    <row r="268" spans="2:26" s="126" customFormat="1" ht="17.100000000000001" customHeight="1">
      <c r="B268" s="118"/>
      <c r="C268" s="119"/>
      <c r="D268" s="120"/>
      <c r="E268" s="121"/>
      <c r="F268" s="122"/>
      <c r="G268" s="123"/>
      <c r="H268" s="341" t="s">
        <v>201</v>
      </c>
      <c r="I268" s="342"/>
      <c r="J268" s="124">
        <f>SUM(J261:J267)</f>
        <v>300</v>
      </c>
      <c r="K268" s="341" t="s">
        <v>201</v>
      </c>
      <c r="L268" s="342"/>
      <c r="M268" s="124">
        <f>SUM(M261:M267)</f>
        <v>0</v>
      </c>
      <c r="N268" s="341" t="s">
        <v>201</v>
      </c>
      <c r="O268" s="342"/>
      <c r="P268" s="124">
        <f>SUM(P261:P267)</f>
        <v>0</v>
      </c>
      <c r="Q268" s="341" t="s">
        <v>201</v>
      </c>
      <c r="R268" s="342"/>
      <c r="S268" s="124">
        <f>SUM(S261:S267)</f>
        <v>0</v>
      </c>
      <c r="T268" s="341" t="s">
        <v>201</v>
      </c>
      <c r="U268" s="342"/>
      <c r="V268" s="124">
        <f>SUM(V261:V267)</f>
        <v>0</v>
      </c>
      <c r="W268" s="341" t="s">
        <v>201</v>
      </c>
      <c r="X268" s="342"/>
      <c r="Y268" s="127">
        <f>SUM(Y261:Y267)</f>
        <v>0</v>
      </c>
      <c r="Z268" s="151"/>
    </row>
    <row r="269" spans="2:26" s="35" customFormat="1" ht="17.100000000000001" customHeight="1">
      <c r="B269" s="105"/>
      <c r="C269" s="54">
        <f>'2. Rekap Back Up Beton'!C52</f>
        <v>8600</v>
      </c>
      <c r="D269" s="96">
        <f>'2. Rekap Back Up Beton'!D52</f>
        <v>8700</v>
      </c>
      <c r="E269" s="111">
        <f>'2. Rekap Back Up Beton'!E52</f>
        <v>5</v>
      </c>
      <c r="F269" s="112">
        <f>(100/((D269-C269)*E269))*((J276*0.5)+(M276*1)+(P276*2)+(S276*20)+(V276*15)+(Y276*1.5))</f>
        <v>30</v>
      </c>
      <c r="G269" s="113" t="str">
        <f>IF(F269&lt;=25,"B",IF(F269&lt;=75,"S",IF(F269&lt;=100,"RR","RB")))</f>
        <v>S</v>
      </c>
      <c r="H269" s="100">
        <v>100</v>
      </c>
      <c r="I269" s="98">
        <v>3</v>
      </c>
      <c r="J269" s="101">
        <f t="shared" ref="J269:J275" si="186">H269*I269</f>
        <v>300</v>
      </c>
      <c r="K269" s="100">
        <v>0</v>
      </c>
      <c r="L269" s="98">
        <v>0</v>
      </c>
      <c r="M269" s="101">
        <f t="shared" ref="M269:M275" si="187">K269*L269</f>
        <v>0</v>
      </c>
      <c r="N269" s="100">
        <v>0</v>
      </c>
      <c r="O269" s="98">
        <v>4</v>
      </c>
      <c r="P269" s="101">
        <f t="shared" ref="P269:P275" si="188">N269*O269</f>
        <v>0</v>
      </c>
      <c r="Q269" s="100">
        <v>0</v>
      </c>
      <c r="R269" s="98">
        <v>0</v>
      </c>
      <c r="S269" s="101">
        <f t="shared" ref="S269:S275" si="189">Q269*R269</f>
        <v>0</v>
      </c>
      <c r="T269" s="100">
        <v>0</v>
      </c>
      <c r="U269" s="98">
        <v>0</v>
      </c>
      <c r="V269" s="101">
        <f>T269*U269</f>
        <v>0</v>
      </c>
      <c r="W269" s="100">
        <v>0</v>
      </c>
      <c r="X269" s="98">
        <v>0</v>
      </c>
      <c r="Y269" s="147">
        <f t="shared" ref="Y269:Y275" si="190">W269*X269</f>
        <v>0</v>
      </c>
      <c r="Z269" s="150"/>
    </row>
    <row r="270" spans="2:26" s="35" customFormat="1" ht="17.100000000000001" customHeight="1">
      <c r="B270" s="105"/>
      <c r="C270" s="54"/>
      <c r="D270" s="96"/>
      <c r="E270" s="111"/>
      <c r="F270" s="112"/>
      <c r="G270" s="113"/>
      <c r="H270" s="100">
        <v>0</v>
      </c>
      <c r="I270" s="98">
        <v>0</v>
      </c>
      <c r="J270" s="101">
        <f t="shared" si="186"/>
        <v>0</v>
      </c>
      <c r="K270" s="100">
        <v>0</v>
      </c>
      <c r="L270" s="98">
        <v>0</v>
      </c>
      <c r="M270" s="101">
        <f t="shared" si="187"/>
        <v>0</v>
      </c>
      <c r="N270" s="100">
        <v>0</v>
      </c>
      <c r="O270" s="98">
        <v>0</v>
      </c>
      <c r="P270" s="101">
        <f t="shared" si="188"/>
        <v>0</v>
      </c>
      <c r="Q270" s="100">
        <v>0</v>
      </c>
      <c r="R270" s="98">
        <v>0</v>
      </c>
      <c r="S270" s="101">
        <f t="shared" si="189"/>
        <v>0</v>
      </c>
      <c r="T270" s="100">
        <v>0</v>
      </c>
      <c r="U270" s="98">
        <v>0</v>
      </c>
      <c r="V270" s="101">
        <f t="shared" ref="V270:V275" si="191">T270*U270</f>
        <v>0</v>
      </c>
      <c r="W270" s="100">
        <v>0</v>
      </c>
      <c r="X270" s="98">
        <v>0</v>
      </c>
      <c r="Y270" s="147">
        <f t="shared" si="190"/>
        <v>0</v>
      </c>
      <c r="Z270" s="150"/>
    </row>
    <row r="271" spans="2:26" s="35" customFormat="1" ht="17.100000000000001" customHeight="1">
      <c r="B271" s="105"/>
      <c r="C271" s="54"/>
      <c r="D271" s="96"/>
      <c r="E271" s="111"/>
      <c r="F271" s="112"/>
      <c r="G271" s="113"/>
      <c r="H271" s="100">
        <v>0</v>
      </c>
      <c r="I271" s="98">
        <v>0</v>
      </c>
      <c r="J271" s="101">
        <f t="shared" si="186"/>
        <v>0</v>
      </c>
      <c r="K271" s="100">
        <v>0</v>
      </c>
      <c r="L271" s="98">
        <v>0</v>
      </c>
      <c r="M271" s="101">
        <f t="shared" si="187"/>
        <v>0</v>
      </c>
      <c r="N271" s="100">
        <v>0</v>
      </c>
      <c r="O271" s="98">
        <v>0</v>
      </c>
      <c r="P271" s="101">
        <f t="shared" si="188"/>
        <v>0</v>
      </c>
      <c r="Q271" s="100">
        <v>0</v>
      </c>
      <c r="R271" s="98">
        <v>0</v>
      </c>
      <c r="S271" s="101">
        <f t="shared" si="189"/>
        <v>0</v>
      </c>
      <c r="T271" s="100">
        <v>0</v>
      </c>
      <c r="U271" s="98">
        <v>0</v>
      </c>
      <c r="V271" s="101">
        <f t="shared" si="191"/>
        <v>0</v>
      </c>
      <c r="W271" s="100">
        <v>0</v>
      </c>
      <c r="X271" s="98">
        <v>0</v>
      </c>
      <c r="Y271" s="147">
        <f t="shared" si="190"/>
        <v>0</v>
      </c>
      <c r="Z271" s="150"/>
    </row>
    <row r="272" spans="2:26" s="35" customFormat="1" ht="17.100000000000001" customHeight="1">
      <c r="B272" s="105"/>
      <c r="C272" s="54"/>
      <c r="D272" s="96"/>
      <c r="E272" s="111"/>
      <c r="F272" s="112"/>
      <c r="G272" s="113"/>
      <c r="H272" s="100">
        <v>0</v>
      </c>
      <c r="I272" s="98">
        <v>0</v>
      </c>
      <c r="J272" s="101">
        <f t="shared" si="186"/>
        <v>0</v>
      </c>
      <c r="K272" s="100">
        <v>0</v>
      </c>
      <c r="L272" s="98">
        <v>0</v>
      </c>
      <c r="M272" s="101">
        <f t="shared" si="187"/>
        <v>0</v>
      </c>
      <c r="N272" s="100">
        <v>0</v>
      </c>
      <c r="O272" s="98">
        <v>0</v>
      </c>
      <c r="P272" s="101">
        <f t="shared" si="188"/>
        <v>0</v>
      </c>
      <c r="Q272" s="100">
        <v>0</v>
      </c>
      <c r="R272" s="98">
        <v>0</v>
      </c>
      <c r="S272" s="101">
        <f t="shared" si="189"/>
        <v>0</v>
      </c>
      <c r="T272" s="100">
        <v>0</v>
      </c>
      <c r="U272" s="98">
        <v>0</v>
      </c>
      <c r="V272" s="101">
        <f t="shared" si="191"/>
        <v>0</v>
      </c>
      <c r="W272" s="100">
        <v>0</v>
      </c>
      <c r="X272" s="98">
        <v>0</v>
      </c>
      <c r="Y272" s="147">
        <f t="shared" si="190"/>
        <v>0</v>
      </c>
      <c r="Z272" s="150"/>
    </row>
    <row r="273" spans="2:26" s="35" customFormat="1" ht="17.100000000000001" customHeight="1">
      <c r="B273" s="105"/>
      <c r="C273" s="54"/>
      <c r="D273" s="96"/>
      <c r="E273" s="111"/>
      <c r="F273" s="112"/>
      <c r="G273" s="113"/>
      <c r="H273" s="100">
        <v>0</v>
      </c>
      <c r="I273" s="98">
        <v>0</v>
      </c>
      <c r="J273" s="101">
        <f t="shared" si="186"/>
        <v>0</v>
      </c>
      <c r="K273" s="100">
        <v>0</v>
      </c>
      <c r="L273" s="98">
        <v>0</v>
      </c>
      <c r="M273" s="101">
        <f t="shared" si="187"/>
        <v>0</v>
      </c>
      <c r="N273" s="100">
        <v>0</v>
      </c>
      <c r="O273" s="98">
        <v>0</v>
      </c>
      <c r="P273" s="101">
        <f t="shared" si="188"/>
        <v>0</v>
      </c>
      <c r="Q273" s="100">
        <v>0</v>
      </c>
      <c r="R273" s="98">
        <v>0</v>
      </c>
      <c r="S273" s="101">
        <f t="shared" si="189"/>
        <v>0</v>
      </c>
      <c r="T273" s="100">
        <v>0</v>
      </c>
      <c r="U273" s="98">
        <v>0</v>
      </c>
      <c r="V273" s="101">
        <f t="shared" si="191"/>
        <v>0</v>
      </c>
      <c r="W273" s="100">
        <v>0</v>
      </c>
      <c r="X273" s="98">
        <v>0</v>
      </c>
      <c r="Y273" s="147">
        <f t="shared" si="190"/>
        <v>0</v>
      </c>
      <c r="Z273" s="150"/>
    </row>
    <row r="274" spans="2:26" s="35" customFormat="1" ht="17.100000000000001" customHeight="1">
      <c r="B274" s="105"/>
      <c r="C274" s="54"/>
      <c r="D274" s="96"/>
      <c r="E274" s="111"/>
      <c r="F274" s="112"/>
      <c r="G274" s="113"/>
      <c r="H274" s="100">
        <v>0</v>
      </c>
      <c r="I274" s="98">
        <v>0</v>
      </c>
      <c r="J274" s="101">
        <f t="shared" si="186"/>
        <v>0</v>
      </c>
      <c r="K274" s="100">
        <v>0</v>
      </c>
      <c r="L274" s="98">
        <v>0</v>
      </c>
      <c r="M274" s="101">
        <f t="shared" si="187"/>
        <v>0</v>
      </c>
      <c r="N274" s="100">
        <v>0</v>
      </c>
      <c r="O274" s="98">
        <v>0</v>
      </c>
      <c r="P274" s="101">
        <f t="shared" si="188"/>
        <v>0</v>
      </c>
      <c r="Q274" s="100">
        <v>0</v>
      </c>
      <c r="R274" s="98">
        <v>0</v>
      </c>
      <c r="S274" s="101">
        <f t="shared" si="189"/>
        <v>0</v>
      </c>
      <c r="T274" s="100">
        <v>0</v>
      </c>
      <c r="U274" s="98">
        <v>0</v>
      </c>
      <c r="V274" s="101">
        <f t="shared" si="191"/>
        <v>0</v>
      </c>
      <c r="W274" s="100">
        <v>0</v>
      </c>
      <c r="X274" s="98">
        <v>0</v>
      </c>
      <c r="Y274" s="147">
        <f t="shared" si="190"/>
        <v>0</v>
      </c>
      <c r="Z274" s="150"/>
    </row>
    <row r="275" spans="2:26" s="35" customFormat="1" ht="17.100000000000001" customHeight="1">
      <c r="B275" s="105"/>
      <c r="C275" s="54"/>
      <c r="D275" s="96"/>
      <c r="E275" s="111"/>
      <c r="F275" s="112"/>
      <c r="G275" s="113"/>
      <c r="H275" s="100">
        <v>0</v>
      </c>
      <c r="I275" s="98">
        <v>0</v>
      </c>
      <c r="J275" s="101">
        <f t="shared" si="186"/>
        <v>0</v>
      </c>
      <c r="K275" s="100">
        <v>0</v>
      </c>
      <c r="L275" s="98">
        <v>0</v>
      </c>
      <c r="M275" s="101">
        <f t="shared" si="187"/>
        <v>0</v>
      </c>
      <c r="N275" s="100">
        <v>0</v>
      </c>
      <c r="O275" s="98">
        <v>0</v>
      </c>
      <c r="P275" s="101">
        <f t="shared" si="188"/>
        <v>0</v>
      </c>
      <c r="Q275" s="100">
        <v>0</v>
      </c>
      <c r="R275" s="98">
        <v>0</v>
      </c>
      <c r="S275" s="101">
        <f t="shared" si="189"/>
        <v>0</v>
      </c>
      <c r="T275" s="100">
        <v>0</v>
      </c>
      <c r="U275" s="98">
        <v>0</v>
      </c>
      <c r="V275" s="101">
        <f t="shared" si="191"/>
        <v>0</v>
      </c>
      <c r="W275" s="100">
        <v>0</v>
      </c>
      <c r="X275" s="98">
        <v>0</v>
      </c>
      <c r="Y275" s="147">
        <f t="shared" si="190"/>
        <v>0</v>
      </c>
      <c r="Z275" s="150"/>
    </row>
    <row r="276" spans="2:26" s="126" customFormat="1" ht="17.100000000000001" customHeight="1">
      <c r="B276" s="118"/>
      <c r="C276" s="119"/>
      <c r="D276" s="120"/>
      <c r="E276" s="121"/>
      <c r="F276" s="122"/>
      <c r="G276" s="123"/>
      <c r="H276" s="341" t="s">
        <v>201</v>
      </c>
      <c r="I276" s="342"/>
      <c r="J276" s="124">
        <f>SUM(J269:J275)</f>
        <v>300</v>
      </c>
      <c r="K276" s="341" t="s">
        <v>201</v>
      </c>
      <c r="L276" s="342"/>
      <c r="M276" s="124">
        <f>SUM(M269:M275)</f>
        <v>0</v>
      </c>
      <c r="N276" s="341" t="s">
        <v>201</v>
      </c>
      <c r="O276" s="342"/>
      <c r="P276" s="124">
        <f>SUM(P269:P275)</f>
        <v>0</v>
      </c>
      <c r="Q276" s="341" t="s">
        <v>201</v>
      </c>
      <c r="R276" s="342"/>
      <c r="S276" s="124">
        <f>SUM(S269:S275)</f>
        <v>0</v>
      </c>
      <c r="T276" s="341" t="s">
        <v>201</v>
      </c>
      <c r="U276" s="342"/>
      <c r="V276" s="124">
        <f>SUM(V269:V275)</f>
        <v>0</v>
      </c>
      <c r="W276" s="341" t="s">
        <v>201</v>
      </c>
      <c r="X276" s="342"/>
      <c r="Y276" s="127">
        <f>SUM(Y269:Y275)</f>
        <v>0</v>
      </c>
      <c r="Z276" s="151"/>
    </row>
    <row r="277" spans="2:26" s="35" customFormat="1" ht="17.100000000000001" customHeight="1">
      <c r="B277" s="105"/>
      <c r="C277" s="54">
        <f>'2. Rekap Back Up Beton'!C53</f>
        <v>8700</v>
      </c>
      <c r="D277" s="96">
        <f>'2. Rekap Back Up Beton'!D53</f>
        <v>8800</v>
      </c>
      <c r="E277" s="111">
        <f>'2. Rekap Back Up Beton'!E53</f>
        <v>5</v>
      </c>
      <c r="F277" s="112">
        <f>(100/((D277-C277)*E277))*((J284*0.5)+(M284*1)+(P284*2)+(S284*20)+(V284*15)+(Y284*1.5))</f>
        <v>30</v>
      </c>
      <c r="G277" s="113" t="str">
        <f>IF(F277&lt;=25,"B",IF(F277&lt;=75,"S",IF(F277&lt;=100,"RR","RB")))</f>
        <v>S</v>
      </c>
      <c r="H277" s="100">
        <v>100</v>
      </c>
      <c r="I277" s="98">
        <v>3</v>
      </c>
      <c r="J277" s="101">
        <f t="shared" ref="J277:J283" si="192">H277*I277</f>
        <v>300</v>
      </c>
      <c r="K277" s="100">
        <v>0</v>
      </c>
      <c r="L277" s="98">
        <v>0</v>
      </c>
      <c r="M277" s="101">
        <f t="shared" ref="M277:M283" si="193">K277*L277</f>
        <v>0</v>
      </c>
      <c r="N277" s="100">
        <v>0</v>
      </c>
      <c r="O277" s="98">
        <v>4</v>
      </c>
      <c r="P277" s="101">
        <f t="shared" ref="P277:P283" si="194">N277*O277</f>
        <v>0</v>
      </c>
      <c r="Q277" s="100">
        <v>0</v>
      </c>
      <c r="R277" s="98">
        <v>0</v>
      </c>
      <c r="S277" s="101">
        <f t="shared" ref="S277:S283" si="195">Q277*R277</f>
        <v>0</v>
      </c>
      <c r="T277" s="100">
        <v>0</v>
      </c>
      <c r="U277" s="98">
        <v>0</v>
      </c>
      <c r="V277" s="101">
        <f>T277*U277</f>
        <v>0</v>
      </c>
      <c r="W277" s="100">
        <v>0</v>
      </c>
      <c r="X277" s="98">
        <v>0</v>
      </c>
      <c r="Y277" s="147">
        <f t="shared" ref="Y277:Y283" si="196">W277*X277</f>
        <v>0</v>
      </c>
      <c r="Z277" s="150"/>
    </row>
    <row r="278" spans="2:26" s="35" customFormat="1" ht="17.100000000000001" customHeight="1">
      <c r="B278" s="105"/>
      <c r="C278" s="54"/>
      <c r="D278" s="96"/>
      <c r="E278" s="111"/>
      <c r="F278" s="112"/>
      <c r="G278" s="113"/>
      <c r="H278" s="100">
        <v>0</v>
      </c>
      <c r="I278" s="98">
        <v>0</v>
      </c>
      <c r="J278" s="101">
        <f t="shared" si="192"/>
        <v>0</v>
      </c>
      <c r="K278" s="100">
        <v>0</v>
      </c>
      <c r="L278" s="98">
        <v>0</v>
      </c>
      <c r="M278" s="101">
        <f t="shared" si="193"/>
        <v>0</v>
      </c>
      <c r="N278" s="100">
        <v>0</v>
      </c>
      <c r="O278" s="98">
        <v>0</v>
      </c>
      <c r="P278" s="101">
        <f t="shared" si="194"/>
        <v>0</v>
      </c>
      <c r="Q278" s="100">
        <v>0</v>
      </c>
      <c r="R278" s="98">
        <v>0</v>
      </c>
      <c r="S278" s="101">
        <f t="shared" si="195"/>
        <v>0</v>
      </c>
      <c r="T278" s="100">
        <v>0</v>
      </c>
      <c r="U278" s="98">
        <v>0</v>
      </c>
      <c r="V278" s="101">
        <f t="shared" ref="V278:V283" si="197">T278*U278</f>
        <v>0</v>
      </c>
      <c r="W278" s="100">
        <v>0</v>
      </c>
      <c r="X278" s="98">
        <v>0</v>
      </c>
      <c r="Y278" s="147">
        <f t="shared" si="196"/>
        <v>0</v>
      </c>
      <c r="Z278" s="150"/>
    </row>
    <row r="279" spans="2:26" s="35" customFormat="1" ht="17.100000000000001" customHeight="1">
      <c r="B279" s="105"/>
      <c r="C279" s="54"/>
      <c r="D279" s="96"/>
      <c r="E279" s="111"/>
      <c r="F279" s="112"/>
      <c r="G279" s="113"/>
      <c r="H279" s="100">
        <v>0</v>
      </c>
      <c r="I279" s="98">
        <v>0</v>
      </c>
      <c r="J279" s="101">
        <f t="shared" si="192"/>
        <v>0</v>
      </c>
      <c r="K279" s="100">
        <v>0</v>
      </c>
      <c r="L279" s="98">
        <v>0</v>
      </c>
      <c r="M279" s="101">
        <f t="shared" si="193"/>
        <v>0</v>
      </c>
      <c r="N279" s="100">
        <v>0</v>
      </c>
      <c r="O279" s="98">
        <v>0</v>
      </c>
      <c r="P279" s="101">
        <f t="shared" si="194"/>
        <v>0</v>
      </c>
      <c r="Q279" s="100">
        <v>0</v>
      </c>
      <c r="R279" s="98">
        <v>0</v>
      </c>
      <c r="S279" s="101">
        <f t="shared" si="195"/>
        <v>0</v>
      </c>
      <c r="T279" s="100">
        <v>0</v>
      </c>
      <c r="U279" s="98">
        <v>0</v>
      </c>
      <c r="V279" s="101">
        <f t="shared" si="197"/>
        <v>0</v>
      </c>
      <c r="W279" s="100">
        <v>0</v>
      </c>
      <c r="X279" s="98">
        <v>0</v>
      </c>
      <c r="Y279" s="147">
        <f t="shared" si="196"/>
        <v>0</v>
      </c>
      <c r="Z279" s="150"/>
    </row>
    <row r="280" spans="2:26" s="35" customFormat="1" ht="17.100000000000001" customHeight="1">
      <c r="B280" s="105"/>
      <c r="C280" s="54"/>
      <c r="D280" s="96"/>
      <c r="E280" s="111"/>
      <c r="F280" s="112"/>
      <c r="G280" s="113"/>
      <c r="H280" s="100">
        <v>0</v>
      </c>
      <c r="I280" s="98">
        <v>0</v>
      </c>
      <c r="J280" s="101">
        <f t="shared" si="192"/>
        <v>0</v>
      </c>
      <c r="K280" s="100">
        <v>0</v>
      </c>
      <c r="L280" s="98">
        <v>0</v>
      </c>
      <c r="M280" s="101">
        <f t="shared" si="193"/>
        <v>0</v>
      </c>
      <c r="N280" s="100">
        <v>0</v>
      </c>
      <c r="O280" s="98">
        <v>0</v>
      </c>
      <c r="P280" s="101">
        <f t="shared" si="194"/>
        <v>0</v>
      </c>
      <c r="Q280" s="100">
        <v>0</v>
      </c>
      <c r="R280" s="98">
        <v>0</v>
      </c>
      <c r="S280" s="101">
        <f t="shared" si="195"/>
        <v>0</v>
      </c>
      <c r="T280" s="100">
        <v>0</v>
      </c>
      <c r="U280" s="98">
        <v>0</v>
      </c>
      <c r="V280" s="101">
        <f t="shared" si="197"/>
        <v>0</v>
      </c>
      <c r="W280" s="100">
        <v>0</v>
      </c>
      <c r="X280" s="98">
        <v>0</v>
      </c>
      <c r="Y280" s="147">
        <f t="shared" si="196"/>
        <v>0</v>
      </c>
      <c r="Z280" s="150"/>
    </row>
    <row r="281" spans="2:26" s="35" customFormat="1" ht="17.100000000000001" customHeight="1">
      <c r="B281" s="105"/>
      <c r="C281" s="54"/>
      <c r="D281" s="96"/>
      <c r="E281" s="111"/>
      <c r="F281" s="112"/>
      <c r="G281" s="113"/>
      <c r="H281" s="100">
        <v>0</v>
      </c>
      <c r="I281" s="98">
        <v>0</v>
      </c>
      <c r="J281" s="101">
        <f t="shared" si="192"/>
        <v>0</v>
      </c>
      <c r="K281" s="100">
        <v>0</v>
      </c>
      <c r="L281" s="98">
        <v>0</v>
      </c>
      <c r="M281" s="101">
        <f t="shared" si="193"/>
        <v>0</v>
      </c>
      <c r="N281" s="100">
        <v>0</v>
      </c>
      <c r="O281" s="98">
        <v>0</v>
      </c>
      <c r="P281" s="101">
        <f t="shared" si="194"/>
        <v>0</v>
      </c>
      <c r="Q281" s="100">
        <v>0</v>
      </c>
      <c r="R281" s="98">
        <v>0</v>
      </c>
      <c r="S281" s="101">
        <f t="shared" si="195"/>
        <v>0</v>
      </c>
      <c r="T281" s="100">
        <v>0</v>
      </c>
      <c r="U281" s="98">
        <v>0</v>
      </c>
      <c r="V281" s="101">
        <f t="shared" si="197"/>
        <v>0</v>
      </c>
      <c r="W281" s="100">
        <v>0</v>
      </c>
      <c r="X281" s="98">
        <v>0</v>
      </c>
      <c r="Y281" s="147">
        <f t="shared" si="196"/>
        <v>0</v>
      </c>
      <c r="Z281" s="150"/>
    </row>
    <row r="282" spans="2:26" s="35" customFormat="1" ht="17.100000000000001" customHeight="1">
      <c r="B282" s="105"/>
      <c r="C282" s="54"/>
      <c r="D282" s="96"/>
      <c r="E282" s="111"/>
      <c r="F282" s="112"/>
      <c r="G282" s="113"/>
      <c r="H282" s="100">
        <v>0</v>
      </c>
      <c r="I282" s="98">
        <v>0</v>
      </c>
      <c r="J282" s="101">
        <f t="shared" si="192"/>
        <v>0</v>
      </c>
      <c r="K282" s="100">
        <v>0</v>
      </c>
      <c r="L282" s="98">
        <v>0</v>
      </c>
      <c r="M282" s="101">
        <f t="shared" si="193"/>
        <v>0</v>
      </c>
      <c r="N282" s="100">
        <v>0</v>
      </c>
      <c r="O282" s="98">
        <v>0</v>
      </c>
      <c r="P282" s="101">
        <f t="shared" si="194"/>
        <v>0</v>
      </c>
      <c r="Q282" s="100">
        <v>0</v>
      </c>
      <c r="R282" s="98">
        <v>0</v>
      </c>
      <c r="S282" s="101">
        <f t="shared" si="195"/>
        <v>0</v>
      </c>
      <c r="T282" s="100">
        <v>0</v>
      </c>
      <c r="U282" s="98">
        <v>0</v>
      </c>
      <c r="V282" s="101">
        <f t="shared" si="197"/>
        <v>0</v>
      </c>
      <c r="W282" s="100">
        <v>0</v>
      </c>
      <c r="X282" s="98">
        <v>0</v>
      </c>
      <c r="Y282" s="147">
        <f t="shared" si="196"/>
        <v>0</v>
      </c>
      <c r="Z282" s="150"/>
    </row>
    <row r="283" spans="2:26" s="35" customFormat="1" ht="17.100000000000001" customHeight="1">
      <c r="B283" s="105"/>
      <c r="C283" s="54"/>
      <c r="D283" s="96"/>
      <c r="E283" s="111"/>
      <c r="F283" s="112"/>
      <c r="G283" s="113"/>
      <c r="H283" s="100">
        <v>0</v>
      </c>
      <c r="I283" s="98">
        <v>0</v>
      </c>
      <c r="J283" s="101">
        <f t="shared" si="192"/>
        <v>0</v>
      </c>
      <c r="K283" s="100">
        <v>0</v>
      </c>
      <c r="L283" s="98">
        <v>0</v>
      </c>
      <c r="M283" s="101">
        <f t="shared" si="193"/>
        <v>0</v>
      </c>
      <c r="N283" s="100">
        <v>0</v>
      </c>
      <c r="O283" s="98">
        <v>0</v>
      </c>
      <c r="P283" s="101">
        <f t="shared" si="194"/>
        <v>0</v>
      </c>
      <c r="Q283" s="100">
        <v>0</v>
      </c>
      <c r="R283" s="98">
        <v>0</v>
      </c>
      <c r="S283" s="101">
        <f t="shared" si="195"/>
        <v>0</v>
      </c>
      <c r="T283" s="100">
        <v>0</v>
      </c>
      <c r="U283" s="98">
        <v>0</v>
      </c>
      <c r="V283" s="101">
        <f t="shared" si="197"/>
        <v>0</v>
      </c>
      <c r="W283" s="100">
        <v>0</v>
      </c>
      <c r="X283" s="98">
        <v>0</v>
      </c>
      <c r="Y283" s="147">
        <f t="shared" si="196"/>
        <v>0</v>
      </c>
      <c r="Z283" s="150"/>
    </row>
    <row r="284" spans="2:26" s="126" customFormat="1" ht="17.100000000000001" customHeight="1">
      <c r="B284" s="118"/>
      <c r="C284" s="119"/>
      <c r="D284" s="120"/>
      <c r="E284" s="121"/>
      <c r="F284" s="122"/>
      <c r="G284" s="123"/>
      <c r="H284" s="341" t="s">
        <v>201</v>
      </c>
      <c r="I284" s="342"/>
      <c r="J284" s="124">
        <f>SUM(J277:J283)</f>
        <v>300</v>
      </c>
      <c r="K284" s="341" t="s">
        <v>201</v>
      </c>
      <c r="L284" s="342"/>
      <c r="M284" s="124">
        <f>SUM(M277:M283)</f>
        <v>0</v>
      </c>
      <c r="N284" s="341" t="s">
        <v>201</v>
      </c>
      <c r="O284" s="342"/>
      <c r="P284" s="124">
        <f>SUM(P277:P283)</f>
        <v>0</v>
      </c>
      <c r="Q284" s="341" t="s">
        <v>201</v>
      </c>
      <c r="R284" s="342"/>
      <c r="S284" s="124">
        <f>SUM(S277:S283)</f>
        <v>0</v>
      </c>
      <c r="T284" s="341" t="s">
        <v>201</v>
      </c>
      <c r="U284" s="342"/>
      <c r="V284" s="124">
        <f>SUM(V277:V283)</f>
        <v>0</v>
      </c>
      <c r="W284" s="341" t="s">
        <v>201</v>
      </c>
      <c r="X284" s="342"/>
      <c r="Y284" s="127">
        <f>SUM(Y277:Y283)</f>
        <v>0</v>
      </c>
      <c r="Z284" s="151"/>
    </row>
    <row r="285" spans="2:26" s="35" customFormat="1" ht="17.100000000000001" customHeight="1">
      <c r="B285" s="105"/>
      <c r="C285" s="54">
        <f>'2. Rekap Back Up Beton'!C54</f>
        <v>8800</v>
      </c>
      <c r="D285" s="96">
        <f>'2. Rekap Back Up Beton'!D54</f>
        <v>8900</v>
      </c>
      <c r="E285" s="111">
        <f>'2. Rekap Back Up Beton'!E54</f>
        <v>5</v>
      </c>
      <c r="F285" s="112">
        <f>(100/((D285-C285)*E285))*((J292*0.5)+(M292*1)+(P292*2)+(S292*20)+(V292*15)+(Y292*1.5))</f>
        <v>30</v>
      </c>
      <c r="G285" s="113" t="str">
        <f>IF(F285&lt;=25,"B",IF(F285&lt;=75,"S",IF(F285&lt;=100,"RR","RB")))</f>
        <v>S</v>
      </c>
      <c r="H285" s="100">
        <v>100</v>
      </c>
      <c r="I285" s="98">
        <v>3</v>
      </c>
      <c r="J285" s="101">
        <f t="shared" ref="J285:J291" si="198">H285*I285</f>
        <v>300</v>
      </c>
      <c r="K285" s="100">
        <v>0</v>
      </c>
      <c r="L285" s="98">
        <v>0</v>
      </c>
      <c r="M285" s="101">
        <f t="shared" ref="M285:M291" si="199">K285*L285</f>
        <v>0</v>
      </c>
      <c r="N285" s="100">
        <v>0</v>
      </c>
      <c r="O285" s="98">
        <v>4</v>
      </c>
      <c r="P285" s="101">
        <f t="shared" ref="P285:P291" si="200">N285*O285</f>
        <v>0</v>
      </c>
      <c r="Q285" s="100">
        <v>0</v>
      </c>
      <c r="R285" s="98">
        <v>0</v>
      </c>
      <c r="S285" s="101">
        <f t="shared" ref="S285:S291" si="201">Q285*R285</f>
        <v>0</v>
      </c>
      <c r="T285" s="100">
        <v>0</v>
      </c>
      <c r="U285" s="98">
        <v>0</v>
      </c>
      <c r="V285" s="101">
        <f>T285*U285</f>
        <v>0</v>
      </c>
      <c r="W285" s="100">
        <v>0</v>
      </c>
      <c r="X285" s="98">
        <v>0</v>
      </c>
      <c r="Y285" s="147">
        <f t="shared" ref="Y285:Y291" si="202">W285*X285</f>
        <v>0</v>
      </c>
      <c r="Z285" s="150"/>
    </row>
    <row r="286" spans="2:26" s="35" customFormat="1" ht="17.100000000000001" customHeight="1">
      <c r="B286" s="105"/>
      <c r="C286" s="54"/>
      <c r="D286" s="96"/>
      <c r="E286" s="111"/>
      <c r="F286" s="112"/>
      <c r="G286" s="113"/>
      <c r="H286" s="100">
        <v>0</v>
      </c>
      <c r="I286" s="98">
        <v>0</v>
      </c>
      <c r="J286" s="101">
        <f t="shared" si="198"/>
        <v>0</v>
      </c>
      <c r="K286" s="100">
        <v>0</v>
      </c>
      <c r="L286" s="98">
        <v>0</v>
      </c>
      <c r="M286" s="101">
        <f t="shared" si="199"/>
        <v>0</v>
      </c>
      <c r="N286" s="100">
        <v>0</v>
      </c>
      <c r="O286" s="98">
        <v>0</v>
      </c>
      <c r="P286" s="101">
        <f t="shared" si="200"/>
        <v>0</v>
      </c>
      <c r="Q286" s="100">
        <v>0</v>
      </c>
      <c r="R286" s="98">
        <v>0</v>
      </c>
      <c r="S286" s="101">
        <f t="shared" si="201"/>
        <v>0</v>
      </c>
      <c r="T286" s="100">
        <v>0</v>
      </c>
      <c r="U286" s="98">
        <v>0</v>
      </c>
      <c r="V286" s="101">
        <f t="shared" ref="V286:V291" si="203">T286*U286</f>
        <v>0</v>
      </c>
      <c r="W286" s="100">
        <v>0</v>
      </c>
      <c r="X286" s="98">
        <v>0</v>
      </c>
      <c r="Y286" s="147">
        <f t="shared" si="202"/>
        <v>0</v>
      </c>
      <c r="Z286" s="150"/>
    </row>
    <row r="287" spans="2:26" s="35" customFormat="1" ht="17.100000000000001" customHeight="1">
      <c r="B287" s="105"/>
      <c r="C287" s="54"/>
      <c r="D287" s="96"/>
      <c r="E287" s="111"/>
      <c r="F287" s="112"/>
      <c r="G287" s="113"/>
      <c r="H287" s="100">
        <v>0</v>
      </c>
      <c r="I287" s="98">
        <v>0</v>
      </c>
      <c r="J287" s="101">
        <f t="shared" si="198"/>
        <v>0</v>
      </c>
      <c r="K287" s="100">
        <v>0</v>
      </c>
      <c r="L287" s="98">
        <v>0</v>
      </c>
      <c r="M287" s="101">
        <f t="shared" si="199"/>
        <v>0</v>
      </c>
      <c r="N287" s="100">
        <v>0</v>
      </c>
      <c r="O287" s="98">
        <v>0</v>
      </c>
      <c r="P287" s="101">
        <f t="shared" si="200"/>
        <v>0</v>
      </c>
      <c r="Q287" s="100">
        <v>0</v>
      </c>
      <c r="R287" s="98">
        <v>0</v>
      </c>
      <c r="S287" s="101">
        <f t="shared" si="201"/>
        <v>0</v>
      </c>
      <c r="T287" s="100">
        <v>0</v>
      </c>
      <c r="U287" s="98">
        <v>0</v>
      </c>
      <c r="V287" s="101">
        <f t="shared" si="203"/>
        <v>0</v>
      </c>
      <c r="W287" s="100">
        <v>0</v>
      </c>
      <c r="X287" s="98">
        <v>0</v>
      </c>
      <c r="Y287" s="147">
        <f t="shared" si="202"/>
        <v>0</v>
      </c>
      <c r="Z287" s="150"/>
    </row>
    <row r="288" spans="2:26" s="35" customFormat="1" ht="17.100000000000001" customHeight="1">
      <c r="B288" s="105"/>
      <c r="C288" s="54"/>
      <c r="D288" s="96"/>
      <c r="E288" s="111"/>
      <c r="F288" s="112"/>
      <c r="G288" s="113"/>
      <c r="H288" s="100">
        <v>0</v>
      </c>
      <c r="I288" s="98">
        <v>0</v>
      </c>
      <c r="J288" s="101">
        <f t="shared" si="198"/>
        <v>0</v>
      </c>
      <c r="K288" s="100">
        <v>0</v>
      </c>
      <c r="L288" s="98">
        <v>0</v>
      </c>
      <c r="M288" s="101">
        <f t="shared" si="199"/>
        <v>0</v>
      </c>
      <c r="N288" s="100">
        <v>0</v>
      </c>
      <c r="O288" s="98">
        <v>0</v>
      </c>
      <c r="P288" s="101">
        <f t="shared" si="200"/>
        <v>0</v>
      </c>
      <c r="Q288" s="100">
        <v>0</v>
      </c>
      <c r="R288" s="98">
        <v>0</v>
      </c>
      <c r="S288" s="101">
        <f t="shared" si="201"/>
        <v>0</v>
      </c>
      <c r="T288" s="100">
        <v>0</v>
      </c>
      <c r="U288" s="98">
        <v>0</v>
      </c>
      <c r="V288" s="101">
        <f t="shared" si="203"/>
        <v>0</v>
      </c>
      <c r="W288" s="100">
        <v>0</v>
      </c>
      <c r="X288" s="98">
        <v>0</v>
      </c>
      <c r="Y288" s="147">
        <f t="shared" si="202"/>
        <v>0</v>
      </c>
      <c r="Z288" s="150"/>
    </row>
    <row r="289" spans="2:26" s="35" customFormat="1" ht="17.100000000000001" customHeight="1">
      <c r="B289" s="105"/>
      <c r="C289" s="54"/>
      <c r="D289" s="96"/>
      <c r="E289" s="111"/>
      <c r="F289" s="112"/>
      <c r="G289" s="113"/>
      <c r="H289" s="100">
        <v>0</v>
      </c>
      <c r="I289" s="98">
        <v>0</v>
      </c>
      <c r="J289" s="101">
        <f t="shared" si="198"/>
        <v>0</v>
      </c>
      <c r="K289" s="100">
        <v>0</v>
      </c>
      <c r="L289" s="98">
        <v>0</v>
      </c>
      <c r="M289" s="101">
        <f t="shared" si="199"/>
        <v>0</v>
      </c>
      <c r="N289" s="100">
        <v>0</v>
      </c>
      <c r="O289" s="98">
        <v>0</v>
      </c>
      <c r="P289" s="101">
        <f t="shared" si="200"/>
        <v>0</v>
      </c>
      <c r="Q289" s="100">
        <v>0</v>
      </c>
      <c r="R289" s="98">
        <v>0</v>
      </c>
      <c r="S289" s="101">
        <f t="shared" si="201"/>
        <v>0</v>
      </c>
      <c r="T289" s="100">
        <v>0</v>
      </c>
      <c r="U289" s="98">
        <v>0</v>
      </c>
      <c r="V289" s="101">
        <f t="shared" si="203"/>
        <v>0</v>
      </c>
      <c r="W289" s="100">
        <v>0</v>
      </c>
      <c r="X289" s="98">
        <v>0</v>
      </c>
      <c r="Y289" s="147">
        <f t="shared" si="202"/>
        <v>0</v>
      </c>
      <c r="Z289" s="150"/>
    </row>
    <row r="290" spans="2:26" s="35" customFormat="1" ht="17.100000000000001" customHeight="1">
      <c r="B290" s="105"/>
      <c r="C290" s="54"/>
      <c r="D290" s="96"/>
      <c r="E290" s="111"/>
      <c r="F290" s="112"/>
      <c r="G290" s="113"/>
      <c r="H290" s="100">
        <v>0</v>
      </c>
      <c r="I290" s="98">
        <v>0</v>
      </c>
      <c r="J290" s="101">
        <f t="shared" si="198"/>
        <v>0</v>
      </c>
      <c r="K290" s="100">
        <v>0</v>
      </c>
      <c r="L290" s="98">
        <v>0</v>
      </c>
      <c r="M290" s="101">
        <f t="shared" si="199"/>
        <v>0</v>
      </c>
      <c r="N290" s="100">
        <v>0</v>
      </c>
      <c r="O290" s="98">
        <v>0</v>
      </c>
      <c r="P290" s="101">
        <f t="shared" si="200"/>
        <v>0</v>
      </c>
      <c r="Q290" s="100">
        <v>0</v>
      </c>
      <c r="R290" s="98">
        <v>0</v>
      </c>
      <c r="S290" s="101">
        <f t="shared" si="201"/>
        <v>0</v>
      </c>
      <c r="T290" s="100">
        <v>0</v>
      </c>
      <c r="U290" s="98">
        <v>0</v>
      </c>
      <c r="V290" s="101">
        <f t="shared" si="203"/>
        <v>0</v>
      </c>
      <c r="W290" s="100">
        <v>0</v>
      </c>
      <c r="X290" s="98">
        <v>0</v>
      </c>
      <c r="Y290" s="147">
        <f t="shared" si="202"/>
        <v>0</v>
      </c>
      <c r="Z290" s="150"/>
    </row>
    <row r="291" spans="2:26" s="35" customFormat="1" ht="17.100000000000001" customHeight="1">
      <c r="B291" s="105"/>
      <c r="C291" s="54"/>
      <c r="D291" s="96"/>
      <c r="E291" s="111"/>
      <c r="F291" s="112"/>
      <c r="G291" s="113"/>
      <c r="H291" s="100">
        <v>0</v>
      </c>
      <c r="I291" s="98">
        <v>0</v>
      </c>
      <c r="J291" s="101">
        <f t="shared" si="198"/>
        <v>0</v>
      </c>
      <c r="K291" s="100">
        <v>0</v>
      </c>
      <c r="L291" s="98">
        <v>0</v>
      </c>
      <c r="M291" s="101">
        <f t="shared" si="199"/>
        <v>0</v>
      </c>
      <c r="N291" s="100">
        <v>0</v>
      </c>
      <c r="O291" s="98">
        <v>0</v>
      </c>
      <c r="P291" s="101">
        <f t="shared" si="200"/>
        <v>0</v>
      </c>
      <c r="Q291" s="100">
        <v>0</v>
      </c>
      <c r="R291" s="98">
        <v>0</v>
      </c>
      <c r="S291" s="101">
        <f t="shared" si="201"/>
        <v>0</v>
      </c>
      <c r="T291" s="100">
        <v>0</v>
      </c>
      <c r="U291" s="98">
        <v>0</v>
      </c>
      <c r="V291" s="101">
        <f t="shared" si="203"/>
        <v>0</v>
      </c>
      <c r="W291" s="100">
        <v>0</v>
      </c>
      <c r="X291" s="98">
        <v>0</v>
      </c>
      <c r="Y291" s="147">
        <f t="shared" si="202"/>
        <v>0</v>
      </c>
      <c r="Z291" s="150"/>
    </row>
    <row r="292" spans="2:26" s="126" customFormat="1" ht="17.100000000000001" customHeight="1" thickBot="1">
      <c r="B292" s="118"/>
      <c r="C292" s="119"/>
      <c r="D292" s="120"/>
      <c r="E292" s="121"/>
      <c r="F292" s="122"/>
      <c r="G292" s="123"/>
      <c r="H292" s="341" t="s">
        <v>201</v>
      </c>
      <c r="I292" s="342"/>
      <c r="J292" s="124">
        <f>SUM(J285:J291)</f>
        <v>300</v>
      </c>
      <c r="K292" s="341" t="s">
        <v>201</v>
      </c>
      <c r="L292" s="342"/>
      <c r="M292" s="124">
        <f>SUM(M285:M291)</f>
        <v>0</v>
      </c>
      <c r="N292" s="341" t="s">
        <v>201</v>
      </c>
      <c r="O292" s="342"/>
      <c r="P292" s="124">
        <f>SUM(P285:P291)</f>
        <v>0</v>
      </c>
      <c r="Q292" s="341" t="s">
        <v>201</v>
      </c>
      <c r="R292" s="342"/>
      <c r="S292" s="124">
        <f>SUM(S285:S291)</f>
        <v>0</v>
      </c>
      <c r="T292" s="341" t="s">
        <v>201</v>
      </c>
      <c r="U292" s="342"/>
      <c r="V292" s="124">
        <f>SUM(V285:V291)</f>
        <v>0</v>
      </c>
      <c r="W292" s="341" t="s">
        <v>201</v>
      </c>
      <c r="X292" s="342"/>
      <c r="Y292" s="127">
        <f>SUM(Y285:Y291)</f>
        <v>0</v>
      </c>
      <c r="Z292" s="151"/>
    </row>
    <row r="293" spans="2:26" s="35" customFormat="1" ht="17.100000000000001" customHeight="1">
      <c r="B293" s="287"/>
      <c r="C293" s="288">
        <f>'2. Rekap Back Up Beton'!C55</f>
        <v>8900</v>
      </c>
      <c r="D293" s="289">
        <f>'2. Rekap Back Up Beton'!D55</f>
        <v>8960</v>
      </c>
      <c r="E293" s="290">
        <f>'2. Rekap Back Up Beton'!E55</f>
        <v>5</v>
      </c>
      <c r="F293" s="115">
        <f>(100/((D293-C293)*E293))*((J300*0.5)+(M300*1)+(P300*2)+(S300*20)+(V300*15)+(Y300*1.5))</f>
        <v>30</v>
      </c>
      <c r="G293" s="116" t="str">
        <f>IF(F293&lt;=25,"B",IF(F293&lt;=75,"S",IF(F293&lt;=100,"RR","RB")))</f>
        <v>S</v>
      </c>
      <c r="H293" s="135">
        <v>60</v>
      </c>
      <c r="I293" s="136">
        <v>3</v>
      </c>
      <c r="J293" s="137">
        <f t="shared" ref="J293:J299" si="204">H293*I293</f>
        <v>180</v>
      </c>
      <c r="K293" s="135">
        <v>0</v>
      </c>
      <c r="L293" s="136">
        <v>0</v>
      </c>
      <c r="M293" s="137">
        <f t="shared" ref="M293:M299" si="205">K293*L293</f>
        <v>0</v>
      </c>
      <c r="N293" s="135">
        <v>0</v>
      </c>
      <c r="O293" s="136">
        <v>4</v>
      </c>
      <c r="P293" s="137">
        <f t="shared" ref="P293:P299" si="206">N293*O293</f>
        <v>0</v>
      </c>
      <c r="Q293" s="135">
        <v>0</v>
      </c>
      <c r="R293" s="136">
        <v>0</v>
      </c>
      <c r="S293" s="137">
        <f t="shared" ref="S293:S299" si="207">Q293*R293</f>
        <v>0</v>
      </c>
      <c r="T293" s="135">
        <v>0</v>
      </c>
      <c r="U293" s="136">
        <v>0</v>
      </c>
      <c r="V293" s="137">
        <f>T293*U293</f>
        <v>0</v>
      </c>
      <c r="W293" s="135">
        <v>0</v>
      </c>
      <c r="X293" s="136">
        <v>0</v>
      </c>
      <c r="Y293" s="148">
        <f t="shared" ref="Y293:Y299" si="208">W293*X293</f>
        <v>0</v>
      </c>
      <c r="Z293" s="153"/>
    </row>
    <row r="294" spans="2:26" s="35" customFormat="1" ht="17.100000000000001" customHeight="1">
      <c r="B294" s="105"/>
      <c r="C294" s="54"/>
      <c r="D294" s="96"/>
      <c r="E294" s="111"/>
      <c r="F294" s="112"/>
      <c r="G294" s="113"/>
      <c r="H294" s="100">
        <v>0</v>
      </c>
      <c r="I294" s="98">
        <v>0</v>
      </c>
      <c r="J294" s="101">
        <f t="shared" si="204"/>
        <v>0</v>
      </c>
      <c r="K294" s="100">
        <v>0</v>
      </c>
      <c r="L294" s="98">
        <v>0</v>
      </c>
      <c r="M294" s="101">
        <f t="shared" si="205"/>
        <v>0</v>
      </c>
      <c r="N294" s="100">
        <v>0</v>
      </c>
      <c r="O294" s="98">
        <v>0</v>
      </c>
      <c r="P294" s="101">
        <f t="shared" si="206"/>
        <v>0</v>
      </c>
      <c r="Q294" s="100">
        <v>0</v>
      </c>
      <c r="R294" s="98">
        <v>0</v>
      </c>
      <c r="S294" s="101">
        <f t="shared" si="207"/>
        <v>0</v>
      </c>
      <c r="T294" s="100">
        <v>0</v>
      </c>
      <c r="U294" s="98">
        <v>0</v>
      </c>
      <c r="V294" s="101">
        <f t="shared" ref="V294:V299" si="209">T294*U294</f>
        <v>0</v>
      </c>
      <c r="W294" s="100">
        <v>0</v>
      </c>
      <c r="X294" s="98">
        <v>0</v>
      </c>
      <c r="Y294" s="147">
        <f t="shared" si="208"/>
        <v>0</v>
      </c>
      <c r="Z294" s="150"/>
    </row>
    <row r="295" spans="2:26" s="35" customFormat="1" ht="17.100000000000001" customHeight="1">
      <c r="B295" s="105"/>
      <c r="C295" s="54"/>
      <c r="D295" s="96"/>
      <c r="E295" s="111"/>
      <c r="F295" s="112"/>
      <c r="G295" s="113"/>
      <c r="H295" s="100">
        <v>0</v>
      </c>
      <c r="I295" s="98">
        <v>0</v>
      </c>
      <c r="J295" s="101">
        <f t="shared" si="204"/>
        <v>0</v>
      </c>
      <c r="K295" s="100">
        <v>0</v>
      </c>
      <c r="L295" s="98">
        <v>0</v>
      </c>
      <c r="M295" s="101">
        <f t="shared" si="205"/>
        <v>0</v>
      </c>
      <c r="N295" s="100">
        <v>0</v>
      </c>
      <c r="O295" s="98">
        <v>0</v>
      </c>
      <c r="P295" s="101">
        <f t="shared" si="206"/>
        <v>0</v>
      </c>
      <c r="Q295" s="100">
        <v>0</v>
      </c>
      <c r="R295" s="98">
        <v>0</v>
      </c>
      <c r="S295" s="101">
        <f t="shared" si="207"/>
        <v>0</v>
      </c>
      <c r="T295" s="100">
        <v>0</v>
      </c>
      <c r="U295" s="98">
        <v>0</v>
      </c>
      <c r="V295" s="101">
        <f t="shared" si="209"/>
        <v>0</v>
      </c>
      <c r="W295" s="100">
        <v>0</v>
      </c>
      <c r="X295" s="98">
        <v>0</v>
      </c>
      <c r="Y295" s="147">
        <f t="shared" si="208"/>
        <v>0</v>
      </c>
      <c r="Z295" s="150"/>
    </row>
    <row r="296" spans="2:26" s="35" customFormat="1" ht="17.100000000000001" customHeight="1">
      <c r="B296" s="105"/>
      <c r="C296" s="54"/>
      <c r="D296" s="96"/>
      <c r="E296" s="111"/>
      <c r="F296" s="112"/>
      <c r="G296" s="113"/>
      <c r="H296" s="100">
        <v>0</v>
      </c>
      <c r="I296" s="98">
        <v>0</v>
      </c>
      <c r="J296" s="101">
        <f t="shared" si="204"/>
        <v>0</v>
      </c>
      <c r="K296" s="100">
        <v>0</v>
      </c>
      <c r="L296" s="98">
        <v>0</v>
      </c>
      <c r="M296" s="101">
        <f t="shared" si="205"/>
        <v>0</v>
      </c>
      <c r="N296" s="100">
        <v>0</v>
      </c>
      <c r="O296" s="98">
        <v>0</v>
      </c>
      <c r="P296" s="101">
        <f t="shared" si="206"/>
        <v>0</v>
      </c>
      <c r="Q296" s="100">
        <v>0</v>
      </c>
      <c r="R296" s="98">
        <v>0</v>
      </c>
      <c r="S296" s="101">
        <f t="shared" si="207"/>
        <v>0</v>
      </c>
      <c r="T296" s="100">
        <v>0</v>
      </c>
      <c r="U296" s="98">
        <v>0</v>
      </c>
      <c r="V296" s="101">
        <f t="shared" si="209"/>
        <v>0</v>
      </c>
      <c r="W296" s="100">
        <v>0</v>
      </c>
      <c r="X296" s="98">
        <v>0</v>
      </c>
      <c r="Y296" s="147">
        <f t="shared" si="208"/>
        <v>0</v>
      </c>
      <c r="Z296" s="150"/>
    </row>
    <row r="297" spans="2:26" s="35" customFormat="1" ht="17.100000000000001" customHeight="1">
      <c r="B297" s="105"/>
      <c r="C297" s="54"/>
      <c r="D297" s="96"/>
      <c r="E297" s="111"/>
      <c r="F297" s="112"/>
      <c r="G297" s="113"/>
      <c r="H297" s="100">
        <v>0</v>
      </c>
      <c r="I297" s="98">
        <v>0</v>
      </c>
      <c r="J297" s="101">
        <f t="shared" si="204"/>
        <v>0</v>
      </c>
      <c r="K297" s="100">
        <v>0</v>
      </c>
      <c r="L297" s="98">
        <v>0</v>
      </c>
      <c r="M297" s="101">
        <f t="shared" si="205"/>
        <v>0</v>
      </c>
      <c r="N297" s="100">
        <v>0</v>
      </c>
      <c r="O297" s="98">
        <v>0</v>
      </c>
      <c r="P297" s="101">
        <f t="shared" si="206"/>
        <v>0</v>
      </c>
      <c r="Q297" s="100">
        <v>0</v>
      </c>
      <c r="R297" s="98">
        <v>0</v>
      </c>
      <c r="S297" s="101">
        <f t="shared" si="207"/>
        <v>0</v>
      </c>
      <c r="T297" s="100">
        <v>0</v>
      </c>
      <c r="U297" s="98">
        <v>0</v>
      </c>
      <c r="V297" s="101">
        <f t="shared" si="209"/>
        <v>0</v>
      </c>
      <c r="W297" s="100">
        <v>0</v>
      </c>
      <c r="X297" s="98">
        <v>0</v>
      </c>
      <c r="Y297" s="147">
        <f t="shared" si="208"/>
        <v>0</v>
      </c>
      <c r="Z297" s="150"/>
    </row>
    <row r="298" spans="2:26" s="35" customFormat="1" ht="17.100000000000001" customHeight="1">
      <c r="B298" s="105"/>
      <c r="C298" s="54"/>
      <c r="D298" s="96"/>
      <c r="E298" s="111"/>
      <c r="F298" s="112"/>
      <c r="G298" s="113"/>
      <c r="H298" s="100">
        <v>0</v>
      </c>
      <c r="I298" s="98">
        <v>0</v>
      </c>
      <c r="J298" s="101">
        <f t="shared" si="204"/>
        <v>0</v>
      </c>
      <c r="K298" s="100">
        <v>0</v>
      </c>
      <c r="L298" s="98">
        <v>0</v>
      </c>
      <c r="M298" s="101">
        <f t="shared" si="205"/>
        <v>0</v>
      </c>
      <c r="N298" s="100">
        <v>0</v>
      </c>
      <c r="O298" s="98">
        <v>0</v>
      </c>
      <c r="P298" s="101">
        <f t="shared" si="206"/>
        <v>0</v>
      </c>
      <c r="Q298" s="100">
        <v>0</v>
      </c>
      <c r="R298" s="98">
        <v>0</v>
      </c>
      <c r="S298" s="101">
        <f t="shared" si="207"/>
        <v>0</v>
      </c>
      <c r="T298" s="100">
        <v>0</v>
      </c>
      <c r="U298" s="98">
        <v>0</v>
      </c>
      <c r="V298" s="101">
        <f t="shared" si="209"/>
        <v>0</v>
      </c>
      <c r="W298" s="100">
        <v>0</v>
      </c>
      <c r="X298" s="98">
        <v>0</v>
      </c>
      <c r="Y298" s="147">
        <f t="shared" si="208"/>
        <v>0</v>
      </c>
      <c r="Z298" s="150"/>
    </row>
    <row r="299" spans="2:26" s="35" customFormat="1" ht="17.100000000000001" customHeight="1">
      <c r="B299" s="105"/>
      <c r="C299" s="54"/>
      <c r="D299" s="96"/>
      <c r="E299" s="111"/>
      <c r="F299" s="112"/>
      <c r="G299" s="113"/>
      <c r="H299" s="100">
        <v>0</v>
      </c>
      <c r="I299" s="98">
        <v>0</v>
      </c>
      <c r="J299" s="101">
        <f t="shared" si="204"/>
        <v>0</v>
      </c>
      <c r="K299" s="100">
        <v>0</v>
      </c>
      <c r="L299" s="98">
        <v>0</v>
      </c>
      <c r="M299" s="101">
        <f t="shared" si="205"/>
        <v>0</v>
      </c>
      <c r="N299" s="100">
        <v>0</v>
      </c>
      <c r="O299" s="98">
        <v>0</v>
      </c>
      <c r="P299" s="101">
        <f t="shared" si="206"/>
        <v>0</v>
      </c>
      <c r="Q299" s="100">
        <v>0</v>
      </c>
      <c r="R299" s="98">
        <v>0</v>
      </c>
      <c r="S299" s="101">
        <f t="shared" si="207"/>
        <v>0</v>
      </c>
      <c r="T299" s="100">
        <v>0</v>
      </c>
      <c r="U299" s="98">
        <v>0</v>
      </c>
      <c r="V299" s="101">
        <f t="shared" si="209"/>
        <v>0</v>
      </c>
      <c r="W299" s="100">
        <v>0</v>
      </c>
      <c r="X299" s="98">
        <v>0</v>
      </c>
      <c r="Y299" s="147">
        <f t="shared" si="208"/>
        <v>0</v>
      </c>
      <c r="Z299" s="150"/>
    </row>
    <row r="300" spans="2:26" s="126" customFormat="1" ht="17.100000000000001" customHeight="1">
      <c r="B300" s="118"/>
      <c r="C300" s="119"/>
      <c r="D300" s="120"/>
      <c r="E300" s="121"/>
      <c r="F300" s="122"/>
      <c r="G300" s="123"/>
      <c r="H300" s="341" t="s">
        <v>201</v>
      </c>
      <c r="I300" s="342"/>
      <c r="J300" s="124">
        <f>SUM(J293:J299)</f>
        <v>180</v>
      </c>
      <c r="K300" s="341" t="s">
        <v>201</v>
      </c>
      <c r="L300" s="342"/>
      <c r="M300" s="124">
        <f>SUM(M293:M299)</f>
        <v>0</v>
      </c>
      <c r="N300" s="341" t="s">
        <v>201</v>
      </c>
      <c r="O300" s="342"/>
      <c r="P300" s="124">
        <f>SUM(P293:P299)</f>
        <v>0</v>
      </c>
      <c r="Q300" s="341" t="s">
        <v>201</v>
      </c>
      <c r="R300" s="342"/>
      <c r="S300" s="124">
        <f>SUM(S293:S299)</f>
        <v>0</v>
      </c>
      <c r="T300" s="341" t="s">
        <v>201</v>
      </c>
      <c r="U300" s="342"/>
      <c r="V300" s="124">
        <f>SUM(V293:V299)</f>
        <v>0</v>
      </c>
      <c r="W300" s="341" t="s">
        <v>201</v>
      </c>
      <c r="X300" s="342"/>
      <c r="Y300" s="127">
        <f>SUM(Y293:Y299)</f>
        <v>0</v>
      </c>
      <c r="Z300" s="151"/>
    </row>
    <row r="301" spans="2:26" s="35" customFormat="1" ht="17.100000000000001" customHeight="1">
      <c r="B301" s="105"/>
      <c r="C301" s="54">
        <f>'2. Rekap Back Up Beton'!C56</f>
        <v>9280</v>
      </c>
      <c r="D301" s="96">
        <f>'2. Rekap Back Up Beton'!D56</f>
        <v>9300</v>
      </c>
      <c r="E301" s="111">
        <f>'2. Rekap Back Up Beton'!E56</f>
        <v>5</v>
      </c>
      <c r="F301" s="112">
        <f>(100/((D301-C301)*E301))*((J308*0.5)+(M308*1)+(P308*2)+(S308*20)+(V308*15)+(Y308*1.5))</f>
        <v>30</v>
      </c>
      <c r="G301" s="113" t="str">
        <f>IF(F301&lt;=25,"B",IF(F301&lt;=75,"S",IF(F301&lt;=100,"RR","RB")))</f>
        <v>S</v>
      </c>
      <c r="H301" s="100">
        <v>20</v>
      </c>
      <c r="I301" s="98">
        <v>3</v>
      </c>
      <c r="J301" s="101">
        <f t="shared" ref="J301:J307" si="210">H301*I301</f>
        <v>60</v>
      </c>
      <c r="K301" s="100">
        <v>0</v>
      </c>
      <c r="L301" s="98">
        <v>0</v>
      </c>
      <c r="M301" s="101">
        <f t="shared" ref="M301:M307" si="211">K301*L301</f>
        <v>0</v>
      </c>
      <c r="N301" s="100">
        <v>0</v>
      </c>
      <c r="O301" s="98">
        <v>4</v>
      </c>
      <c r="P301" s="101">
        <f t="shared" ref="P301:P307" si="212">N301*O301</f>
        <v>0</v>
      </c>
      <c r="Q301" s="100">
        <v>0</v>
      </c>
      <c r="R301" s="98">
        <v>0</v>
      </c>
      <c r="S301" s="101">
        <f t="shared" ref="S301:S307" si="213">Q301*R301</f>
        <v>0</v>
      </c>
      <c r="T301" s="100">
        <v>0</v>
      </c>
      <c r="U301" s="98">
        <v>0</v>
      </c>
      <c r="V301" s="101">
        <f>T301*U301</f>
        <v>0</v>
      </c>
      <c r="W301" s="100">
        <v>0</v>
      </c>
      <c r="X301" s="98">
        <v>0</v>
      </c>
      <c r="Y301" s="147">
        <f t="shared" ref="Y301:Y307" si="214">W301*X301</f>
        <v>0</v>
      </c>
      <c r="Z301" s="150"/>
    </row>
    <row r="302" spans="2:26" s="35" customFormat="1" ht="17.100000000000001" customHeight="1">
      <c r="B302" s="105"/>
      <c r="C302" s="54"/>
      <c r="D302" s="96"/>
      <c r="E302" s="111"/>
      <c r="F302" s="112"/>
      <c r="G302" s="113"/>
      <c r="H302" s="100">
        <v>0</v>
      </c>
      <c r="I302" s="98">
        <v>0</v>
      </c>
      <c r="J302" s="101">
        <f t="shared" si="210"/>
        <v>0</v>
      </c>
      <c r="K302" s="100">
        <v>0</v>
      </c>
      <c r="L302" s="98">
        <v>0</v>
      </c>
      <c r="M302" s="101">
        <f t="shared" si="211"/>
        <v>0</v>
      </c>
      <c r="N302" s="100">
        <v>0</v>
      </c>
      <c r="O302" s="98">
        <v>0</v>
      </c>
      <c r="P302" s="101">
        <f t="shared" si="212"/>
        <v>0</v>
      </c>
      <c r="Q302" s="100">
        <v>0</v>
      </c>
      <c r="R302" s="98">
        <v>0</v>
      </c>
      <c r="S302" s="101">
        <f t="shared" si="213"/>
        <v>0</v>
      </c>
      <c r="T302" s="100">
        <v>0</v>
      </c>
      <c r="U302" s="98">
        <v>0</v>
      </c>
      <c r="V302" s="101">
        <f t="shared" ref="V302:V307" si="215">T302*U302</f>
        <v>0</v>
      </c>
      <c r="W302" s="100">
        <v>0</v>
      </c>
      <c r="X302" s="98">
        <v>0</v>
      </c>
      <c r="Y302" s="147">
        <f t="shared" si="214"/>
        <v>0</v>
      </c>
      <c r="Z302" s="150"/>
    </row>
    <row r="303" spans="2:26" s="35" customFormat="1" ht="17.100000000000001" customHeight="1">
      <c r="B303" s="105"/>
      <c r="C303" s="54"/>
      <c r="D303" s="96"/>
      <c r="E303" s="111"/>
      <c r="F303" s="112"/>
      <c r="G303" s="113"/>
      <c r="H303" s="100">
        <v>0</v>
      </c>
      <c r="I303" s="98">
        <v>0</v>
      </c>
      <c r="J303" s="101">
        <f t="shared" si="210"/>
        <v>0</v>
      </c>
      <c r="K303" s="100">
        <v>0</v>
      </c>
      <c r="L303" s="98">
        <v>0</v>
      </c>
      <c r="M303" s="101">
        <f t="shared" si="211"/>
        <v>0</v>
      </c>
      <c r="N303" s="100">
        <v>0</v>
      </c>
      <c r="O303" s="98">
        <v>0</v>
      </c>
      <c r="P303" s="101">
        <f t="shared" si="212"/>
        <v>0</v>
      </c>
      <c r="Q303" s="100">
        <v>0</v>
      </c>
      <c r="R303" s="98">
        <v>0</v>
      </c>
      <c r="S303" s="101">
        <f t="shared" si="213"/>
        <v>0</v>
      </c>
      <c r="T303" s="100">
        <v>0</v>
      </c>
      <c r="U303" s="98">
        <v>0</v>
      </c>
      <c r="V303" s="101">
        <f t="shared" si="215"/>
        <v>0</v>
      </c>
      <c r="W303" s="100">
        <v>0</v>
      </c>
      <c r="X303" s="98">
        <v>0</v>
      </c>
      <c r="Y303" s="147">
        <f t="shared" si="214"/>
        <v>0</v>
      </c>
      <c r="Z303" s="150"/>
    </row>
    <row r="304" spans="2:26" s="35" customFormat="1" ht="17.100000000000001" customHeight="1">
      <c r="B304" s="105"/>
      <c r="C304" s="54"/>
      <c r="D304" s="96"/>
      <c r="E304" s="111"/>
      <c r="F304" s="112"/>
      <c r="G304" s="113"/>
      <c r="H304" s="100">
        <v>0</v>
      </c>
      <c r="I304" s="98">
        <v>0</v>
      </c>
      <c r="J304" s="101">
        <f t="shared" si="210"/>
        <v>0</v>
      </c>
      <c r="K304" s="100">
        <v>0</v>
      </c>
      <c r="L304" s="98">
        <v>0</v>
      </c>
      <c r="M304" s="101">
        <f t="shared" si="211"/>
        <v>0</v>
      </c>
      <c r="N304" s="100">
        <v>0</v>
      </c>
      <c r="O304" s="98">
        <v>0</v>
      </c>
      <c r="P304" s="101">
        <f t="shared" si="212"/>
        <v>0</v>
      </c>
      <c r="Q304" s="100">
        <v>0</v>
      </c>
      <c r="R304" s="98">
        <v>0</v>
      </c>
      <c r="S304" s="101">
        <f t="shared" si="213"/>
        <v>0</v>
      </c>
      <c r="T304" s="100">
        <v>0</v>
      </c>
      <c r="U304" s="98">
        <v>0</v>
      </c>
      <c r="V304" s="101">
        <f t="shared" si="215"/>
        <v>0</v>
      </c>
      <c r="W304" s="100">
        <v>0</v>
      </c>
      <c r="X304" s="98">
        <v>0</v>
      </c>
      <c r="Y304" s="147">
        <f t="shared" si="214"/>
        <v>0</v>
      </c>
      <c r="Z304" s="150"/>
    </row>
    <row r="305" spans="2:26" s="35" customFormat="1" ht="17.100000000000001" customHeight="1">
      <c r="B305" s="105"/>
      <c r="C305" s="54"/>
      <c r="D305" s="96"/>
      <c r="E305" s="111"/>
      <c r="F305" s="112"/>
      <c r="G305" s="113"/>
      <c r="H305" s="100">
        <v>0</v>
      </c>
      <c r="I305" s="98">
        <v>0</v>
      </c>
      <c r="J305" s="101">
        <f t="shared" si="210"/>
        <v>0</v>
      </c>
      <c r="K305" s="100">
        <v>0</v>
      </c>
      <c r="L305" s="98">
        <v>0</v>
      </c>
      <c r="M305" s="101">
        <f t="shared" si="211"/>
        <v>0</v>
      </c>
      <c r="N305" s="100">
        <v>0</v>
      </c>
      <c r="O305" s="98">
        <v>0</v>
      </c>
      <c r="P305" s="101">
        <f t="shared" si="212"/>
        <v>0</v>
      </c>
      <c r="Q305" s="100">
        <v>0</v>
      </c>
      <c r="R305" s="98">
        <v>0</v>
      </c>
      <c r="S305" s="101">
        <f t="shared" si="213"/>
        <v>0</v>
      </c>
      <c r="T305" s="100">
        <v>0</v>
      </c>
      <c r="U305" s="98">
        <v>0</v>
      </c>
      <c r="V305" s="101">
        <f t="shared" si="215"/>
        <v>0</v>
      </c>
      <c r="W305" s="100">
        <v>0</v>
      </c>
      <c r="X305" s="98">
        <v>0</v>
      </c>
      <c r="Y305" s="147">
        <f t="shared" si="214"/>
        <v>0</v>
      </c>
      <c r="Z305" s="150"/>
    </row>
    <row r="306" spans="2:26" s="35" customFormat="1" ht="17.100000000000001" customHeight="1">
      <c r="B306" s="105"/>
      <c r="C306" s="54"/>
      <c r="D306" s="96"/>
      <c r="E306" s="111"/>
      <c r="F306" s="112"/>
      <c r="G306" s="113"/>
      <c r="H306" s="100">
        <v>0</v>
      </c>
      <c r="I306" s="98">
        <v>0</v>
      </c>
      <c r="J306" s="101">
        <f t="shared" si="210"/>
        <v>0</v>
      </c>
      <c r="K306" s="100">
        <v>0</v>
      </c>
      <c r="L306" s="98">
        <v>0</v>
      </c>
      <c r="M306" s="101">
        <f t="shared" si="211"/>
        <v>0</v>
      </c>
      <c r="N306" s="100">
        <v>0</v>
      </c>
      <c r="O306" s="98">
        <v>0</v>
      </c>
      <c r="P306" s="101">
        <f t="shared" si="212"/>
        <v>0</v>
      </c>
      <c r="Q306" s="100">
        <v>0</v>
      </c>
      <c r="R306" s="98">
        <v>0</v>
      </c>
      <c r="S306" s="101">
        <f t="shared" si="213"/>
        <v>0</v>
      </c>
      <c r="T306" s="100">
        <v>0</v>
      </c>
      <c r="U306" s="98">
        <v>0</v>
      </c>
      <c r="V306" s="101">
        <f t="shared" si="215"/>
        <v>0</v>
      </c>
      <c r="W306" s="100">
        <v>0</v>
      </c>
      <c r="X306" s="98">
        <v>0</v>
      </c>
      <c r="Y306" s="147">
        <f t="shared" si="214"/>
        <v>0</v>
      </c>
      <c r="Z306" s="150"/>
    </row>
    <row r="307" spans="2:26" s="35" customFormat="1" ht="17.100000000000001" customHeight="1">
      <c r="B307" s="105"/>
      <c r="C307" s="54"/>
      <c r="D307" s="96"/>
      <c r="E307" s="111"/>
      <c r="F307" s="112"/>
      <c r="G307" s="113"/>
      <c r="H307" s="100">
        <v>0</v>
      </c>
      <c r="I307" s="98">
        <v>0</v>
      </c>
      <c r="J307" s="101">
        <f t="shared" si="210"/>
        <v>0</v>
      </c>
      <c r="K307" s="100">
        <v>0</v>
      </c>
      <c r="L307" s="98">
        <v>0</v>
      </c>
      <c r="M307" s="101">
        <f t="shared" si="211"/>
        <v>0</v>
      </c>
      <c r="N307" s="100">
        <v>0</v>
      </c>
      <c r="O307" s="98">
        <v>0</v>
      </c>
      <c r="P307" s="101">
        <f t="shared" si="212"/>
        <v>0</v>
      </c>
      <c r="Q307" s="100">
        <v>0</v>
      </c>
      <c r="R307" s="98">
        <v>0</v>
      </c>
      <c r="S307" s="101">
        <f t="shared" si="213"/>
        <v>0</v>
      </c>
      <c r="T307" s="100">
        <v>0</v>
      </c>
      <c r="U307" s="98">
        <v>0</v>
      </c>
      <c r="V307" s="101">
        <f t="shared" si="215"/>
        <v>0</v>
      </c>
      <c r="W307" s="100">
        <v>0</v>
      </c>
      <c r="X307" s="98">
        <v>0</v>
      </c>
      <c r="Y307" s="147">
        <f t="shared" si="214"/>
        <v>0</v>
      </c>
      <c r="Z307" s="150"/>
    </row>
    <row r="308" spans="2:26" s="126" customFormat="1" ht="17.100000000000001" customHeight="1">
      <c r="B308" s="118"/>
      <c r="C308" s="119"/>
      <c r="D308" s="120"/>
      <c r="E308" s="121"/>
      <c r="F308" s="122"/>
      <c r="G308" s="123"/>
      <c r="H308" s="341" t="s">
        <v>201</v>
      </c>
      <c r="I308" s="342"/>
      <c r="J308" s="124">
        <f>SUM(J301:J307)</f>
        <v>60</v>
      </c>
      <c r="K308" s="341" t="s">
        <v>201</v>
      </c>
      <c r="L308" s="342"/>
      <c r="M308" s="124">
        <f>SUM(M301:M307)</f>
        <v>0</v>
      </c>
      <c r="N308" s="341" t="s">
        <v>201</v>
      </c>
      <c r="O308" s="342"/>
      <c r="P308" s="124">
        <f>SUM(P301:P307)</f>
        <v>0</v>
      </c>
      <c r="Q308" s="341" t="s">
        <v>201</v>
      </c>
      <c r="R308" s="342"/>
      <c r="S308" s="124">
        <f>SUM(S301:S307)</f>
        <v>0</v>
      </c>
      <c r="T308" s="341" t="s">
        <v>201</v>
      </c>
      <c r="U308" s="342"/>
      <c r="V308" s="124">
        <f>SUM(V301:V307)</f>
        <v>0</v>
      </c>
      <c r="W308" s="341" t="s">
        <v>201</v>
      </c>
      <c r="X308" s="342"/>
      <c r="Y308" s="127">
        <f>SUM(Y301:Y307)</f>
        <v>0</v>
      </c>
      <c r="Z308" s="151"/>
    </row>
    <row r="309" spans="2:26" s="35" customFormat="1" ht="17.100000000000001" customHeight="1">
      <c r="B309" s="105"/>
      <c r="C309" s="54">
        <f>'2. Rekap Back Up Beton'!C57</f>
        <v>9300</v>
      </c>
      <c r="D309" s="96">
        <f>'2. Rekap Back Up Beton'!D57</f>
        <v>9400</v>
      </c>
      <c r="E309" s="111">
        <f>'2. Rekap Back Up Beton'!E57</f>
        <v>5</v>
      </c>
      <c r="F309" s="112">
        <f>(100/((D309-C309)*E309))*((J316*0.5)+(M316*1)+(P316*2)+(S316*20)+(V316*15)+(Y316*1.5))</f>
        <v>30</v>
      </c>
      <c r="G309" s="113" t="str">
        <f>IF(F309&lt;=25,"B",IF(F309&lt;=75,"S",IF(F309&lt;=100,"RR","RB")))</f>
        <v>S</v>
      </c>
      <c r="H309" s="100">
        <v>100</v>
      </c>
      <c r="I309" s="98">
        <v>3</v>
      </c>
      <c r="J309" s="101">
        <f t="shared" ref="J309:J315" si="216">H309*I309</f>
        <v>300</v>
      </c>
      <c r="K309" s="100">
        <v>0</v>
      </c>
      <c r="L309" s="98">
        <v>0</v>
      </c>
      <c r="M309" s="101">
        <f t="shared" ref="M309:M315" si="217">K309*L309</f>
        <v>0</v>
      </c>
      <c r="N309" s="100">
        <v>0</v>
      </c>
      <c r="O309" s="98">
        <v>4</v>
      </c>
      <c r="P309" s="101">
        <f t="shared" ref="P309:P315" si="218">N309*O309</f>
        <v>0</v>
      </c>
      <c r="Q309" s="100">
        <v>0</v>
      </c>
      <c r="R309" s="98">
        <v>0</v>
      </c>
      <c r="S309" s="101">
        <f t="shared" ref="S309:S315" si="219">Q309*R309</f>
        <v>0</v>
      </c>
      <c r="T309" s="100">
        <v>0</v>
      </c>
      <c r="U309" s="98">
        <v>0</v>
      </c>
      <c r="V309" s="101">
        <f>T309*U309</f>
        <v>0</v>
      </c>
      <c r="W309" s="100">
        <v>0</v>
      </c>
      <c r="X309" s="98">
        <v>0</v>
      </c>
      <c r="Y309" s="147">
        <f t="shared" ref="Y309:Y315" si="220">W309*X309</f>
        <v>0</v>
      </c>
      <c r="Z309" s="150"/>
    </row>
    <row r="310" spans="2:26" s="35" customFormat="1" ht="17.100000000000001" customHeight="1">
      <c r="B310" s="105"/>
      <c r="C310" s="54"/>
      <c r="D310" s="96"/>
      <c r="E310" s="111"/>
      <c r="F310" s="112"/>
      <c r="G310" s="113"/>
      <c r="H310" s="100">
        <v>0</v>
      </c>
      <c r="I310" s="98">
        <v>0</v>
      </c>
      <c r="J310" s="101">
        <f t="shared" si="216"/>
        <v>0</v>
      </c>
      <c r="K310" s="100">
        <v>0</v>
      </c>
      <c r="L310" s="98">
        <v>0</v>
      </c>
      <c r="M310" s="101">
        <f t="shared" si="217"/>
        <v>0</v>
      </c>
      <c r="N310" s="100">
        <v>0</v>
      </c>
      <c r="O310" s="98">
        <v>0</v>
      </c>
      <c r="P310" s="101">
        <f t="shared" si="218"/>
        <v>0</v>
      </c>
      <c r="Q310" s="100">
        <v>0</v>
      </c>
      <c r="R310" s="98">
        <v>0</v>
      </c>
      <c r="S310" s="101">
        <f t="shared" si="219"/>
        <v>0</v>
      </c>
      <c r="T310" s="100">
        <v>0</v>
      </c>
      <c r="U310" s="98">
        <v>0</v>
      </c>
      <c r="V310" s="101">
        <f t="shared" ref="V310:V315" si="221">T310*U310</f>
        <v>0</v>
      </c>
      <c r="W310" s="100">
        <v>0</v>
      </c>
      <c r="X310" s="98">
        <v>0</v>
      </c>
      <c r="Y310" s="147">
        <f t="shared" si="220"/>
        <v>0</v>
      </c>
      <c r="Z310" s="150"/>
    </row>
    <row r="311" spans="2:26" s="35" customFormat="1" ht="17.100000000000001" customHeight="1">
      <c r="B311" s="105"/>
      <c r="C311" s="54"/>
      <c r="D311" s="96"/>
      <c r="E311" s="111"/>
      <c r="F311" s="112"/>
      <c r="G311" s="113"/>
      <c r="H311" s="100">
        <v>0</v>
      </c>
      <c r="I311" s="98">
        <v>0</v>
      </c>
      <c r="J311" s="101">
        <f t="shared" si="216"/>
        <v>0</v>
      </c>
      <c r="K311" s="100">
        <v>0</v>
      </c>
      <c r="L311" s="98">
        <v>0</v>
      </c>
      <c r="M311" s="101">
        <f t="shared" si="217"/>
        <v>0</v>
      </c>
      <c r="N311" s="100">
        <v>0</v>
      </c>
      <c r="O311" s="98">
        <v>0</v>
      </c>
      <c r="P311" s="101">
        <f t="shared" si="218"/>
        <v>0</v>
      </c>
      <c r="Q311" s="100">
        <v>0</v>
      </c>
      <c r="R311" s="98">
        <v>0</v>
      </c>
      <c r="S311" s="101">
        <f t="shared" si="219"/>
        <v>0</v>
      </c>
      <c r="T311" s="100">
        <v>0</v>
      </c>
      <c r="U311" s="98">
        <v>0</v>
      </c>
      <c r="V311" s="101">
        <f t="shared" si="221"/>
        <v>0</v>
      </c>
      <c r="W311" s="100">
        <v>0</v>
      </c>
      <c r="X311" s="98">
        <v>0</v>
      </c>
      <c r="Y311" s="147">
        <f t="shared" si="220"/>
        <v>0</v>
      </c>
      <c r="Z311" s="150"/>
    </row>
    <row r="312" spans="2:26" s="35" customFormat="1" ht="17.100000000000001" customHeight="1">
      <c r="B312" s="105"/>
      <c r="C312" s="54"/>
      <c r="D312" s="96"/>
      <c r="E312" s="111"/>
      <c r="F312" s="112"/>
      <c r="G312" s="113"/>
      <c r="H312" s="100">
        <v>0</v>
      </c>
      <c r="I312" s="98">
        <v>0</v>
      </c>
      <c r="J312" s="101">
        <f t="shared" si="216"/>
        <v>0</v>
      </c>
      <c r="K312" s="100">
        <v>0</v>
      </c>
      <c r="L312" s="98">
        <v>0</v>
      </c>
      <c r="M312" s="101">
        <f t="shared" si="217"/>
        <v>0</v>
      </c>
      <c r="N312" s="100">
        <v>0</v>
      </c>
      <c r="O312" s="98">
        <v>0</v>
      </c>
      <c r="P312" s="101">
        <f t="shared" si="218"/>
        <v>0</v>
      </c>
      <c r="Q312" s="100">
        <v>0</v>
      </c>
      <c r="R312" s="98">
        <v>0</v>
      </c>
      <c r="S312" s="101">
        <f t="shared" si="219"/>
        <v>0</v>
      </c>
      <c r="T312" s="100">
        <v>0</v>
      </c>
      <c r="U312" s="98">
        <v>0</v>
      </c>
      <c r="V312" s="101">
        <f t="shared" si="221"/>
        <v>0</v>
      </c>
      <c r="W312" s="100">
        <v>0</v>
      </c>
      <c r="X312" s="98">
        <v>0</v>
      </c>
      <c r="Y312" s="147">
        <f t="shared" si="220"/>
        <v>0</v>
      </c>
      <c r="Z312" s="150"/>
    </row>
    <row r="313" spans="2:26" s="35" customFormat="1" ht="17.100000000000001" customHeight="1">
      <c r="B313" s="105"/>
      <c r="C313" s="54"/>
      <c r="D313" s="96"/>
      <c r="E313" s="111"/>
      <c r="F313" s="112"/>
      <c r="G313" s="113"/>
      <c r="H313" s="100">
        <v>0</v>
      </c>
      <c r="I313" s="98">
        <v>0</v>
      </c>
      <c r="J313" s="101">
        <f t="shared" si="216"/>
        <v>0</v>
      </c>
      <c r="K313" s="100">
        <v>0</v>
      </c>
      <c r="L313" s="98">
        <v>0</v>
      </c>
      <c r="M313" s="101">
        <f t="shared" si="217"/>
        <v>0</v>
      </c>
      <c r="N313" s="100">
        <v>0</v>
      </c>
      <c r="O313" s="98">
        <v>0</v>
      </c>
      <c r="P313" s="101">
        <f t="shared" si="218"/>
        <v>0</v>
      </c>
      <c r="Q313" s="100">
        <v>0</v>
      </c>
      <c r="R313" s="98">
        <v>0</v>
      </c>
      <c r="S313" s="101">
        <f t="shared" si="219"/>
        <v>0</v>
      </c>
      <c r="T313" s="100">
        <v>0</v>
      </c>
      <c r="U313" s="98">
        <v>0</v>
      </c>
      <c r="V313" s="101">
        <f t="shared" si="221"/>
        <v>0</v>
      </c>
      <c r="W313" s="100">
        <v>0</v>
      </c>
      <c r="X313" s="98">
        <v>0</v>
      </c>
      <c r="Y313" s="147">
        <f t="shared" si="220"/>
        <v>0</v>
      </c>
      <c r="Z313" s="150"/>
    </row>
    <row r="314" spans="2:26" s="35" customFormat="1" ht="17.100000000000001" customHeight="1">
      <c r="B314" s="105"/>
      <c r="C314" s="54"/>
      <c r="D314" s="96"/>
      <c r="E314" s="111"/>
      <c r="F314" s="112"/>
      <c r="G314" s="113"/>
      <c r="H314" s="100">
        <v>0</v>
      </c>
      <c r="I314" s="98">
        <v>0</v>
      </c>
      <c r="J314" s="101">
        <f t="shared" si="216"/>
        <v>0</v>
      </c>
      <c r="K314" s="100">
        <v>0</v>
      </c>
      <c r="L314" s="98">
        <v>0</v>
      </c>
      <c r="M314" s="101">
        <f t="shared" si="217"/>
        <v>0</v>
      </c>
      <c r="N314" s="100">
        <v>0</v>
      </c>
      <c r="O314" s="98">
        <v>0</v>
      </c>
      <c r="P314" s="101">
        <f t="shared" si="218"/>
        <v>0</v>
      </c>
      <c r="Q314" s="100">
        <v>0</v>
      </c>
      <c r="R314" s="98">
        <v>0</v>
      </c>
      <c r="S314" s="101">
        <f t="shared" si="219"/>
        <v>0</v>
      </c>
      <c r="T314" s="100">
        <v>0</v>
      </c>
      <c r="U314" s="98">
        <v>0</v>
      </c>
      <c r="V314" s="101">
        <f t="shared" si="221"/>
        <v>0</v>
      </c>
      <c r="W314" s="100">
        <v>0</v>
      </c>
      <c r="X314" s="98">
        <v>0</v>
      </c>
      <c r="Y314" s="147">
        <f t="shared" si="220"/>
        <v>0</v>
      </c>
      <c r="Z314" s="150"/>
    </row>
    <row r="315" spans="2:26" s="35" customFormat="1" ht="17.100000000000001" customHeight="1">
      <c r="B315" s="105"/>
      <c r="C315" s="54"/>
      <c r="D315" s="96"/>
      <c r="E315" s="111"/>
      <c r="F315" s="112"/>
      <c r="G315" s="113"/>
      <c r="H315" s="100">
        <v>0</v>
      </c>
      <c r="I315" s="98">
        <v>0</v>
      </c>
      <c r="J315" s="101">
        <f t="shared" si="216"/>
        <v>0</v>
      </c>
      <c r="K315" s="100">
        <v>0</v>
      </c>
      <c r="L315" s="98">
        <v>0</v>
      </c>
      <c r="M315" s="101">
        <f t="shared" si="217"/>
        <v>0</v>
      </c>
      <c r="N315" s="100">
        <v>0</v>
      </c>
      <c r="O315" s="98">
        <v>0</v>
      </c>
      <c r="P315" s="101">
        <f t="shared" si="218"/>
        <v>0</v>
      </c>
      <c r="Q315" s="100">
        <v>0</v>
      </c>
      <c r="R315" s="98">
        <v>0</v>
      </c>
      <c r="S315" s="101">
        <f t="shared" si="219"/>
        <v>0</v>
      </c>
      <c r="T315" s="100">
        <v>0</v>
      </c>
      <c r="U315" s="98">
        <v>0</v>
      </c>
      <c r="V315" s="101">
        <f t="shared" si="221"/>
        <v>0</v>
      </c>
      <c r="W315" s="100">
        <v>0</v>
      </c>
      <c r="X315" s="98">
        <v>0</v>
      </c>
      <c r="Y315" s="147">
        <f t="shared" si="220"/>
        <v>0</v>
      </c>
      <c r="Z315" s="150"/>
    </row>
    <row r="316" spans="2:26" s="126" customFormat="1" ht="17.100000000000001" customHeight="1">
      <c r="B316" s="118"/>
      <c r="C316" s="119"/>
      <c r="D316" s="120"/>
      <c r="E316" s="121"/>
      <c r="F316" s="122"/>
      <c r="G316" s="123"/>
      <c r="H316" s="341" t="s">
        <v>201</v>
      </c>
      <c r="I316" s="342"/>
      <c r="J316" s="124">
        <f>SUM(J309:J315)</f>
        <v>300</v>
      </c>
      <c r="K316" s="341" t="s">
        <v>201</v>
      </c>
      <c r="L316" s="342"/>
      <c r="M316" s="124">
        <f>SUM(M309:M315)</f>
        <v>0</v>
      </c>
      <c r="N316" s="341" t="s">
        <v>201</v>
      </c>
      <c r="O316" s="342"/>
      <c r="P316" s="124">
        <f>SUM(P309:P315)</f>
        <v>0</v>
      </c>
      <c r="Q316" s="341" t="s">
        <v>201</v>
      </c>
      <c r="R316" s="342"/>
      <c r="S316" s="124">
        <f>SUM(S309:S315)</f>
        <v>0</v>
      </c>
      <c r="T316" s="341" t="s">
        <v>201</v>
      </c>
      <c r="U316" s="342"/>
      <c r="V316" s="124">
        <f>SUM(V309:V315)</f>
        <v>0</v>
      </c>
      <c r="W316" s="341" t="s">
        <v>201</v>
      </c>
      <c r="X316" s="342"/>
      <c r="Y316" s="127">
        <f>SUM(Y309:Y315)</f>
        <v>0</v>
      </c>
      <c r="Z316" s="151"/>
    </row>
    <row r="317" spans="2:26" s="35" customFormat="1" ht="17.100000000000001" customHeight="1">
      <c r="B317" s="105"/>
      <c r="C317" s="54">
        <f>'2. Rekap Back Up Beton'!C58</f>
        <v>9400</v>
      </c>
      <c r="D317" s="96">
        <f>'2. Rekap Back Up Beton'!D58</f>
        <v>9500</v>
      </c>
      <c r="E317" s="111">
        <f>'2. Rekap Back Up Beton'!E58</f>
        <v>5</v>
      </c>
      <c r="F317" s="112">
        <f>(100/((D317-C317)*E317))*((J324*0.5)+(M324*1)+(P324*2)+(S324*20)+(V324*15)+(Y324*1.5))</f>
        <v>30</v>
      </c>
      <c r="G317" s="113" t="str">
        <f>IF(F317&lt;=25,"B",IF(F317&lt;=75,"S",IF(F317&lt;=100,"RR","RB")))</f>
        <v>S</v>
      </c>
      <c r="H317" s="100">
        <v>100</v>
      </c>
      <c r="I317" s="98">
        <v>3</v>
      </c>
      <c r="J317" s="101">
        <f t="shared" ref="J317:J323" si="222">H317*I317</f>
        <v>300</v>
      </c>
      <c r="K317" s="100">
        <v>0</v>
      </c>
      <c r="L317" s="98">
        <v>0</v>
      </c>
      <c r="M317" s="101">
        <f t="shared" ref="M317:M323" si="223">K317*L317</f>
        <v>0</v>
      </c>
      <c r="N317" s="100">
        <v>0</v>
      </c>
      <c r="O317" s="98">
        <v>4</v>
      </c>
      <c r="P317" s="101">
        <f t="shared" ref="P317:P323" si="224">N317*O317</f>
        <v>0</v>
      </c>
      <c r="Q317" s="100">
        <v>0</v>
      </c>
      <c r="R317" s="98">
        <v>0</v>
      </c>
      <c r="S317" s="101">
        <f t="shared" ref="S317:S323" si="225">Q317*R317</f>
        <v>0</v>
      </c>
      <c r="T317" s="100">
        <v>0</v>
      </c>
      <c r="U317" s="98">
        <v>0</v>
      </c>
      <c r="V317" s="101">
        <f>T317*U317</f>
        <v>0</v>
      </c>
      <c r="W317" s="100">
        <v>0</v>
      </c>
      <c r="X317" s="98">
        <v>0</v>
      </c>
      <c r="Y317" s="147">
        <f t="shared" ref="Y317:Y323" si="226">W317*X317</f>
        <v>0</v>
      </c>
      <c r="Z317" s="150"/>
    </row>
    <row r="318" spans="2:26" s="35" customFormat="1" ht="17.100000000000001" customHeight="1">
      <c r="B318" s="105"/>
      <c r="C318" s="54"/>
      <c r="D318" s="96"/>
      <c r="E318" s="111"/>
      <c r="F318" s="112"/>
      <c r="G318" s="113"/>
      <c r="H318" s="100">
        <v>0</v>
      </c>
      <c r="I318" s="98">
        <v>0</v>
      </c>
      <c r="J318" s="101">
        <f t="shared" si="222"/>
        <v>0</v>
      </c>
      <c r="K318" s="100">
        <v>0</v>
      </c>
      <c r="L318" s="98">
        <v>0</v>
      </c>
      <c r="M318" s="101">
        <f t="shared" si="223"/>
        <v>0</v>
      </c>
      <c r="N318" s="100">
        <v>0</v>
      </c>
      <c r="O318" s="98">
        <v>0</v>
      </c>
      <c r="P318" s="101">
        <f t="shared" si="224"/>
        <v>0</v>
      </c>
      <c r="Q318" s="100">
        <v>0</v>
      </c>
      <c r="R318" s="98">
        <v>0</v>
      </c>
      <c r="S318" s="101">
        <f t="shared" si="225"/>
        <v>0</v>
      </c>
      <c r="T318" s="100">
        <v>0</v>
      </c>
      <c r="U318" s="98">
        <v>0</v>
      </c>
      <c r="V318" s="101">
        <f t="shared" ref="V318:V323" si="227">T318*U318</f>
        <v>0</v>
      </c>
      <c r="W318" s="100">
        <v>0</v>
      </c>
      <c r="X318" s="98">
        <v>0</v>
      </c>
      <c r="Y318" s="147">
        <f t="shared" si="226"/>
        <v>0</v>
      </c>
      <c r="Z318" s="150"/>
    </row>
    <row r="319" spans="2:26" s="35" customFormat="1" ht="17.100000000000001" customHeight="1">
      <c r="B319" s="105"/>
      <c r="C319" s="54"/>
      <c r="D319" s="96"/>
      <c r="E319" s="111"/>
      <c r="F319" s="112"/>
      <c r="G319" s="113"/>
      <c r="H319" s="100">
        <v>0</v>
      </c>
      <c r="I319" s="98">
        <v>0</v>
      </c>
      <c r="J319" s="101">
        <f t="shared" si="222"/>
        <v>0</v>
      </c>
      <c r="K319" s="100">
        <v>0</v>
      </c>
      <c r="L319" s="98">
        <v>0</v>
      </c>
      <c r="M319" s="101">
        <f t="shared" si="223"/>
        <v>0</v>
      </c>
      <c r="N319" s="100">
        <v>0</v>
      </c>
      <c r="O319" s="98">
        <v>0</v>
      </c>
      <c r="P319" s="101">
        <f t="shared" si="224"/>
        <v>0</v>
      </c>
      <c r="Q319" s="100">
        <v>0</v>
      </c>
      <c r="R319" s="98">
        <v>0</v>
      </c>
      <c r="S319" s="101">
        <f t="shared" si="225"/>
        <v>0</v>
      </c>
      <c r="T319" s="100">
        <v>0</v>
      </c>
      <c r="U319" s="98">
        <v>0</v>
      </c>
      <c r="V319" s="101">
        <f t="shared" si="227"/>
        <v>0</v>
      </c>
      <c r="W319" s="100">
        <v>0</v>
      </c>
      <c r="X319" s="98">
        <v>0</v>
      </c>
      <c r="Y319" s="147">
        <f t="shared" si="226"/>
        <v>0</v>
      </c>
      <c r="Z319" s="150"/>
    </row>
    <row r="320" spans="2:26" s="35" customFormat="1" ht="17.100000000000001" customHeight="1">
      <c r="B320" s="105"/>
      <c r="C320" s="54"/>
      <c r="D320" s="96"/>
      <c r="E320" s="111"/>
      <c r="F320" s="112"/>
      <c r="G320" s="113"/>
      <c r="H320" s="100">
        <v>0</v>
      </c>
      <c r="I320" s="98">
        <v>0</v>
      </c>
      <c r="J320" s="101">
        <f t="shared" si="222"/>
        <v>0</v>
      </c>
      <c r="K320" s="100">
        <v>0</v>
      </c>
      <c r="L320" s="98">
        <v>0</v>
      </c>
      <c r="M320" s="101">
        <f t="shared" si="223"/>
        <v>0</v>
      </c>
      <c r="N320" s="100">
        <v>0</v>
      </c>
      <c r="O320" s="98">
        <v>0</v>
      </c>
      <c r="P320" s="101">
        <f t="shared" si="224"/>
        <v>0</v>
      </c>
      <c r="Q320" s="100">
        <v>0</v>
      </c>
      <c r="R320" s="98">
        <v>0</v>
      </c>
      <c r="S320" s="101">
        <f t="shared" si="225"/>
        <v>0</v>
      </c>
      <c r="T320" s="100">
        <v>0</v>
      </c>
      <c r="U320" s="98">
        <v>0</v>
      </c>
      <c r="V320" s="101">
        <f t="shared" si="227"/>
        <v>0</v>
      </c>
      <c r="W320" s="100">
        <v>0</v>
      </c>
      <c r="X320" s="98">
        <v>0</v>
      </c>
      <c r="Y320" s="147">
        <f t="shared" si="226"/>
        <v>0</v>
      </c>
      <c r="Z320" s="150"/>
    </row>
    <row r="321" spans="2:26" s="35" customFormat="1" ht="17.100000000000001" customHeight="1">
      <c r="B321" s="105"/>
      <c r="C321" s="54"/>
      <c r="D321" s="96"/>
      <c r="E321" s="111"/>
      <c r="F321" s="112"/>
      <c r="G321" s="113"/>
      <c r="H321" s="100">
        <v>0</v>
      </c>
      <c r="I321" s="98">
        <v>0</v>
      </c>
      <c r="J321" s="101">
        <f t="shared" si="222"/>
        <v>0</v>
      </c>
      <c r="K321" s="100">
        <v>0</v>
      </c>
      <c r="L321" s="98">
        <v>0</v>
      </c>
      <c r="M321" s="101">
        <f t="shared" si="223"/>
        <v>0</v>
      </c>
      <c r="N321" s="100">
        <v>0</v>
      </c>
      <c r="O321" s="98">
        <v>0</v>
      </c>
      <c r="P321" s="101">
        <f t="shared" si="224"/>
        <v>0</v>
      </c>
      <c r="Q321" s="100">
        <v>0</v>
      </c>
      <c r="R321" s="98">
        <v>0</v>
      </c>
      <c r="S321" s="101">
        <f t="shared" si="225"/>
        <v>0</v>
      </c>
      <c r="T321" s="100">
        <v>0</v>
      </c>
      <c r="U321" s="98">
        <v>0</v>
      </c>
      <c r="V321" s="101">
        <f t="shared" si="227"/>
        <v>0</v>
      </c>
      <c r="W321" s="100">
        <v>0</v>
      </c>
      <c r="X321" s="98">
        <v>0</v>
      </c>
      <c r="Y321" s="147">
        <f t="shared" si="226"/>
        <v>0</v>
      </c>
      <c r="Z321" s="150"/>
    </row>
    <row r="322" spans="2:26" s="35" customFormat="1" ht="17.100000000000001" customHeight="1">
      <c r="B322" s="105"/>
      <c r="C322" s="54"/>
      <c r="D322" s="96"/>
      <c r="E322" s="111"/>
      <c r="F322" s="112"/>
      <c r="G322" s="113"/>
      <c r="H322" s="100">
        <v>0</v>
      </c>
      <c r="I322" s="98">
        <v>0</v>
      </c>
      <c r="J322" s="101">
        <f t="shared" si="222"/>
        <v>0</v>
      </c>
      <c r="K322" s="100">
        <v>0</v>
      </c>
      <c r="L322" s="98">
        <v>0</v>
      </c>
      <c r="M322" s="101">
        <f t="shared" si="223"/>
        <v>0</v>
      </c>
      <c r="N322" s="100">
        <v>0</v>
      </c>
      <c r="O322" s="98">
        <v>0</v>
      </c>
      <c r="P322" s="101">
        <f t="shared" si="224"/>
        <v>0</v>
      </c>
      <c r="Q322" s="100">
        <v>0</v>
      </c>
      <c r="R322" s="98">
        <v>0</v>
      </c>
      <c r="S322" s="101">
        <f t="shared" si="225"/>
        <v>0</v>
      </c>
      <c r="T322" s="100">
        <v>0</v>
      </c>
      <c r="U322" s="98">
        <v>0</v>
      </c>
      <c r="V322" s="101">
        <f t="shared" si="227"/>
        <v>0</v>
      </c>
      <c r="W322" s="100">
        <v>0</v>
      </c>
      <c r="X322" s="98">
        <v>0</v>
      </c>
      <c r="Y322" s="147">
        <f t="shared" si="226"/>
        <v>0</v>
      </c>
      <c r="Z322" s="150"/>
    </row>
    <row r="323" spans="2:26" s="35" customFormat="1" ht="17.100000000000001" customHeight="1">
      <c r="B323" s="105"/>
      <c r="C323" s="54"/>
      <c r="D323" s="96"/>
      <c r="E323" s="111"/>
      <c r="F323" s="112"/>
      <c r="G323" s="113"/>
      <c r="H323" s="100">
        <v>0</v>
      </c>
      <c r="I323" s="98">
        <v>0</v>
      </c>
      <c r="J323" s="101">
        <f t="shared" si="222"/>
        <v>0</v>
      </c>
      <c r="K323" s="100">
        <v>0</v>
      </c>
      <c r="L323" s="98">
        <v>0</v>
      </c>
      <c r="M323" s="101">
        <f t="shared" si="223"/>
        <v>0</v>
      </c>
      <c r="N323" s="100">
        <v>0</v>
      </c>
      <c r="O323" s="98">
        <v>0</v>
      </c>
      <c r="P323" s="101">
        <f t="shared" si="224"/>
        <v>0</v>
      </c>
      <c r="Q323" s="100">
        <v>0</v>
      </c>
      <c r="R323" s="98">
        <v>0</v>
      </c>
      <c r="S323" s="101">
        <f t="shared" si="225"/>
        <v>0</v>
      </c>
      <c r="T323" s="100">
        <v>0</v>
      </c>
      <c r="U323" s="98">
        <v>0</v>
      </c>
      <c r="V323" s="101">
        <f t="shared" si="227"/>
        <v>0</v>
      </c>
      <c r="W323" s="100">
        <v>0</v>
      </c>
      <c r="X323" s="98">
        <v>0</v>
      </c>
      <c r="Y323" s="147">
        <f t="shared" si="226"/>
        <v>0</v>
      </c>
      <c r="Z323" s="150"/>
    </row>
    <row r="324" spans="2:26" s="126" customFormat="1" ht="17.100000000000001" customHeight="1">
      <c r="B324" s="118"/>
      <c r="C324" s="119"/>
      <c r="D324" s="120"/>
      <c r="E324" s="121"/>
      <c r="F324" s="122"/>
      <c r="G324" s="123"/>
      <c r="H324" s="341" t="s">
        <v>201</v>
      </c>
      <c r="I324" s="342"/>
      <c r="J324" s="124">
        <f>SUM(J317:J323)</f>
        <v>300</v>
      </c>
      <c r="K324" s="341" t="s">
        <v>201</v>
      </c>
      <c r="L324" s="342"/>
      <c r="M324" s="124">
        <f>SUM(M317:M323)</f>
        <v>0</v>
      </c>
      <c r="N324" s="341" t="s">
        <v>201</v>
      </c>
      <c r="O324" s="342"/>
      <c r="P324" s="124">
        <f>SUM(P317:P323)</f>
        <v>0</v>
      </c>
      <c r="Q324" s="341" t="s">
        <v>201</v>
      </c>
      <c r="R324" s="342"/>
      <c r="S324" s="124">
        <f>SUM(S317:S323)</f>
        <v>0</v>
      </c>
      <c r="T324" s="341" t="s">
        <v>201</v>
      </c>
      <c r="U324" s="342"/>
      <c r="V324" s="124">
        <f>SUM(V317:V323)</f>
        <v>0</v>
      </c>
      <c r="W324" s="341" t="s">
        <v>201</v>
      </c>
      <c r="X324" s="342"/>
      <c r="Y324" s="127">
        <f>SUM(Y317:Y323)</f>
        <v>0</v>
      </c>
      <c r="Z324" s="151"/>
    </row>
    <row r="325" spans="2:26" s="35" customFormat="1" ht="17.100000000000001" customHeight="1">
      <c r="B325" s="105"/>
      <c r="C325" s="54">
        <f>'2. Rekap Back Up Beton'!C59</f>
        <v>9500</v>
      </c>
      <c r="D325" s="96">
        <f>'2. Rekap Back Up Beton'!D59</f>
        <v>9600</v>
      </c>
      <c r="E325" s="111">
        <f>'2. Rekap Back Up Beton'!E59</f>
        <v>5</v>
      </c>
      <c r="F325" s="112">
        <f>(100/((D325-C325)*E325))*((J332*0.5)+(M332*1)+(P332*2)+(S332*20)+(V332*15)+(Y332*1.5))</f>
        <v>30</v>
      </c>
      <c r="G325" s="113" t="str">
        <f>IF(F325&lt;=25,"B",IF(F325&lt;=75,"S",IF(F325&lt;=100,"RR","RB")))</f>
        <v>S</v>
      </c>
      <c r="H325" s="100">
        <v>100</v>
      </c>
      <c r="I325" s="98">
        <v>3</v>
      </c>
      <c r="J325" s="101">
        <f t="shared" ref="J325:J331" si="228">H325*I325</f>
        <v>300</v>
      </c>
      <c r="K325" s="100">
        <v>0</v>
      </c>
      <c r="L325" s="98">
        <v>0</v>
      </c>
      <c r="M325" s="101">
        <f t="shared" ref="M325:M331" si="229">K325*L325</f>
        <v>0</v>
      </c>
      <c r="N325" s="100">
        <v>0</v>
      </c>
      <c r="O325" s="98">
        <v>4</v>
      </c>
      <c r="P325" s="101">
        <f t="shared" ref="P325:P331" si="230">N325*O325</f>
        <v>0</v>
      </c>
      <c r="Q325" s="100">
        <v>0</v>
      </c>
      <c r="R325" s="98">
        <v>0</v>
      </c>
      <c r="S325" s="101">
        <f t="shared" ref="S325:S331" si="231">Q325*R325</f>
        <v>0</v>
      </c>
      <c r="T325" s="100">
        <v>0</v>
      </c>
      <c r="U325" s="98">
        <v>0</v>
      </c>
      <c r="V325" s="101">
        <f>T325*U325</f>
        <v>0</v>
      </c>
      <c r="W325" s="100">
        <v>0</v>
      </c>
      <c r="X325" s="98">
        <v>0</v>
      </c>
      <c r="Y325" s="147">
        <f t="shared" ref="Y325:Y331" si="232">W325*X325</f>
        <v>0</v>
      </c>
      <c r="Z325" s="150"/>
    </row>
    <row r="326" spans="2:26" s="35" customFormat="1" ht="17.100000000000001" customHeight="1">
      <c r="B326" s="105"/>
      <c r="C326" s="54"/>
      <c r="D326" s="96"/>
      <c r="E326" s="111"/>
      <c r="F326" s="112"/>
      <c r="G326" s="113"/>
      <c r="H326" s="100">
        <v>0</v>
      </c>
      <c r="I326" s="98">
        <v>0</v>
      </c>
      <c r="J326" s="101">
        <f t="shared" si="228"/>
        <v>0</v>
      </c>
      <c r="K326" s="100">
        <v>0</v>
      </c>
      <c r="L326" s="98">
        <v>0</v>
      </c>
      <c r="M326" s="101">
        <f t="shared" si="229"/>
        <v>0</v>
      </c>
      <c r="N326" s="100">
        <v>0</v>
      </c>
      <c r="O326" s="98">
        <v>0</v>
      </c>
      <c r="P326" s="101">
        <f t="shared" si="230"/>
        <v>0</v>
      </c>
      <c r="Q326" s="100">
        <v>0</v>
      </c>
      <c r="R326" s="98">
        <v>0</v>
      </c>
      <c r="S326" s="101">
        <f t="shared" si="231"/>
        <v>0</v>
      </c>
      <c r="T326" s="100">
        <v>0</v>
      </c>
      <c r="U326" s="98">
        <v>0</v>
      </c>
      <c r="V326" s="101">
        <f t="shared" ref="V326:V331" si="233">T326*U326</f>
        <v>0</v>
      </c>
      <c r="W326" s="100">
        <v>0</v>
      </c>
      <c r="X326" s="98">
        <v>0</v>
      </c>
      <c r="Y326" s="147">
        <f t="shared" si="232"/>
        <v>0</v>
      </c>
      <c r="Z326" s="150"/>
    </row>
    <row r="327" spans="2:26" s="35" customFormat="1" ht="17.100000000000001" customHeight="1">
      <c r="B327" s="105"/>
      <c r="C327" s="54"/>
      <c r="D327" s="96"/>
      <c r="E327" s="111"/>
      <c r="F327" s="112"/>
      <c r="G327" s="113"/>
      <c r="H327" s="100">
        <v>0</v>
      </c>
      <c r="I327" s="98">
        <v>0</v>
      </c>
      <c r="J327" s="101">
        <f t="shared" si="228"/>
        <v>0</v>
      </c>
      <c r="K327" s="100">
        <v>0</v>
      </c>
      <c r="L327" s="98">
        <v>0</v>
      </c>
      <c r="M327" s="101">
        <f t="shared" si="229"/>
        <v>0</v>
      </c>
      <c r="N327" s="100">
        <v>0</v>
      </c>
      <c r="O327" s="98">
        <v>0</v>
      </c>
      <c r="P327" s="101">
        <f t="shared" si="230"/>
        <v>0</v>
      </c>
      <c r="Q327" s="100">
        <v>0</v>
      </c>
      <c r="R327" s="98">
        <v>0</v>
      </c>
      <c r="S327" s="101">
        <f t="shared" si="231"/>
        <v>0</v>
      </c>
      <c r="T327" s="100">
        <v>0</v>
      </c>
      <c r="U327" s="98">
        <v>0</v>
      </c>
      <c r="V327" s="101">
        <f t="shared" si="233"/>
        <v>0</v>
      </c>
      <c r="W327" s="100">
        <v>0</v>
      </c>
      <c r="X327" s="98">
        <v>0</v>
      </c>
      <c r="Y327" s="147">
        <f t="shared" si="232"/>
        <v>0</v>
      </c>
      <c r="Z327" s="150"/>
    </row>
    <row r="328" spans="2:26" s="35" customFormat="1" ht="17.100000000000001" customHeight="1">
      <c r="B328" s="105"/>
      <c r="C328" s="54"/>
      <c r="D328" s="96"/>
      <c r="E328" s="111"/>
      <c r="F328" s="112"/>
      <c r="G328" s="113"/>
      <c r="H328" s="100">
        <v>0</v>
      </c>
      <c r="I328" s="98">
        <v>0</v>
      </c>
      <c r="J328" s="101">
        <f t="shared" si="228"/>
        <v>0</v>
      </c>
      <c r="K328" s="100">
        <v>0</v>
      </c>
      <c r="L328" s="98">
        <v>0</v>
      </c>
      <c r="M328" s="101">
        <f t="shared" si="229"/>
        <v>0</v>
      </c>
      <c r="N328" s="100">
        <v>0</v>
      </c>
      <c r="O328" s="98">
        <v>0</v>
      </c>
      <c r="P328" s="101">
        <f t="shared" si="230"/>
        <v>0</v>
      </c>
      <c r="Q328" s="100">
        <v>0</v>
      </c>
      <c r="R328" s="98">
        <v>0</v>
      </c>
      <c r="S328" s="101">
        <f t="shared" si="231"/>
        <v>0</v>
      </c>
      <c r="T328" s="100">
        <v>0</v>
      </c>
      <c r="U328" s="98">
        <v>0</v>
      </c>
      <c r="V328" s="101">
        <f t="shared" si="233"/>
        <v>0</v>
      </c>
      <c r="W328" s="100">
        <v>0</v>
      </c>
      <c r="X328" s="98">
        <v>0</v>
      </c>
      <c r="Y328" s="147">
        <f t="shared" si="232"/>
        <v>0</v>
      </c>
      <c r="Z328" s="150"/>
    </row>
    <row r="329" spans="2:26" s="35" customFormat="1" ht="17.100000000000001" customHeight="1">
      <c r="B329" s="105"/>
      <c r="C329" s="54"/>
      <c r="D329" s="96"/>
      <c r="E329" s="111"/>
      <c r="F329" s="112"/>
      <c r="G329" s="113"/>
      <c r="H329" s="100">
        <v>0</v>
      </c>
      <c r="I329" s="98">
        <v>0</v>
      </c>
      <c r="J329" s="101">
        <f t="shared" si="228"/>
        <v>0</v>
      </c>
      <c r="K329" s="100">
        <v>0</v>
      </c>
      <c r="L329" s="98">
        <v>0</v>
      </c>
      <c r="M329" s="101">
        <f t="shared" si="229"/>
        <v>0</v>
      </c>
      <c r="N329" s="100">
        <v>0</v>
      </c>
      <c r="O329" s="98">
        <v>0</v>
      </c>
      <c r="P329" s="101">
        <f t="shared" si="230"/>
        <v>0</v>
      </c>
      <c r="Q329" s="100">
        <v>0</v>
      </c>
      <c r="R329" s="98">
        <v>0</v>
      </c>
      <c r="S329" s="101">
        <f t="shared" si="231"/>
        <v>0</v>
      </c>
      <c r="T329" s="100">
        <v>0</v>
      </c>
      <c r="U329" s="98">
        <v>0</v>
      </c>
      <c r="V329" s="101">
        <f t="shared" si="233"/>
        <v>0</v>
      </c>
      <c r="W329" s="100">
        <v>0</v>
      </c>
      <c r="X329" s="98">
        <v>0</v>
      </c>
      <c r="Y329" s="147">
        <f t="shared" si="232"/>
        <v>0</v>
      </c>
      <c r="Z329" s="150"/>
    </row>
    <row r="330" spans="2:26" s="35" customFormat="1" ht="17.100000000000001" customHeight="1">
      <c r="B330" s="105"/>
      <c r="C330" s="54"/>
      <c r="D330" s="96"/>
      <c r="E330" s="111"/>
      <c r="F330" s="112"/>
      <c r="G330" s="113"/>
      <c r="H330" s="100">
        <v>0</v>
      </c>
      <c r="I330" s="98">
        <v>0</v>
      </c>
      <c r="J330" s="101">
        <f t="shared" si="228"/>
        <v>0</v>
      </c>
      <c r="K330" s="100">
        <v>0</v>
      </c>
      <c r="L330" s="98">
        <v>0</v>
      </c>
      <c r="M330" s="101">
        <f t="shared" si="229"/>
        <v>0</v>
      </c>
      <c r="N330" s="100">
        <v>0</v>
      </c>
      <c r="O330" s="98">
        <v>0</v>
      </c>
      <c r="P330" s="101">
        <f t="shared" si="230"/>
        <v>0</v>
      </c>
      <c r="Q330" s="100">
        <v>0</v>
      </c>
      <c r="R330" s="98">
        <v>0</v>
      </c>
      <c r="S330" s="101">
        <f t="shared" si="231"/>
        <v>0</v>
      </c>
      <c r="T330" s="100">
        <v>0</v>
      </c>
      <c r="U330" s="98">
        <v>0</v>
      </c>
      <c r="V330" s="101">
        <f t="shared" si="233"/>
        <v>0</v>
      </c>
      <c r="W330" s="100">
        <v>0</v>
      </c>
      <c r="X330" s="98">
        <v>0</v>
      </c>
      <c r="Y330" s="147">
        <f t="shared" si="232"/>
        <v>0</v>
      </c>
      <c r="Z330" s="150"/>
    </row>
    <row r="331" spans="2:26" s="35" customFormat="1" ht="17.100000000000001" customHeight="1">
      <c r="B331" s="105"/>
      <c r="C331" s="54"/>
      <c r="D331" s="96"/>
      <c r="E331" s="111"/>
      <c r="F331" s="112"/>
      <c r="G331" s="113"/>
      <c r="H331" s="100">
        <v>0</v>
      </c>
      <c r="I331" s="98">
        <v>0</v>
      </c>
      <c r="J331" s="101">
        <f t="shared" si="228"/>
        <v>0</v>
      </c>
      <c r="K331" s="100">
        <v>0</v>
      </c>
      <c r="L331" s="98">
        <v>0</v>
      </c>
      <c r="M331" s="101">
        <f t="shared" si="229"/>
        <v>0</v>
      </c>
      <c r="N331" s="100">
        <v>0</v>
      </c>
      <c r="O331" s="98">
        <v>0</v>
      </c>
      <c r="P331" s="101">
        <f t="shared" si="230"/>
        <v>0</v>
      </c>
      <c r="Q331" s="100">
        <v>0</v>
      </c>
      <c r="R331" s="98">
        <v>0</v>
      </c>
      <c r="S331" s="101">
        <f t="shared" si="231"/>
        <v>0</v>
      </c>
      <c r="T331" s="100">
        <v>0</v>
      </c>
      <c r="U331" s="98">
        <v>0</v>
      </c>
      <c r="V331" s="101">
        <f t="shared" si="233"/>
        <v>0</v>
      </c>
      <c r="W331" s="100">
        <v>0</v>
      </c>
      <c r="X331" s="98">
        <v>0</v>
      </c>
      <c r="Y331" s="147">
        <f t="shared" si="232"/>
        <v>0</v>
      </c>
      <c r="Z331" s="150"/>
    </row>
    <row r="332" spans="2:26" s="126" customFormat="1" ht="17.100000000000001" customHeight="1">
      <c r="B332" s="118"/>
      <c r="C332" s="119"/>
      <c r="D332" s="120"/>
      <c r="E332" s="121"/>
      <c r="F332" s="122"/>
      <c r="G332" s="123"/>
      <c r="H332" s="341" t="s">
        <v>201</v>
      </c>
      <c r="I332" s="342"/>
      <c r="J332" s="124">
        <f>SUM(J325:J331)</f>
        <v>300</v>
      </c>
      <c r="K332" s="341" t="s">
        <v>201</v>
      </c>
      <c r="L332" s="342"/>
      <c r="M332" s="124">
        <f>SUM(M325:M331)</f>
        <v>0</v>
      </c>
      <c r="N332" s="341" t="s">
        <v>201</v>
      </c>
      <c r="O332" s="342"/>
      <c r="P332" s="124">
        <f>SUM(P325:P331)</f>
        <v>0</v>
      </c>
      <c r="Q332" s="341" t="s">
        <v>201</v>
      </c>
      <c r="R332" s="342"/>
      <c r="S332" s="124">
        <f>SUM(S325:S331)</f>
        <v>0</v>
      </c>
      <c r="T332" s="341" t="s">
        <v>201</v>
      </c>
      <c r="U332" s="342"/>
      <c r="V332" s="124">
        <f>SUM(V325:V331)</f>
        <v>0</v>
      </c>
      <c r="W332" s="341" t="s">
        <v>201</v>
      </c>
      <c r="X332" s="342"/>
      <c r="Y332" s="127">
        <f>SUM(Y325:Y331)</f>
        <v>0</v>
      </c>
      <c r="Z332" s="151"/>
    </row>
    <row r="333" spans="2:26" s="35" customFormat="1" ht="17.100000000000001" customHeight="1">
      <c r="B333" s="105"/>
      <c r="C333" s="54">
        <f>'2. Rekap Back Up Beton'!C60</f>
        <v>9600</v>
      </c>
      <c r="D333" s="96">
        <f>'2. Rekap Back Up Beton'!D60</f>
        <v>9700</v>
      </c>
      <c r="E333" s="111">
        <f>'2. Rekap Back Up Beton'!E60</f>
        <v>5</v>
      </c>
      <c r="F333" s="112">
        <f>(100/((D333-C333)*E333))*((J340*0.5)+(M340*1)+(P340*2)+(S340*20)+(V340*15)+(Y340*1.5))</f>
        <v>30</v>
      </c>
      <c r="G333" s="113" t="str">
        <f>IF(F333&lt;=25,"B",IF(F333&lt;=75,"S",IF(F333&lt;=100,"RR","RB")))</f>
        <v>S</v>
      </c>
      <c r="H333" s="100">
        <v>100</v>
      </c>
      <c r="I333" s="98">
        <v>3</v>
      </c>
      <c r="J333" s="101">
        <f t="shared" ref="J333:J339" si="234">H333*I333</f>
        <v>300</v>
      </c>
      <c r="K333" s="100">
        <v>0</v>
      </c>
      <c r="L333" s="98">
        <v>0</v>
      </c>
      <c r="M333" s="101">
        <f t="shared" ref="M333:M339" si="235">K333*L333</f>
        <v>0</v>
      </c>
      <c r="N333" s="100">
        <v>0</v>
      </c>
      <c r="O333" s="98">
        <v>4</v>
      </c>
      <c r="P333" s="101">
        <f t="shared" ref="P333:P339" si="236">N333*O333</f>
        <v>0</v>
      </c>
      <c r="Q333" s="100">
        <v>0</v>
      </c>
      <c r="R333" s="98">
        <v>0</v>
      </c>
      <c r="S333" s="101">
        <f t="shared" ref="S333:S339" si="237">Q333*R333</f>
        <v>0</v>
      </c>
      <c r="T333" s="100">
        <v>0</v>
      </c>
      <c r="U333" s="98">
        <v>0</v>
      </c>
      <c r="V333" s="101">
        <f>T333*U333</f>
        <v>0</v>
      </c>
      <c r="W333" s="100">
        <v>0</v>
      </c>
      <c r="X333" s="98">
        <v>0</v>
      </c>
      <c r="Y333" s="147">
        <f t="shared" ref="Y333:Y339" si="238">W333*X333</f>
        <v>0</v>
      </c>
      <c r="Z333" s="150"/>
    </row>
    <row r="334" spans="2:26" s="35" customFormat="1" ht="17.100000000000001" customHeight="1">
      <c r="B334" s="105"/>
      <c r="C334" s="54"/>
      <c r="D334" s="96"/>
      <c r="E334" s="111"/>
      <c r="F334" s="112"/>
      <c r="G334" s="113"/>
      <c r="H334" s="100">
        <v>0</v>
      </c>
      <c r="I334" s="98">
        <v>0</v>
      </c>
      <c r="J334" s="101">
        <f t="shared" si="234"/>
        <v>0</v>
      </c>
      <c r="K334" s="100">
        <v>0</v>
      </c>
      <c r="L334" s="98">
        <v>0</v>
      </c>
      <c r="M334" s="101">
        <f t="shared" si="235"/>
        <v>0</v>
      </c>
      <c r="N334" s="100">
        <v>0</v>
      </c>
      <c r="O334" s="98">
        <v>0</v>
      </c>
      <c r="P334" s="101">
        <f t="shared" si="236"/>
        <v>0</v>
      </c>
      <c r="Q334" s="100">
        <v>0</v>
      </c>
      <c r="R334" s="98">
        <v>0</v>
      </c>
      <c r="S334" s="101">
        <f t="shared" si="237"/>
        <v>0</v>
      </c>
      <c r="T334" s="100">
        <v>0</v>
      </c>
      <c r="U334" s="98">
        <v>0</v>
      </c>
      <c r="V334" s="101">
        <f t="shared" ref="V334:V339" si="239">T334*U334</f>
        <v>0</v>
      </c>
      <c r="W334" s="100">
        <v>0</v>
      </c>
      <c r="X334" s="98">
        <v>0</v>
      </c>
      <c r="Y334" s="147">
        <f t="shared" si="238"/>
        <v>0</v>
      </c>
      <c r="Z334" s="150"/>
    </row>
    <row r="335" spans="2:26" s="35" customFormat="1" ht="17.100000000000001" customHeight="1">
      <c r="B335" s="105"/>
      <c r="C335" s="54"/>
      <c r="D335" s="96"/>
      <c r="E335" s="111"/>
      <c r="F335" s="112"/>
      <c r="G335" s="113"/>
      <c r="H335" s="100">
        <v>0</v>
      </c>
      <c r="I335" s="98">
        <v>0</v>
      </c>
      <c r="J335" s="101">
        <f t="shared" si="234"/>
        <v>0</v>
      </c>
      <c r="K335" s="100">
        <v>0</v>
      </c>
      <c r="L335" s="98">
        <v>0</v>
      </c>
      <c r="M335" s="101">
        <f t="shared" si="235"/>
        <v>0</v>
      </c>
      <c r="N335" s="100">
        <v>0</v>
      </c>
      <c r="O335" s="98">
        <v>0</v>
      </c>
      <c r="P335" s="101">
        <f t="shared" si="236"/>
        <v>0</v>
      </c>
      <c r="Q335" s="100">
        <v>0</v>
      </c>
      <c r="R335" s="98">
        <v>0</v>
      </c>
      <c r="S335" s="101">
        <f t="shared" si="237"/>
        <v>0</v>
      </c>
      <c r="T335" s="100">
        <v>0</v>
      </c>
      <c r="U335" s="98">
        <v>0</v>
      </c>
      <c r="V335" s="101">
        <f t="shared" si="239"/>
        <v>0</v>
      </c>
      <c r="W335" s="100">
        <v>0</v>
      </c>
      <c r="X335" s="98">
        <v>0</v>
      </c>
      <c r="Y335" s="147">
        <f t="shared" si="238"/>
        <v>0</v>
      </c>
      <c r="Z335" s="150"/>
    </row>
    <row r="336" spans="2:26" s="35" customFormat="1" ht="17.100000000000001" customHeight="1">
      <c r="B336" s="105"/>
      <c r="C336" s="54"/>
      <c r="D336" s="96"/>
      <c r="E336" s="111"/>
      <c r="F336" s="112"/>
      <c r="G336" s="113"/>
      <c r="H336" s="100">
        <v>0</v>
      </c>
      <c r="I336" s="98">
        <v>0</v>
      </c>
      <c r="J336" s="101">
        <f t="shared" si="234"/>
        <v>0</v>
      </c>
      <c r="K336" s="100">
        <v>0</v>
      </c>
      <c r="L336" s="98">
        <v>0</v>
      </c>
      <c r="M336" s="101">
        <f t="shared" si="235"/>
        <v>0</v>
      </c>
      <c r="N336" s="100">
        <v>0</v>
      </c>
      <c r="O336" s="98">
        <v>0</v>
      </c>
      <c r="P336" s="101">
        <f t="shared" si="236"/>
        <v>0</v>
      </c>
      <c r="Q336" s="100">
        <v>0</v>
      </c>
      <c r="R336" s="98">
        <v>0</v>
      </c>
      <c r="S336" s="101">
        <f t="shared" si="237"/>
        <v>0</v>
      </c>
      <c r="T336" s="100">
        <v>0</v>
      </c>
      <c r="U336" s="98">
        <v>0</v>
      </c>
      <c r="V336" s="101">
        <f t="shared" si="239"/>
        <v>0</v>
      </c>
      <c r="W336" s="100">
        <v>0</v>
      </c>
      <c r="X336" s="98">
        <v>0</v>
      </c>
      <c r="Y336" s="147">
        <f t="shared" si="238"/>
        <v>0</v>
      </c>
      <c r="Z336" s="150"/>
    </row>
    <row r="337" spans="2:26" s="35" customFormat="1" ht="17.100000000000001" customHeight="1">
      <c r="B337" s="105"/>
      <c r="C337" s="54"/>
      <c r="D337" s="96"/>
      <c r="E337" s="111"/>
      <c r="F337" s="112"/>
      <c r="G337" s="113"/>
      <c r="H337" s="100">
        <v>0</v>
      </c>
      <c r="I337" s="98">
        <v>0</v>
      </c>
      <c r="J337" s="101">
        <f t="shared" si="234"/>
        <v>0</v>
      </c>
      <c r="K337" s="100">
        <v>0</v>
      </c>
      <c r="L337" s="98">
        <v>0</v>
      </c>
      <c r="M337" s="101">
        <f t="shared" si="235"/>
        <v>0</v>
      </c>
      <c r="N337" s="100">
        <v>0</v>
      </c>
      <c r="O337" s="98">
        <v>0</v>
      </c>
      <c r="P337" s="101">
        <f t="shared" si="236"/>
        <v>0</v>
      </c>
      <c r="Q337" s="100">
        <v>0</v>
      </c>
      <c r="R337" s="98">
        <v>0</v>
      </c>
      <c r="S337" s="101">
        <f t="shared" si="237"/>
        <v>0</v>
      </c>
      <c r="T337" s="100">
        <v>0</v>
      </c>
      <c r="U337" s="98">
        <v>0</v>
      </c>
      <c r="V337" s="101">
        <f t="shared" si="239"/>
        <v>0</v>
      </c>
      <c r="W337" s="100">
        <v>0</v>
      </c>
      <c r="X337" s="98">
        <v>0</v>
      </c>
      <c r="Y337" s="147">
        <f t="shared" si="238"/>
        <v>0</v>
      </c>
      <c r="Z337" s="150"/>
    </row>
    <row r="338" spans="2:26" s="35" customFormat="1" ht="17.100000000000001" customHeight="1">
      <c r="B338" s="105"/>
      <c r="C338" s="54"/>
      <c r="D338" s="96"/>
      <c r="E338" s="111"/>
      <c r="F338" s="112"/>
      <c r="G338" s="113"/>
      <c r="H338" s="100">
        <v>0</v>
      </c>
      <c r="I338" s="98">
        <v>0</v>
      </c>
      <c r="J338" s="101">
        <f t="shared" si="234"/>
        <v>0</v>
      </c>
      <c r="K338" s="100">
        <v>0</v>
      </c>
      <c r="L338" s="98">
        <v>0</v>
      </c>
      <c r="M338" s="101">
        <f t="shared" si="235"/>
        <v>0</v>
      </c>
      <c r="N338" s="100">
        <v>0</v>
      </c>
      <c r="O338" s="98">
        <v>0</v>
      </c>
      <c r="P338" s="101">
        <f t="shared" si="236"/>
        <v>0</v>
      </c>
      <c r="Q338" s="100">
        <v>0</v>
      </c>
      <c r="R338" s="98">
        <v>0</v>
      </c>
      <c r="S338" s="101">
        <f t="shared" si="237"/>
        <v>0</v>
      </c>
      <c r="T338" s="100">
        <v>0</v>
      </c>
      <c r="U338" s="98">
        <v>0</v>
      </c>
      <c r="V338" s="101">
        <f t="shared" si="239"/>
        <v>0</v>
      </c>
      <c r="W338" s="100">
        <v>0</v>
      </c>
      <c r="X338" s="98">
        <v>0</v>
      </c>
      <c r="Y338" s="147">
        <f t="shared" si="238"/>
        <v>0</v>
      </c>
      <c r="Z338" s="150"/>
    </row>
    <row r="339" spans="2:26" s="35" customFormat="1" ht="17.100000000000001" customHeight="1">
      <c r="B339" s="105"/>
      <c r="C339" s="54"/>
      <c r="D339" s="96"/>
      <c r="E339" s="111"/>
      <c r="F339" s="112"/>
      <c r="G339" s="113"/>
      <c r="H339" s="100">
        <v>0</v>
      </c>
      <c r="I339" s="98">
        <v>0</v>
      </c>
      <c r="J339" s="101">
        <f t="shared" si="234"/>
        <v>0</v>
      </c>
      <c r="K339" s="100">
        <v>0</v>
      </c>
      <c r="L339" s="98">
        <v>0</v>
      </c>
      <c r="M339" s="101">
        <f t="shared" si="235"/>
        <v>0</v>
      </c>
      <c r="N339" s="100">
        <v>0</v>
      </c>
      <c r="O339" s="98">
        <v>0</v>
      </c>
      <c r="P339" s="101">
        <f t="shared" si="236"/>
        <v>0</v>
      </c>
      <c r="Q339" s="100">
        <v>0</v>
      </c>
      <c r="R339" s="98">
        <v>0</v>
      </c>
      <c r="S339" s="101">
        <f t="shared" si="237"/>
        <v>0</v>
      </c>
      <c r="T339" s="100">
        <v>0</v>
      </c>
      <c r="U339" s="98">
        <v>0</v>
      </c>
      <c r="V339" s="101">
        <f t="shared" si="239"/>
        <v>0</v>
      </c>
      <c r="W339" s="100">
        <v>0</v>
      </c>
      <c r="X339" s="98">
        <v>0</v>
      </c>
      <c r="Y339" s="147">
        <f t="shared" si="238"/>
        <v>0</v>
      </c>
      <c r="Z339" s="150"/>
    </row>
    <row r="340" spans="2:26" s="126" customFormat="1" ht="17.100000000000001" customHeight="1">
      <c r="B340" s="118"/>
      <c r="C340" s="119"/>
      <c r="D340" s="120"/>
      <c r="E340" s="121"/>
      <c r="F340" s="122"/>
      <c r="G340" s="123"/>
      <c r="H340" s="341" t="s">
        <v>201</v>
      </c>
      <c r="I340" s="342"/>
      <c r="J340" s="124">
        <f>SUM(J333:J339)</f>
        <v>300</v>
      </c>
      <c r="K340" s="341" t="s">
        <v>201</v>
      </c>
      <c r="L340" s="342"/>
      <c r="M340" s="124">
        <f>SUM(M333:M339)</f>
        <v>0</v>
      </c>
      <c r="N340" s="341" t="s">
        <v>201</v>
      </c>
      <c r="O340" s="342"/>
      <c r="P340" s="124">
        <f>SUM(P333:P339)</f>
        <v>0</v>
      </c>
      <c r="Q340" s="341" t="s">
        <v>201</v>
      </c>
      <c r="R340" s="342"/>
      <c r="S340" s="124">
        <f>SUM(S333:S339)</f>
        <v>0</v>
      </c>
      <c r="T340" s="341" t="s">
        <v>201</v>
      </c>
      <c r="U340" s="342"/>
      <c r="V340" s="124">
        <f>SUM(V333:V339)</f>
        <v>0</v>
      </c>
      <c r="W340" s="341" t="s">
        <v>201</v>
      </c>
      <c r="X340" s="342"/>
      <c r="Y340" s="127">
        <f>SUM(Y333:Y339)</f>
        <v>0</v>
      </c>
      <c r="Z340" s="151"/>
    </row>
    <row r="341" spans="2:26" s="35" customFormat="1" ht="17.100000000000001" customHeight="1">
      <c r="B341" s="105"/>
      <c r="C341" s="54">
        <f>'2. Rekap Back Up Beton'!C61</f>
        <v>9700</v>
      </c>
      <c r="D341" s="96">
        <f>'2. Rekap Back Up Beton'!D61</f>
        <v>9800</v>
      </c>
      <c r="E341" s="111">
        <f>'2. Rekap Back Up Beton'!E61</f>
        <v>5</v>
      </c>
      <c r="F341" s="112">
        <f>(100/((D341-C341)*E341))*((J348*0.5)+(M348*1)+(P348*2)+(S348*20)+(V348*15)+(Y348*1.5))</f>
        <v>30</v>
      </c>
      <c r="G341" s="113" t="str">
        <f>IF(F341&lt;=25,"B",IF(F341&lt;=75,"S",IF(F341&lt;=100,"RR","RB")))</f>
        <v>S</v>
      </c>
      <c r="H341" s="100">
        <v>100</v>
      </c>
      <c r="I341" s="98">
        <v>3</v>
      </c>
      <c r="J341" s="101">
        <f t="shared" ref="J341:J347" si="240">H341*I341</f>
        <v>300</v>
      </c>
      <c r="K341" s="100">
        <v>0</v>
      </c>
      <c r="L341" s="98">
        <v>0</v>
      </c>
      <c r="M341" s="101">
        <f t="shared" ref="M341:M347" si="241">K341*L341</f>
        <v>0</v>
      </c>
      <c r="N341" s="100">
        <v>0</v>
      </c>
      <c r="O341" s="98">
        <v>4</v>
      </c>
      <c r="P341" s="101">
        <f t="shared" ref="P341:P347" si="242">N341*O341</f>
        <v>0</v>
      </c>
      <c r="Q341" s="100">
        <v>0</v>
      </c>
      <c r="R341" s="98">
        <v>0</v>
      </c>
      <c r="S341" s="101">
        <f t="shared" ref="S341:S347" si="243">Q341*R341</f>
        <v>0</v>
      </c>
      <c r="T341" s="100">
        <v>0</v>
      </c>
      <c r="U341" s="98">
        <v>0</v>
      </c>
      <c r="V341" s="101">
        <f>T341*U341</f>
        <v>0</v>
      </c>
      <c r="W341" s="100">
        <v>0</v>
      </c>
      <c r="X341" s="98">
        <v>0</v>
      </c>
      <c r="Y341" s="147">
        <f t="shared" ref="Y341:Y347" si="244">W341*X341</f>
        <v>0</v>
      </c>
      <c r="Z341" s="150"/>
    </row>
    <row r="342" spans="2:26" s="35" customFormat="1" ht="17.100000000000001" customHeight="1">
      <c r="B342" s="105"/>
      <c r="C342" s="54"/>
      <c r="D342" s="96"/>
      <c r="E342" s="111"/>
      <c r="F342" s="112"/>
      <c r="G342" s="113"/>
      <c r="H342" s="100">
        <v>0</v>
      </c>
      <c r="I342" s="98">
        <v>0</v>
      </c>
      <c r="J342" s="101">
        <f t="shared" si="240"/>
        <v>0</v>
      </c>
      <c r="K342" s="100">
        <v>0</v>
      </c>
      <c r="L342" s="98">
        <v>0</v>
      </c>
      <c r="M342" s="101">
        <f t="shared" si="241"/>
        <v>0</v>
      </c>
      <c r="N342" s="100">
        <v>0</v>
      </c>
      <c r="O342" s="98">
        <v>0</v>
      </c>
      <c r="P342" s="101">
        <f t="shared" si="242"/>
        <v>0</v>
      </c>
      <c r="Q342" s="100">
        <v>0</v>
      </c>
      <c r="R342" s="98">
        <v>0</v>
      </c>
      <c r="S342" s="101">
        <f t="shared" si="243"/>
        <v>0</v>
      </c>
      <c r="T342" s="100">
        <v>0</v>
      </c>
      <c r="U342" s="98">
        <v>0</v>
      </c>
      <c r="V342" s="101">
        <f t="shared" ref="V342:V347" si="245">T342*U342</f>
        <v>0</v>
      </c>
      <c r="W342" s="100">
        <v>0</v>
      </c>
      <c r="X342" s="98">
        <v>0</v>
      </c>
      <c r="Y342" s="147">
        <f t="shared" si="244"/>
        <v>0</v>
      </c>
      <c r="Z342" s="150"/>
    </row>
    <row r="343" spans="2:26" s="35" customFormat="1" ht="17.100000000000001" customHeight="1">
      <c r="B343" s="105"/>
      <c r="C343" s="54"/>
      <c r="D343" s="96"/>
      <c r="E343" s="111"/>
      <c r="F343" s="112"/>
      <c r="G343" s="113"/>
      <c r="H343" s="100">
        <v>0</v>
      </c>
      <c r="I343" s="98">
        <v>0</v>
      </c>
      <c r="J343" s="101">
        <f t="shared" si="240"/>
        <v>0</v>
      </c>
      <c r="K343" s="100">
        <v>0</v>
      </c>
      <c r="L343" s="98">
        <v>0</v>
      </c>
      <c r="M343" s="101">
        <f t="shared" si="241"/>
        <v>0</v>
      </c>
      <c r="N343" s="100">
        <v>0</v>
      </c>
      <c r="O343" s="98">
        <v>0</v>
      </c>
      <c r="P343" s="101">
        <f t="shared" si="242"/>
        <v>0</v>
      </c>
      <c r="Q343" s="100">
        <v>0</v>
      </c>
      <c r="R343" s="98">
        <v>0</v>
      </c>
      <c r="S343" s="101">
        <f t="shared" si="243"/>
        <v>0</v>
      </c>
      <c r="T343" s="100">
        <v>0</v>
      </c>
      <c r="U343" s="98">
        <v>0</v>
      </c>
      <c r="V343" s="101">
        <f t="shared" si="245"/>
        <v>0</v>
      </c>
      <c r="W343" s="100">
        <v>0</v>
      </c>
      <c r="X343" s="98">
        <v>0</v>
      </c>
      <c r="Y343" s="147">
        <f t="shared" si="244"/>
        <v>0</v>
      </c>
      <c r="Z343" s="150"/>
    </row>
    <row r="344" spans="2:26" s="35" customFormat="1" ht="17.100000000000001" customHeight="1">
      <c r="B344" s="105"/>
      <c r="C344" s="54"/>
      <c r="D344" s="96"/>
      <c r="E344" s="111"/>
      <c r="F344" s="112"/>
      <c r="G344" s="113"/>
      <c r="H344" s="100">
        <v>0</v>
      </c>
      <c r="I344" s="98">
        <v>0</v>
      </c>
      <c r="J344" s="101">
        <f t="shared" si="240"/>
        <v>0</v>
      </c>
      <c r="K344" s="100">
        <v>0</v>
      </c>
      <c r="L344" s="98">
        <v>0</v>
      </c>
      <c r="M344" s="101">
        <f t="shared" si="241"/>
        <v>0</v>
      </c>
      <c r="N344" s="100">
        <v>0</v>
      </c>
      <c r="O344" s="98">
        <v>0</v>
      </c>
      <c r="P344" s="101">
        <f t="shared" si="242"/>
        <v>0</v>
      </c>
      <c r="Q344" s="100">
        <v>0</v>
      </c>
      <c r="R344" s="98">
        <v>0</v>
      </c>
      <c r="S344" s="101">
        <f t="shared" si="243"/>
        <v>0</v>
      </c>
      <c r="T344" s="100">
        <v>0</v>
      </c>
      <c r="U344" s="98">
        <v>0</v>
      </c>
      <c r="V344" s="101">
        <f t="shared" si="245"/>
        <v>0</v>
      </c>
      <c r="W344" s="100">
        <v>0</v>
      </c>
      <c r="X344" s="98">
        <v>0</v>
      </c>
      <c r="Y344" s="147">
        <f t="shared" si="244"/>
        <v>0</v>
      </c>
      <c r="Z344" s="150"/>
    </row>
    <row r="345" spans="2:26" s="35" customFormat="1" ht="17.100000000000001" customHeight="1">
      <c r="B345" s="105"/>
      <c r="C345" s="54"/>
      <c r="D345" s="96"/>
      <c r="E345" s="111"/>
      <c r="F345" s="112"/>
      <c r="G345" s="113"/>
      <c r="H345" s="100">
        <v>0</v>
      </c>
      <c r="I345" s="98">
        <v>0</v>
      </c>
      <c r="J345" s="101">
        <f t="shared" si="240"/>
        <v>0</v>
      </c>
      <c r="K345" s="100">
        <v>0</v>
      </c>
      <c r="L345" s="98">
        <v>0</v>
      </c>
      <c r="M345" s="101">
        <f t="shared" si="241"/>
        <v>0</v>
      </c>
      <c r="N345" s="100">
        <v>0</v>
      </c>
      <c r="O345" s="98">
        <v>0</v>
      </c>
      <c r="P345" s="101">
        <f t="shared" si="242"/>
        <v>0</v>
      </c>
      <c r="Q345" s="100">
        <v>0</v>
      </c>
      <c r="R345" s="98">
        <v>0</v>
      </c>
      <c r="S345" s="101">
        <f t="shared" si="243"/>
        <v>0</v>
      </c>
      <c r="T345" s="100">
        <v>0</v>
      </c>
      <c r="U345" s="98">
        <v>0</v>
      </c>
      <c r="V345" s="101">
        <f t="shared" si="245"/>
        <v>0</v>
      </c>
      <c r="W345" s="100">
        <v>0</v>
      </c>
      <c r="X345" s="98">
        <v>0</v>
      </c>
      <c r="Y345" s="147">
        <f t="shared" si="244"/>
        <v>0</v>
      </c>
      <c r="Z345" s="150"/>
    </row>
    <row r="346" spans="2:26" s="35" customFormat="1" ht="17.100000000000001" customHeight="1">
      <c r="B346" s="105"/>
      <c r="C346" s="54"/>
      <c r="D346" s="96"/>
      <c r="E346" s="111"/>
      <c r="F346" s="112"/>
      <c r="G346" s="113"/>
      <c r="H346" s="100">
        <v>0</v>
      </c>
      <c r="I346" s="98">
        <v>0</v>
      </c>
      <c r="J346" s="101">
        <f t="shared" si="240"/>
        <v>0</v>
      </c>
      <c r="K346" s="100">
        <v>0</v>
      </c>
      <c r="L346" s="98">
        <v>0</v>
      </c>
      <c r="M346" s="101">
        <f t="shared" si="241"/>
        <v>0</v>
      </c>
      <c r="N346" s="100">
        <v>0</v>
      </c>
      <c r="O346" s="98">
        <v>0</v>
      </c>
      <c r="P346" s="101">
        <f t="shared" si="242"/>
        <v>0</v>
      </c>
      <c r="Q346" s="100">
        <v>0</v>
      </c>
      <c r="R346" s="98">
        <v>0</v>
      </c>
      <c r="S346" s="101">
        <f t="shared" si="243"/>
        <v>0</v>
      </c>
      <c r="T346" s="100">
        <v>0</v>
      </c>
      <c r="U346" s="98">
        <v>0</v>
      </c>
      <c r="V346" s="101">
        <f t="shared" si="245"/>
        <v>0</v>
      </c>
      <c r="W346" s="100">
        <v>0</v>
      </c>
      <c r="X346" s="98">
        <v>0</v>
      </c>
      <c r="Y346" s="147">
        <f t="shared" si="244"/>
        <v>0</v>
      </c>
      <c r="Z346" s="150"/>
    </row>
    <row r="347" spans="2:26" s="35" customFormat="1" ht="17.100000000000001" customHeight="1">
      <c r="B347" s="105"/>
      <c r="C347" s="54"/>
      <c r="D347" s="96"/>
      <c r="E347" s="111"/>
      <c r="F347" s="112"/>
      <c r="G347" s="113"/>
      <c r="H347" s="100">
        <v>0</v>
      </c>
      <c r="I347" s="98">
        <v>0</v>
      </c>
      <c r="J347" s="101">
        <f t="shared" si="240"/>
        <v>0</v>
      </c>
      <c r="K347" s="100">
        <v>0</v>
      </c>
      <c r="L347" s="98">
        <v>0</v>
      </c>
      <c r="M347" s="101">
        <f t="shared" si="241"/>
        <v>0</v>
      </c>
      <c r="N347" s="100">
        <v>0</v>
      </c>
      <c r="O347" s="98">
        <v>0</v>
      </c>
      <c r="P347" s="101">
        <f t="shared" si="242"/>
        <v>0</v>
      </c>
      <c r="Q347" s="100">
        <v>0</v>
      </c>
      <c r="R347" s="98">
        <v>0</v>
      </c>
      <c r="S347" s="101">
        <f t="shared" si="243"/>
        <v>0</v>
      </c>
      <c r="T347" s="100">
        <v>0</v>
      </c>
      <c r="U347" s="98">
        <v>0</v>
      </c>
      <c r="V347" s="101">
        <f t="shared" si="245"/>
        <v>0</v>
      </c>
      <c r="W347" s="100">
        <v>0</v>
      </c>
      <c r="X347" s="98">
        <v>0</v>
      </c>
      <c r="Y347" s="147">
        <f t="shared" si="244"/>
        <v>0</v>
      </c>
      <c r="Z347" s="150"/>
    </row>
    <row r="348" spans="2:26" s="126" customFormat="1" ht="17.100000000000001" customHeight="1" thickBot="1">
      <c r="B348" s="128"/>
      <c r="C348" s="154"/>
      <c r="D348" s="155"/>
      <c r="E348" s="156"/>
      <c r="F348" s="129"/>
      <c r="G348" s="130"/>
      <c r="H348" s="344" t="s">
        <v>201</v>
      </c>
      <c r="I348" s="345"/>
      <c r="J348" s="131">
        <f>SUM(J341:J347)</f>
        <v>300</v>
      </c>
      <c r="K348" s="344" t="s">
        <v>201</v>
      </c>
      <c r="L348" s="345"/>
      <c r="M348" s="131">
        <f>SUM(M341:M347)</f>
        <v>0</v>
      </c>
      <c r="N348" s="344" t="s">
        <v>201</v>
      </c>
      <c r="O348" s="345"/>
      <c r="P348" s="131">
        <f>SUM(P341:P347)</f>
        <v>0</v>
      </c>
      <c r="Q348" s="344" t="s">
        <v>201</v>
      </c>
      <c r="R348" s="345"/>
      <c r="S348" s="131">
        <f>SUM(S341:S347)</f>
        <v>0</v>
      </c>
      <c r="T348" s="344" t="s">
        <v>201</v>
      </c>
      <c r="U348" s="345"/>
      <c r="V348" s="131">
        <f>SUM(V341:V347)</f>
        <v>0</v>
      </c>
      <c r="W348" s="344" t="s">
        <v>201</v>
      </c>
      <c r="X348" s="345"/>
      <c r="Y348" s="132">
        <f>SUM(Y341:Y347)</f>
        <v>0</v>
      </c>
      <c r="Z348" s="152"/>
    </row>
    <row r="349" spans="2:26" s="35" customFormat="1" ht="17.100000000000001" customHeight="1">
      <c r="B349" s="325"/>
      <c r="C349" s="322">
        <f>'2. Rekap Back Up Beton'!C62</f>
        <v>9800</v>
      </c>
      <c r="D349" s="323">
        <f>'2. Rekap Back Up Beton'!D62</f>
        <v>9900</v>
      </c>
      <c r="E349" s="324">
        <f>'2. Rekap Back Up Beton'!E62</f>
        <v>5</v>
      </c>
      <c r="F349" s="115">
        <f>(100/((D349-C349)*E349))*((J356*0.5)+(M356*1)+(P356*2)+(S356*20)+(V356*15)+(Y356*1.5))</f>
        <v>30</v>
      </c>
      <c r="G349" s="116" t="str">
        <f>IF(F349&lt;=25,"B",IF(F349&lt;=75,"S",IF(F349&lt;=100,"RR","RB")))</f>
        <v>S</v>
      </c>
      <c r="H349" s="135">
        <v>100</v>
      </c>
      <c r="I349" s="136">
        <v>3</v>
      </c>
      <c r="J349" s="137">
        <f t="shared" ref="J349:J355" si="246">H349*I349</f>
        <v>300</v>
      </c>
      <c r="K349" s="135">
        <v>0</v>
      </c>
      <c r="L349" s="136">
        <v>0</v>
      </c>
      <c r="M349" s="137">
        <f t="shared" ref="M349:M355" si="247">K349*L349</f>
        <v>0</v>
      </c>
      <c r="N349" s="135">
        <v>0</v>
      </c>
      <c r="O349" s="136">
        <v>4</v>
      </c>
      <c r="P349" s="137">
        <f t="shared" ref="P349:P355" si="248">N349*O349</f>
        <v>0</v>
      </c>
      <c r="Q349" s="135">
        <v>0</v>
      </c>
      <c r="R349" s="136">
        <v>0</v>
      </c>
      <c r="S349" s="137">
        <f t="shared" ref="S349:S355" si="249">Q349*R349</f>
        <v>0</v>
      </c>
      <c r="T349" s="135">
        <v>0</v>
      </c>
      <c r="U349" s="136">
        <v>0</v>
      </c>
      <c r="V349" s="137">
        <f>T349*U349</f>
        <v>0</v>
      </c>
      <c r="W349" s="135">
        <v>0</v>
      </c>
      <c r="X349" s="136">
        <v>0</v>
      </c>
      <c r="Y349" s="148">
        <f t="shared" ref="Y349:Y355" si="250">W349*X349</f>
        <v>0</v>
      </c>
      <c r="Z349" s="153"/>
    </row>
    <row r="350" spans="2:26" s="35" customFormat="1" ht="17.100000000000001" customHeight="1">
      <c r="B350" s="105"/>
      <c r="C350" s="54"/>
      <c r="D350" s="96"/>
      <c r="E350" s="111"/>
      <c r="F350" s="112"/>
      <c r="G350" s="113"/>
      <c r="H350" s="100">
        <v>0</v>
      </c>
      <c r="I350" s="98">
        <v>0</v>
      </c>
      <c r="J350" s="101">
        <f t="shared" si="246"/>
        <v>0</v>
      </c>
      <c r="K350" s="100">
        <v>0</v>
      </c>
      <c r="L350" s="98">
        <v>0</v>
      </c>
      <c r="M350" s="101">
        <f t="shared" si="247"/>
        <v>0</v>
      </c>
      <c r="N350" s="100">
        <v>0</v>
      </c>
      <c r="O350" s="98">
        <v>0</v>
      </c>
      <c r="P350" s="101">
        <f t="shared" si="248"/>
        <v>0</v>
      </c>
      <c r="Q350" s="100">
        <v>0</v>
      </c>
      <c r="R350" s="98">
        <v>0</v>
      </c>
      <c r="S350" s="101">
        <f t="shared" si="249"/>
        <v>0</v>
      </c>
      <c r="T350" s="100">
        <v>0</v>
      </c>
      <c r="U350" s="98">
        <v>0</v>
      </c>
      <c r="V350" s="101">
        <f t="shared" ref="V350:V355" si="251">T350*U350</f>
        <v>0</v>
      </c>
      <c r="W350" s="100">
        <v>0</v>
      </c>
      <c r="X350" s="98">
        <v>0</v>
      </c>
      <c r="Y350" s="147">
        <f t="shared" si="250"/>
        <v>0</v>
      </c>
      <c r="Z350" s="150"/>
    </row>
    <row r="351" spans="2:26" s="35" customFormat="1" ht="17.100000000000001" customHeight="1">
      <c r="B351" s="105"/>
      <c r="C351" s="54"/>
      <c r="D351" s="96"/>
      <c r="E351" s="111"/>
      <c r="F351" s="112"/>
      <c r="G351" s="113"/>
      <c r="H351" s="100">
        <v>0</v>
      </c>
      <c r="I351" s="98">
        <v>0</v>
      </c>
      <c r="J351" s="101">
        <f t="shared" si="246"/>
        <v>0</v>
      </c>
      <c r="K351" s="100">
        <v>0</v>
      </c>
      <c r="L351" s="98">
        <v>0</v>
      </c>
      <c r="M351" s="101">
        <f t="shared" si="247"/>
        <v>0</v>
      </c>
      <c r="N351" s="100">
        <v>0</v>
      </c>
      <c r="O351" s="98">
        <v>0</v>
      </c>
      <c r="P351" s="101">
        <f t="shared" si="248"/>
        <v>0</v>
      </c>
      <c r="Q351" s="100">
        <v>0</v>
      </c>
      <c r="R351" s="98">
        <v>0</v>
      </c>
      <c r="S351" s="101">
        <f t="shared" si="249"/>
        <v>0</v>
      </c>
      <c r="T351" s="100">
        <v>0</v>
      </c>
      <c r="U351" s="98">
        <v>0</v>
      </c>
      <c r="V351" s="101">
        <f t="shared" si="251"/>
        <v>0</v>
      </c>
      <c r="W351" s="100">
        <v>0</v>
      </c>
      <c r="X351" s="98">
        <v>0</v>
      </c>
      <c r="Y351" s="147">
        <f t="shared" si="250"/>
        <v>0</v>
      </c>
      <c r="Z351" s="150"/>
    </row>
    <row r="352" spans="2:26" s="35" customFormat="1" ht="17.100000000000001" customHeight="1">
      <c r="B352" s="105"/>
      <c r="C352" s="54"/>
      <c r="D352" s="96"/>
      <c r="E352" s="111"/>
      <c r="F352" s="112"/>
      <c r="G352" s="113"/>
      <c r="H352" s="100">
        <v>0</v>
      </c>
      <c r="I352" s="98">
        <v>0</v>
      </c>
      <c r="J352" s="101">
        <f t="shared" si="246"/>
        <v>0</v>
      </c>
      <c r="K352" s="100">
        <v>0</v>
      </c>
      <c r="L352" s="98">
        <v>0</v>
      </c>
      <c r="M352" s="101">
        <f t="shared" si="247"/>
        <v>0</v>
      </c>
      <c r="N352" s="100">
        <v>0</v>
      </c>
      <c r="O352" s="98">
        <v>0</v>
      </c>
      <c r="P352" s="101">
        <f t="shared" si="248"/>
        <v>0</v>
      </c>
      <c r="Q352" s="100">
        <v>0</v>
      </c>
      <c r="R352" s="98">
        <v>0</v>
      </c>
      <c r="S352" s="101">
        <f t="shared" si="249"/>
        <v>0</v>
      </c>
      <c r="T352" s="100">
        <v>0</v>
      </c>
      <c r="U352" s="98">
        <v>0</v>
      </c>
      <c r="V352" s="101">
        <f t="shared" si="251"/>
        <v>0</v>
      </c>
      <c r="W352" s="100">
        <v>0</v>
      </c>
      <c r="X352" s="98">
        <v>0</v>
      </c>
      <c r="Y352" s="147">
        <f t="shared" si="250"/>
        <v>0</v>
      </c>
      <c r="Z352" s="150"/>
    </row>
    <row r="353" spans="1:26" s="35" customFormat="1" ht="17.100000000000001" customHeight="1">
      <c r="B353" s="105"/>
      <c r="C353" s="54"/>
      <c r="D353" s="96"/>
      <c r="E353" s="111"/>
      <c r="F353" s="112"/>
      <c r="G353" s="113"/>
      <c r="H353" s="100">
        <v>0</v>
      </c>
      <c r="I353" s="98">
        <v>0</v>
      </c>
      <c r="J353" s="101">
        <f t="shared" si="246"/>
        <v>0</v>
      </c>
      <c r="K353" s="100">
        <v>0</v>
      </c>
      <c r="L353" s="98">
        <v>0</v>
      </c>
      <c r="M353" s="101">
        <f t="shared" si="247"/>
        <v>0</v>
      </c>
      <c r="N353" s="100">
        <v>0</v>
      </c>
      <c r="O353" s="98">
        <v>0</v>
      </c>
      <c r="P353" s="101">
        <f t="shared" si="248"/>
        <v>0</v>
      </c>
      <c r="Q353" s="100">
        <v>0</v>
      </c>
      <c r="R353" s="98">
        <v>0</v>
      </c>
      <c r="S353" s="101">
        <f t="shared" si="249"/>
        <v>0</v>
      </c>
      <c r="T353" s="100">
        <v>0</v>
      </c>
      <c r="U353" s="98">
        <v>0</v>
      </c>
      <c r="V353" s="101">
        <f t="shared" si="251"/>
        <v>0</v>
      </c>
      <c r="W353" s="100">
        <v>0</v>
      </c>
      <c r="X353" s="98">
        <v>0</v>
      </c>
      <c r="Y353" s="147">
        <f t="shared" si="250"/>
        <v>0</v>
      </c>
      <c r="Z353" s="150"/>
    </row>
    <row r="354" spans="1:26" s="35" customFormat="1" ht="17.100000000000001" customHeight="1">
      <c r="B354" s="105"/>
      <c r="C354" s="54"/>
      <c r="D354" s="96"/>
      <c r="E354" s="111"/>
      <c r="F354" s="112"/>
      <c r="G354" s="113"/>
      <c r="H354" s="100">
        <v>0</v>
      </c>
      <c r="I354" s="98">
        <v>0</v>
      </c>
      <c r="J354" s="101">
        <f t="shared" si="246"/>
        <v>0</v>
      </c>
      <c r="K354" s="100">
        <v>0</v>
      </c>
      <c r="L354" s="98">
        <v>0</v>
      </c>
      <c r="M354" s="101">
        <f t="shared" si="247"/>
        <v>0</v>
      </c>
      <c r="N354" s="100">
        <v>0</v>
      </c>
      <c r="O354" s="98">
        <v>0</v>
      </c>
      <c r="P354" s="101">
        <f t="shared" si="248"/>
        <v>0</v>
      </c>
      <c r="Q354" s="100">
        <v>0</v>
      </c>
      <c r="R354" s="98">
        <v>0</v>
      </c>
      <c r="S354" s="101">
        <f t="shared" si="249"/>
        <v>0</v>
      </c>
      <c r="T354" s="100">
        <v>0</v>
      </c>
      <c r="U354" s="98">
        <v>0</v>
      </c>
      <c r="V354" s="101">
        <f t="shared" si="251"/>
        <v>0</v>
      </c>
      <c r="W354" s="100">
        <v>0</v>
      </c>
      <c r="X354" s="98">
        <v>0</v>
      </c>
      <c r="Y354" s="147">
        <f t="shared" si="250"/>
        <v>0</v>
      </c>
      <c r="Z354" s="150"/>
    </row>
    <row r="355" spans="1:26" s="35" customFormat="1" ht="17.100000000000001" customHeight="1">
      <c r="B355" s="105"/>
      <c r="C355" s="54"/>
      <c r="D355" s="96"/>
      <c r="E355" s="111"/>
      <c r="F355" s="112"/>
      <c r="G355" s="113"/>
      <c r="H355" s="100">
        <v>0</v>
      </c>
      <c r="I355" s="98">
        <v>0</v>
      </c>
      <c r="J355" s="101">
        <f t="shared" si="246"/>
        <v>0</v>
      </c>
      <c r="K355" s="100">
        <v>0</v>
      </c>
      <c r="L355" s="98">
        <v>0</v>
      </c>
      <c r="M355" s="101">
        <f t="shared" si="247"/>
        <v>0</v>
      </c>
      <c r="N355" s="100">
        <v>0</v>
      </c>
      <c r="O355" s="98">
        <v>0</v>
      </c>
      <c r="P355" s="101">
        <f t="shared" si="248"/>
        <v>0</v>
      </c>
      <c r="Q355" s="100">
        <v>0</v>
      </c>
      <c r="R355" s="98">
        <v>0</v>
      </c>
      <c r="S355" s="101">
        <f t="shared" si="249"/>
        <v>0</v>
      </c>
      <c r="T355" s="100">
        <v>0</v>
      </c>
      <c r="U355" s="98">
        <v>0</v>
      </c>
      <c r="V355" s="101">
        <f t="shared" si="251"/>
        <v>0</v>
      </c>
      <c r="W355" s="100">
        <v>0</v>
      </c>
      <c r="X355" s="98">
        <v>0</v>
      </c>
      <c r="Y355" s="147">
        <f t="shared" si="250"/>
        <v>0</v>
      </c>
      <c r="Z355" s="150"/>
    </row>
    <row r="356" spans="1:26" s="126" customFormat="1" ht="17.100000000000001" customHeight="1">
      <c r="B356" s="312"/>
      <c r="C356" s="313"/>
      <c r="D356" s="314"/>
      <c r="E356" s="315"/>
      <c r="F356" s="316"/>
      <c r="G356" s="317"/>
      <c r="H356" s="350" t="s">
        <v>201</v>
      </c>
      <c r="I356" s="351"/>
      <c r="J356" s="318">
        <f>SUM(J349:J355)</f>
        <v>300</v>
      </c>
      <c r="K356" s="350" t="s">
        <v>201</v>
      </c>
      <c r="L356" s="351"/>
      <c r="M356" s="318">
        <f>SUM(M349:M355)</f>
        <v>0</v>
      </c>
      <c r="N356" s="350" t="s">
        <v>201</v>
      </c>
      <c r="O356" s="351"/>
      <c r="P356" s="318">
        <f>SUM(P349:P355)</f>
        <v>0</v>
      </c>
      <c r="Q356" s="350" t="s">
        <v>201</v>
      </c>
      <c r="R356" s="351"/>
      <c r="S356" s="318">
        <f>SUM(S349:S355)</f>
        <v>0</v>
      </c>
      <c r="T356" s="350" t="s">
        <v>201</v>
      </c>
      <c r="U356" s="351"/>
      <c r="V356" s="318">
        <f>SUM(V349:V355)</f>
        <v>0</v>
      </c>
      <c r="W356" s="350" t="s">
        <v>201</v>
      </c>
      <c r="X356" s="351"/>
      <c r="Y356" s="319">
        <f>SUM(Y349:Y355)</f>
        <v>0</v>
      </c>
      <c r="Z356" s="320"/>
    </row>
    <row r="357" spans="1:26" s="35" customFormat="1" ht="17.100000000000001" customHeight="1">
      <c r="A357" s="321"/>
      <c r="B357" s="248"/>
      <c r="C357" s="249">
        <f>'2. Rekap Back Up Beton'!C63</f>
        <v>9900</v>
      </c>
      <c r="D357" s="250">
        <f>'2. Rekap Back Up Beton'!D63</f>
        <v>9960</v>
      </c>
      <c r="E357" s="251">
        <f>'2. Rekap Back Up Beton'!E63</f>
        <v>5</v>
      </c>
      <c r="F357" s="112">
        <f>(100/((D357-C357)*E357))*((J364*0.5)+(M364*1)+(P364*2)+(S364*20)+(V364*15)+(Y364*1.5))</f>
        <v>30</v>
      </c>
      <c r="G357" s="113" t="str">
        <f>IF(F357&lt;=25,"B",IF(F357&lt;=75,"S",IF(F357&lt;=100,"RR","RB")))</f>
        <v>S</v>
      </c>
      <c r="H357" s="100">
        <v>60</v>
      </c>
      <c r="I357" s="98">
        <v>3</v>
      </c>
      <c r="J357" s="101">
        <f t="shared" ref="J357:J363" si="252">H357*I357</f>
        <v>180</v>
      </c>
      <c r="K357" s="100">
        <v>0</v>
      </c>
      <c r="L357" s="98">
        <v>0</v>
      </c>
      <c r="M357" s="101">
        <f t="shared" ref="M357:M363" si="253">K357*L357</f>
        <v>0</v>
      </c>
      <c r="N357" s="100">
        <v>0</v>
      </c>
      <c r="O357" s="98">
        <v>4</v>
      </c>
      <c r="P357" s="101">
        <f t="shared" ref="P357:P363" si="254">N357*O357</f>
        <v>0</v>
      </c>
      <c r="Q357" s="100">
        <v>0</v>
      </c>
      <c r="R357" s="98">
        <v>0</v>
      </c>
      <c r="S357" s="101">
        <f t="shared" ref="S357:S363" si="255">Q357*R357</f>
        <v>0</v>
      </c>
      <c r="T357" s="100">
        <v>0</v>
      </c>
      <c r="U357" s="98">
        <v>0</v>
      </c>
      <c r="V357" s="101">
        <f>T357*U357</f>
        <v>0</v>
      </c>
      <c r="W357" s="100">
        <v>0</v>
      </c>
      <c r="X357" s="98">
        <v>0</v>
      </c>
      <c r="Y357" s="147">
        <f t="shared" ref="Y357:Y363" si="256">W357*X357</f>
        <v>0</v>
      </c>
      <c r="Z357" s="150"/>
    </row>
    <row r="358" spans="1:26" s="35" customFormat="1" ht="17.100000000000001" customHeight="1">
      <c r="B358" s="105"/>
      <c r="C358" s="54"/>
      <c r="D358" s="96"/>
      <c r="E358" s="111"/>
      <c r="F358" s="112"/>
      <c r="G358" s="113"/>
      <c r="H358" s="100">
        <v>0</v>
      </c>
      <c r="I358" s="98">
        <v>0</v>
      </c>
      <c r="J358" s="101">
        <f t="shared" si="252"/>
        <v>0</v>
      </c>
      <c r="K358" s="100">
        <v>0</v>
      </c>
      <c r="L358" s="98">
        <v>0</v>
      </c>
      <c r="M358" s="101">
        <f t="shared" si="253"/>
        <v>0</v>
      </c>
      <c r="N358" s="100">
        <v>0</v>
      </c>
      <c r="O358" s="98">
        <v>0</v>
      </c>
      <c r="P358" s="101">
        <f t="shared" si="254"/>
        <v>0</v>
      </c>
      <c r="Q358" s="100">
        <v>0</v>
      </c>
      <c r="R358" s="98">
        <v>0</v>
      </c>
      <c r="S358" s="101">
        <f t="shared" si="255"/>
        <v>0</v>
      </c>
      <c r="T358" s="100">
        <v>0</v>
      </c>
      <c r="U358" s="98">
        <v>0</v>
      </c>
      <c r="V358" s="101">
        <f t="shared" ref="V358:V363" si="257">T358*U358</f>
        <v>0</v>
      </c>
      <c r="W358" s="100">
        <v>0</v>
      </c>
      <c r="X358" s="98">
        <v>0</v>
      </c>
      <c r="Y358" s="147">
        <f t="shared" si="256"/>
        <v>0</v>
      </c>
      <c r="Z358" s="150"/>
    </row>
    <row r="359" spans="1:26" s="35" customFormat="1" ht="17.100000000000001" customHeight="1">
      <c r="B359" s="105"/>
      <c r="C359" s="54"/>
      <c r="D359" s="96"/>
      <c r="E359" s="111"/>
      <c r="F359" s="112"/>
      <c r="G359" s="113"/>
      <c r="H359" s="100">
        <v>0</v>
      </c>
      <c r="I359" s="98">
        <v>0</v>
      </c>
      <c r="J359" s="101">
        <f t="shared" si="252"/>
        <v>0</v>
      </c>
      <c r="K359" s="100">
        <v>0</v>
      </c>
      <c r="L359" s="98">
        <v>0</v>
      </c>
      <c r="M359" s="101">
        <f t="shared" si="253"/>
        <v>0</v>
      </c>
      <c r="N359" s="100">
        <v>0</v>
      </c>
      <c r="O359" s="98">
        <v>0</v>
      </c>
      <c r="P359" s="101">
        <f t="shared" si="254"/>
        <v>0</v>
      </c>
      <c r="Q359" s="100">
        <v>0</v>
      </c>
      <c r="R359" s="98">
        <v>0</v>
      </c>
      <c r="S359" s="101">
        <f t="shared" si="255"/>
        <v>0</v>
      </c>
      <c r="T359" s="100">
        <v>0</v>
      </c>
      <c r="U359" s="98">
        <v>0</v>
      </c>
      <c r="V359" s="101">
        <f t="shared" si="257"/>
        <v>0</v>
      </c>
      <c r="W359" s="100">
        <v>0</v>
      </c>
      <c r="X359" s="98">
        <v>0</v>
      </c>
      <c r="Y359" s="147">
        <f t="shared" si="256"/>
        <v>0</v>
      </c>
      <c r="Z359" s="150"/>
    </row>
    <row r="360" spans="1:26" s="35" customFormat="1" ht="17.100000000000001" customHeight="1">
      <c r="B360" s="105"/>
      <c r="C360" s="54"/>
      <c r="D360" s="96"/>
      <c r="E360" s="111"/>
      <c r="F360" s="112"/>
      <c r="G360" s="113"/>
      <c r="H360" s="100">
        <v>0</v>
      </c>
      <c r="I360" s="98">
        <v>0</v>
      </c>
      <c r="J360" s="101">
        <f t="shared" si="252"/>
        <v>0</v>
      </c>
      <c r="K360" s="100">
        <v>0</v>
      </c>
      <c r="L360" s="98">
        <v>0</v>
      </c>
      <c r="M360" s="101">
        <f t="shared" si="253"/>
        <v>0</v>
      </c>
      <c r="N360" s="100">
        <v>0</v>
      </c>
      <c r="O360" s="98">
        <v>0</v>
      </c>
      <c r="P360" s="101">
        <f t="shared" si="254"/>
        <v>0</v>
      </c>
      <c r="Q360" s="100">
        <v>0</v>
      </c>
      <c r="R360" s="98">
        <v>0</v>
      </c>
      <c r="S360" s="101">
        <f t="shared" si="255"/>
        <v>0</v>
      </c>
      <c r="T360" s="100">
        <v>0</v>
      </c>
      <c r="U360" s="98">
        <v>0</v>
      </c>
      <c r="V360" s="101">
        <f t="shared" si="257"/>
        <v>0</v>
      </c>
      <c r="W360" s="100">
        <v>0</v>
      </c>
      <c r="X360" s="98">
        <v>0</v>
      </c>
      <c r="Y360" s="147">
        <f t="shared" si="256"/>
        <v>0</v>
      </c>
      <c r="Z360" s="150"/>
    </row>
    <row r="361" spans="1:26" s="35" customFormat="1" ht="17.100000000000001" customHeight="1">
      <c r="B361" s="105"/>
      <c r="C361" s="54"/>
      <c r="D361" s="96"/>
      <c r="E361" s="111"/>
      <c r="F361" s="112"/>
      <c r="G361" s="113"/>
      <c r="H361" s="100">
        <v>0</v>
      </c>
      <c r="I361" s="98">
        <v>0</v>
      </c>
      <c r="J361" s="101">
        <f t="shared" si="252"/>
        <v>0</v>
      </c>
      <c r="K361" s="100">
        <v>0</v>
      </c>
      <c r="L361" s="98">
        <v>0</v>
      </c>
      <c r="M361" s="101">
        <f t="shared" si="253"/>
        <v>0</v>
      </c>
      <c r="N361" s="100">
        <v>0</v>
      </c>
      <c r="O361" s="98">
        <v>0</v>
      </c>
      <c r="P361" s="101">
        <f t="shared" si="254"/>
        <v>0</v>
      </c>
      <c r="Q361" s="100">
        <v>0</v>
      </c>
      <c r="R361" s="98">
        <v>0</v>
      </c>
      <c r="S361" s="101">
        <f t="shared" si="255"/>
        <v>0</v>
      </c>
      <c r="T361" s="100">
        <v>0</v>
      </c>
      <c r="U361" s="98">
        <v>0</v>
      </c>
      <c r="V361" s="101">
        <f t="shared" si="257"/>
        <v>0</v>
      </c>
      <c r="W361" s="100">
        <v>0</v>
      </c>
      <c r="X361" s="98">
        <v>0</v>
      </c>
      <c r="Y361" s="147">
        <f t="shared" si="256"/>
        <v>0</v>
      </c>
      <c r="Z361" s="150"/>
    </row>
    <row r="362" spans="1:26" s="35" customFormat="1" ht="17.100000000000001" customHeight="1">
      <c r="B362" s="105"/>
      <c r="C362" s="54"/>
      <c r="D362" s="96"/>
      <c r="E362" s="111"/>
      <c r="F362" s="112"/>
      <c r="G362" s="113"/>
      <c r="H362" s="100">
        <v>0</v>
      </c>
      <c r="I362" s="98">
        <v>0</v>
      </c>
      <c r="J362" s="101">
        <f t="shared" si="252"/>
        <v>0</v>
      </c>
      <c r="K362" s="100">
        <v>0</v>
      </c>
      <c r="L362" s="98">
        <v>0</v>
      </c>
      <c r="M362" s="101">
        <f t="shared" si="253"/>
        <v>0</v>
      </c>
      <c r="N362" s="100">
        <v>0</v>
      </c>
      <c r="O362" s="98">
        <v>0</v>
      </c>
      <c r="P362" s="101">
        <f t="shared" si="254"/>
        <v>0</v>
      </c>
      <c r="Q362" s="100">
        <v>0</v>
      </c>
      <c r="R362" s="98">
        <v>0</v>
      </c>
      <c r="S362" s="101">
        <f t="shared" si="255"/>
        <v>0</v>
      </c>
      <c r="T362" s="100">
        <v>0</v>
      </c>
      <c r="U362" s="98">
        <v>0</v>
      </c>
      <c r="V362" s="101">
        <f t="shared" si="257"/>
        <v>0</v>
      </c>
      <c r="W362" s="100">
        <v>0</v>
      </c>
      <c r="X362" s="98">
        <v>0</v>
      </c>
      <c r="Y362" s="147">
        <f t="shared" si="256"/>
        <v>0</v>
      </c>
      <c r="Z362" s="150"/>
    </row>
    <row r="363" spans="1:26" s="35" customFormat="1" ht="17.100000000000001" customHeight="1">
      <c r="B363" s="105"/>
      <c r="C363" s="54"/>
      <c r="D363" s="96"/>
      <c r="E363" s="111"/>
      <c r="F363" s="112"/>
      <c r="G363" s="113"/>
      <c r="H363" s="100">
        <v>0</v>
      </c>
      <c r="I363" s="98">
        <v>0</v>
      </c>
      <c r="J363" s="101">
        <f t="shared" si="252"/>
        <v>0</v>
      </c>
      <c r="K363" s="100">
        <v>0</v>
      </c>
      <c r="L363" s="98">
        <v>0</v>
      </c>
      <c r="M363" s="101">
        <f t="shared" si="253"/>
        <v>0</v>
      </c>
      <c r="N363" s="100">
        <v>0</v>
      </c>
      <c r="O363" s="98">
        <v>0</v>
      </c>
      <c r="P363" s="101">
        <f t="shared" si="254"/>
        <v>0</v>
      </c>
      <c r="Q363" s="100">
        <v>0</v>
      </c>
      <c r="R363" s="98">
        <v>0</v>
      </c>
      <c r="S363" s="101">
        <f t="shared" si="255"/>
        <v>0</v>
      </c>
      <c r="T363" s="100">
        <v>0</v>
      </c>
      <c r="U363" s="98">
        <v>0</v>
      </c>
      <c r="V363" s="101">
        <f t="shared" si="257"/>
        <v>0</v>
      </c>
      <c r="W363" s="100">
        <v>0</v>
      </c>
      <c r="X363" s="98">
        <v>0</v>
      </c>
      <c r="Y363" s="147">
        <f t="shared" si="256"/>
        <v>0</v>
      </c>
      <c r="Z363" s="150"/>
    </row>
    <row r="364" spans="1:26" s="126" customFormat="1" ht="17.100000000000001" customHeight="1">
      <c r="B364" s="118"/>
      <c r="C364" s="119"/>
      <c r="D364" s="120"/>
      <c r="E364" s="121"/>
      <c r="F364" s="122"/>
      <c r="G364" s="123"/>
      <c r="H364" s="341" t="s">
        <v>201</v>
      </c>
      <c r="I364" s="342"/>
      <c r="J364" s="124">
        <f>SUM(J357:J363)</f>
        <v>180</v>
      </c>
      <c r="K364" s="341" t="s">
        <v>201</v>
      </c>
      <c r="L364" s="342"/>
      <c r="M364" s="124">
        <f>SUM(M357:M363)</f>
        <v>0</v>
      </c>
      <c r="N364" s="341" t="s">
        <v>201</v>
      </c>
      <c r="O364" s="342"/>
      <c r="P364" s="124">
        <f>SUM(P357:P363)</f>
        <v>0</v>
      </c>
      <c r="Q364" s="341" t="s">
        <v>201</v>
      </c>
      <c r="R364" s="342"/>
      <c r="S364" s="124">
        <f>SUM(S357:S363)</f>
        <v>0</v>
      </c>
      <c r="T364" s="341" t="s">
        <v>201</v>
      </c>
      <c r="U364" s="342"/>
      <c r="V364" s="124">
        <f>SUM(V357:V363)</f>
        <v>0</v>
      </c>
      <c r="W364" s="341" t="s">
        <v>201</v>
      </c>
      <c r="X364" s="342"/>
      <c r="Y364" s="127">
        <f>SUM(Y357:Y363)</f>
        <v>0</v>
      </c>
      <c r="Z364" s="151"/>
    </row>
    <row r="365" spans="1:26" s="35" customFormat="1" ht="17.100000000000001" customHeight="1">
      <c r="B365" s="105"/>
      <c r="C365" s="54">
        <f>'2. Rekap Back Up Beton'!C64</f>
        <v>11000</v>
      </c>
      <c r="D365" s="96">
        <f>'2. Rekap Back Up Beton'!D64</f>
        <v>11100</v>
      </c>
      <c r="E365" s="111">
        <f>'2. Rekap Back Up Beton'!E64</f>
        <v>5</v>
      </c>
      <c r="F365" s="112">
        <f>(100/((D365-C365)*E365))*((J372*0.5)+(M372*1)+(P372*2)+(S372*20)+(V372*15)+(Y372*1.5))</f>
        <v>30</v>
      </c>
      <c r="G365" s="113" t="str">
        <f>IF(F365&lt;=25,"B",IF(F365&lt;=75,"S",IF(F365&lt;=100,"RR","RB")))</f>
        <v>S</v>
      </c>
      <c r="H365" s="100">
        <v>100</v>
      </c>
      <c r="I365" s="98">
        <v>3</v>
      </c>
      <c r="J365" s="101">
        <f t="shared" ref="J365:J371" si="258">H365*I365</f>
        <v>300</v>
      </c>
      <c r="K365" s="100">
        <v>0</v>
      </c>
      <c r="L365" s="98">
        <v>0</v>
      </c>
      <c r="M365" s="101">
        <f t="shared" ref="M365:M371" si="259">K365*L365</f>
        <v>0</v>
      </c>
      <c r="N365" s="100">
        <v>0</v>
      </c>
      <c r="O365" s="98">
        <v>4</v>
      </c>
      <c r="P365" s="101">
        <f t="shared" ref="P365:P371" si="260">N365*O365</f>
        <v>0</v>
      </c>
      <c r="Q365" s="100">
        <v>0</v>
      </c>
      <c r="R365" s="98">
        <v>0</v>
      </c>
      <c r="S365" s="101">
        <f t="shared" ref="S365:S371" si="261">Q365*R365</f>
        <v>0</v>
      </c>
      <c r="T365" s="100">
        <v>0</v>
      </c>
      <c r="U365" s="98">
        <v>0</v>
      </c>
      <c r="V365" s="101">
        <f>T365*U365</f>
        <v>0</v>
      </c>
      <c r="W365" s="100">
        <v>0</v>
      </c>
      <c r="X365" s="98">
        <v>0</v>
      </c>
      <c r="Y365" s="147">
        <f t="shared" ref="Y365:Y371" si="262">W365*X365</f>
        <v>0</v>
      </c>
      <c r="Z365" s="150"/>
    </row>
    <row r="366" spans="1:26" s="35" customFormat="1" ht="17.100000000000001" customHeight="1">
      <c r="B366" s="105"/>
      <c r="C366" s="54"/>
      <c r="D366" s="96"/>
      <c r="E366" s="111"/>
      <c r="F366" s="112"/>
      <c r="G366" s="113"/>
      <c r="H366" s="100">
        <v>0</v>
      </c>
      <c r="I366" s="98">
        <v>0</v>
      </c>
      <c r="J366" s="101">
        <f t="shared" si="258"/>
        <v>0</v>
      </c>
      <c r="K366" s="100">
        <v>0</v>
      </c>
      <c r="L366" s="98">
        <v>0</v>
      </c>
      <c r="M366" s="101">
        <f t="shared" si="259"/>
        <v>0</v>
      </c>
      <c r="N366" s="100">
        <v>0</v>
      </c>
      <c r="O366" s="98">
        <v>0</v>
      </c>
      <c r="P366" s="101">
        <f t="shared" si="260"/>
        <v>0</v>
      </c>
      <c r="Q366" s="100">
        <v>0</v>
      </c>
      <c r="R366" s="98">
        <v>0</v>
      </c>
      <c r="S366" s="101">
        <f t="shared" si="261"/>
        <v>0</v>
      </c>
      <c r="T366" s="100">
        <v>0</v>
      </c>
      <c r="U366" s="98">
        <v>0</v>
      </c>
      <c r="V366" s="101">
        <f t="shared" ref="V366:V371" si="263">T366*U366</f>
        <v>0</v>
      </c>
      <c r="W366" s="100">
        <v>0</v>
      </c>
      <c r="X366" s="98">
        <v>0</v>
      </c>
      <c r="Y366" s="147">
        <f t="shared" si="262"/>
        <v>0</v>
      </c>
      <c r="Z366" s="150"/>
    </row>
    <row r="367" spans="1:26" s="35" customFormat="1" ht="17.100000000000001" customHeight="1">
      <c r="B367" s="105"/>
      <c r="C367" s="54"/>
      <c r="D367" s="96"/>
      <c r="E367" s="111"/>
      <c r="F367" s="112"/>
      <c r="G367" s="113"/>
      <c r="H367" s="100">
        <v>0</v>
      </c>
      <c r="I367" s="98">
        <v>0</v>
      </c>
      <c r="J367" s="101">
        <f t="shared" si="258"/>
        <v>0</v>
      </c>
      <c r="K367" s="100">
        <v>0</v>
      </c>
      <c r="L367" s="98">
        <v>0</v>
      </c>
      <c r="M367" s="101">
        <f t="shared" si="259"/>
        <v>0</v>
      </c>
      <c r="N367" s="100">
        <v>0</v>
      </c>
      <c r="O367" s="98">
        <v>0</v>
      </c>
      <c r="P367" s="101">
        <f t="shared" si="260"/>
        <v>0</v>
      </c>
      <c r="Q367" s="100">
        <v>0</v>
      </c>
      <c r="R367" s="98">
        <v>0</v>
      </c>
      <c r="S367" s="101">
        <f t="shared" si="261"/>
        <v>0</v>
      </c>
      <c r="T367" s="100">
        <v>0</v>
      </c>
      <c r="U367" s="98">
        <v>0</v>
      </c>
      <c r="V367" s="101">
        <f t="shared" si="263"/>
        <v>0</v>
      </c>
      <c r="W367" s="100">
        <v>0</v>
      </c>
      <c r="X367" s="98">
        <v>0</v>
      </c>
      <c r="Y367" s="147">
        <f t="shared" si="262"/>
        <v>0</v>
      </c>
      <c r="Z367" s="150"/>
    </row>
    <row r="368" spans="1:26" s="35" customFormat="1" ht="17.100000000000001" customHeight="1">
      <c r="B368" s="105"/>
      <c r="C368" s="54"/>
      <c r="D368" s="96"/>
      <c r="E368" s="111"/>
      <c r="F368" s="112"/>
      <c r="G368" s="113"/>
      <c r="H368" s="100">
        <v>0</v>
      </c>
      <c r="I368" s="98">
        <v>0</v>
      </c>
      <c r="J368" s="101">
        <f t="shared" si="258"/>
        <v>0</v>
      </c>
      <c r="K368" s="100">
        <v>0</v>
      </c>
      <c r="L368" s="98">
        <v>0</v>
      </c>
      <c r="M368" s="101">
        <f t="shared" si="259"/>
        <v>0</v>
      </c>
      <c r="N368" s="100">
        <v>0</v>
      </c>
      <c r="O368" s="98">
        <v>0</v>
      </c>
      <c r="P368" s="101">
        <f t="shared" si="260"/>
        <v>0</v>
      </c>
      <c r="Q368" s="100">
        <v>0</v>
      </c>
      <c r="R368" s="98">
        <v>0</v>
      </c>
      <c r="S368" s="101">
        <f t="shared" si="261"/>
        <v>0</v>
      </c>
      <c r="T368" s="100">
        <v>0</v>
      </c>
      <c r="U368" s="98">
        <v>0</v>
      </c>
      <c r="V368" s="101">
        <f t="shared" si="263"/>
        <v>0</v>
      </c>
      <c r="W368" s="100">
        <v>0</v>
      </c>
      <c r="X368" s="98">
        <v>0</v>
      </c>
      <c r="Y368" s="147">
        <f t="shared" si="262"/>
        <v>0</v>
      </c>
      <c r="Z368" s="150"/>
    </row>
    <row r="369" spans="2:26" s="35" customFormat="1" ht="17.100000000000001" customHeight="1">
      <c r="B369" s="105"/>
      <c r="C369" s="54"/>
      <c r="D369" s="96"/>
      <c r="E369" s="111"/>
      <c r="F369" s="112"/>
      <c r="G369" s="113"/>
      <c r="H369" s="100">
        <v>0</v>
      </c>
      <c r="I369" s="98">
        <v>0</v>
      </c>
      <c r="J369" s="101">
        <f t="shared" si="258"/>
        <v>0</v>
      </c>
      <c r="K369" s="100">
        <v>0</v>
      </c>
      <c r="L369" s="98">
        <v>0</v>
      </c>
      <c r="M369" s="101">
        <f t="shared" si="259"/>
        <v>0</v>
      </c>
      <c r="N369" s="100">
        <v>0</v>
      </c>
      <c r="O369" s="98">
        <v>0</v>
      </c>
      <c r="P369" s="101">
        <f t="shared" si="260"/>
        <v>0</v>
      </c>
      <c r="Q369" s="100">
        <v>0</v>
      </c>
      <c r="R369" s="98">
        <v>0</v>
      </c>
      <c r="S369" s="101">
        <f t="shared" si="261"/>
        <v>0</v>
      </c>
      <c r="T369" s="100">
        <v>0</v>
      </c>
      <c r="U369" s="98">
        <v>0</v>
      </c>
      <c r="V369" s="101">
        <f t="shared" si="263"/>
        <v>0</v>
      </c>
      <c r="W369" s="100">
        <v>0</v>
      </c>
      <c r="X369" s="98">
        <v>0</v>
      </c>
      <c r="Y369" s="147">
        <f t="shared" si="262"/>
        <v>0</v>
      </c>
      <c r="Z369" s="150"/>
    </row>
    <row r="370" spans="2:26" s="35" customFormat="1" ht="17.100000000000001" customHeight="1">
      <c r="B370" s="105"/>
      <c r="C370" s="54"/>
      <c r="D370" s="96"/>
      <c r="E370" s="111"/>
      <c r="F370" s="112"/>
      <c r="G370" s="113"/>
      <c r="H370" s="100">
        <v>0</v>
      </c>
      <c r="I370" s="98">
        <v>0</v>
      </c>
      <c r="J370" s="101">
        <f t="shared" si="258"/>
        <v>0</v>
      </c>
      <c r="K370" s="100">
        <v>0</v>
      </c>
      <c r="L370" s="98">
        <v>0</v>
      </c>
      <c r="M370" s="101">
        <f t="shared" si="259"/>
        <v>0</v>
      </c>
      <c r="N370" s="100">
        <v>0</v>
      </c>
      <c r="O370" s="98">
        <v>0</v>
      </c>
      <c r="P370" s="101">
        <f t="shared" si="260"/>
        <v>0</v>
      </c>
      <c r="Q370" s="100">
        <v>0</v>
      </c>
      <c r="R370" s="98">
        <v>0</v>
      </c>
      <c r="S370" s="101">
        <f t="shared" si="261"/>
        <v>0</v>
      </c>
      <c r="T370" s="100">
        <v>0</v>
      </c>
      <c r="U370" s="98">
        <v>0</v>
      </c>
      <c r="V370" s="101">
        <f t="shared" si="263"/>
        <v>0</v>
      </c>
      <c r="W370" s="100">
        <v>0</v>
      </c>
      <c r="X370" s="98">
        <v>0</v>
      </c>
      <c r="Y370" s="147">
        <f t="shared" si="262"/>
        <v>0</v>
      </c>
      <c r="Z370" s="150"/>
    </row>
    <row r="371" spans="2:26" s="35" customFormat="1" ht="17.100000000000001" customHeight="1">
      <c r="B371" s="105"/>
      <c r="C371" s="54"/>
      <c r="D371" s="96"/>
      <c r="E371" s="111"/>
      <c r="F371" s="112"/>
      <c r="G371" s="113"/>
      <c r="H371" s="100">
        <v>0</v>
      </c>
      <c r="I371" s="98">
        <v>0</v>
      </c>
      <c r="J371" s="101">
        <f t="shared" si="258"/>
        <v>0</v>
      </c>
      <c r="K371" s="100">
        <v>0</v>
      </c>
      <c r="L371" s="98">
        <v>0</v>
      </c>
      <c r="M371" s="101">
        <f t="shared" si="259"/>
        <v>0</v>
      </c>
      <c r="N371" s="100">
        <v>0</v>
      </c>
      <c r="O371" s="98">
        <v>0</v>
      </c>
      <c r="P371" s="101">
        <f t="shared" si="260"/>
        <v>0</v>
      </c>
      <c r="Q371" s="100">
        <v>0</v>
      </c>
      <c r="R371" s="98">
        <v>0</v>
      </c>
      <c r="S371" s="101">
        <f t="shared" si="261"/>
        <v>0</v>
      </c>
      <c r="T371" s="100">
        <v>0</v>
      </c>
      <c r="U371" s="98">
        <v>0</v>
      </c>
      <c r="V371" s="101">
        <f t="shared" si="263"/>
        <v>0</v>
      </c>
      <c r="W371" s="100">
        <v>0</v>
      </c>
      <c r="X371" s="98">
        <v>0</v>
      </c>
      <c r="Y371" s="147">
        <f t="shared" si="262"/>
        <v>0</v>
      </c>
      <c r="Z371" s="150"/>
    </row>
    <row r="372" spans="2:26" s="126" customFormat="1" ht="17.100000000000001" customHeight="1">
      <c r="B372" s="118"/>
      <c r="C372" s="119"/>
      <c r="D372" s="120"/>
      <c r="E372" s="121"/>
      <c r="F372" s="122"/>
      <c r="G372" s="123"/>
      <c r="H372" s="341" t="s">
        <v>201</v>
      </c>
      <c r="I372" s="342"/>
      <c r="J372" s="124">
        <f>SUM(J365:J371)</f>
        <v>300</v>
      </c>
      <c r="K372" s="341" t="s">
        <v>201</v>
      </c>
      <c r="L372" s="342"/>
      <c r="M372" s="124">
        <f>SUM(M365:M371)</f>
        <v>0</v>
      </c>
      <c r="N372" s="341" t="s">
        <v>201</v>
      </c>
      <c r="O372" s="342"/>
      <c r="P372" s="124">
        <f>SUM(P365:P371)</f>
        <v>0</v>
      </c>
      <c r="Q372" s="341" t="s">
        <v>201</v>
      </c>
      <c r="R372" s="342"/>
      <c r="S372" s="124">
        <f>SUM(S365:S371)</f>
        <v>0</v>
      </c>
      <c r="T372" s="341" t="s">
        <v>201</v>
      </c>
      <c r="U372" s="342"/>
      <c r="V372" s="124">
        <f>SUM(V365:V371)</f>
        <v>0</v>
      </c>
      <c r="W372" s="341" t="s">
        <v>201</v>
      </c>
      <c r="X372" s="342"/>
      <c r="Y372" s="127">
        <f>SUM(Y365:Y371)</f>
        <v>0</v>
      </c>
      <c r="Z372" s="151"/>
    </row>
    <row r="373" spans="2:26" s="35" customFormat="1" ht="17.100000000000001" customHeight="1">
      <c r="B373" s="105"/>
      <c r="C373" s="54">
        <f>'2. Rekap Back Up Beton'!C65</f>
        <v>11100</v>
      </c>
      <c r="D373" s="96">
        <f>'2. Rekap Back Up Beton'!D65</f>
        <v>11200</v>
      </c>
      <c r="E373" s="111">
        <f>'2. Rekap Back Up Beton'!E65</f>
        <v>5</v>
      </c>
      <c r="F373" s="112">
        <f>(100/((D373-C373)*E373))*((J380*0.5)+(M380*1)+(P380*2)+(S380*20)+(V380*15)+(Y380*1.5))</f>
        <v>30</v>
      </c>
      <c r="G373" s="113" t="str">
        <f>IF(F373&lt;=25,"B",IF(F373&lt;=75,"S",IF(F373&lt;=100,"RR","RB")))</f>
        <v>S</v>
      </c>
      <c r="H373" s="100">
        <v>100</v>
      </c>
      <c r="I373" s="98">
        <v>3</v>
      </c>
      <c r="J373" s="101">
        <f t="shared" ref="J373:J379" si="264">H373*I373</f>
        <v>300</v>
      </c>
      <c r="K373" s="100">
        <v>0</v>
      </c>
      <c r="L373" s="98">
        <v>0</v>
      </c>
      <c r="M373" s="101">
        <f t="shared" ref="M373:M379" si="265">K373*L373</f>
        <v>0</v>
      </c>
      <c r="N373" s="100">
        <v>0</v>
      </c>
      <c r="O373" s="98">
        <v>4</v>
      </c>
      <c r="P373" s="101">
        <f t="shared" ref="P373:P379" si="266">N373*O373</f>
        <v>0</v>
      </c>
      <c r="Q373" s="100">
        <v>0</v>
      </c>
      <c r="R373" s="98">
        <v>0</v>
      </c>
      <c r="S373" s="101">
        <f t="shared" ref="S373:S379" si="267">Q373*R373</f>
        <v>0</v>
      </c>
      <c r="T373" s="100">
        <v>0</v>
      </c>
      <c r="U373" s="98">
        <v>0</v>
      </c>
      <c r="V373" s="101">
        <f>T373*U373</f>
        <v>0</v>
      </c>
      <c r="W373" s="100">
        <v>0</v>
      </c>
      <c r="X373" s="98">
        <v>0</v>
      </c>
      <c r="Y373" s="147">
        <f t="shared" ref="Y373:Y379" si="268">W373*X373</f>
        <v>0</v>
      </c>
      <c r="Z373" s="150"/>
    </row>
    <row r="374" spans="2:26" s="35" customFormat="1" ht="17.100000000000001" customHeight="1">
      <c r="B374" s="105"/>
      <c r="C374" s="54"/>
      <c r="D374" s="96"/>
      <c r="E374" s="111"/>
      <c r="F374" s="112"/>
      <c r="G374" s="113"/>
      <c r="H374" s="100">
        <v>0</v>
      </c>
      <c r="I374" s="98">
        <v>0</v>
      </c>
      <c r="J374" s="101">
        <f t="shared" si="264"/>
        <v>0</v>
      </c>
      <c r="K374" s="100">
        <v>0</v>
      </c>
      <c r="L374" s="98">
        <v>0</v>
      </c>
      <c r="M374" s="101">
        <f t="shared" si="265"/>
        <v>0</v>
      </c>
      <c r="N374" s="100">
        <v>0</v>
      </c>
      <c r="O374" s="98">
        <v>0</v>
      </c>
      <c r="P374" s="101">
        <f t="shared" si="266"/>
        <v>0</v>
      </c>
      <c r="Q374" s="100">
        <v>0</v>
      </c>
      <c r="R374" s="98">
        <v>0</v>
      </c>
      <c r="S374" s="101">
        <f t="shared" si="267"/>
        <v>0</v>
      </c>
      <c r="T374" s="100">
        <v>0</v>
      </c>
      <c r="U374" s="98">
        <v>0</v>
      </c>
      <c r="V374" s="101">
        <f t="shared" ref="V374:V379" si="269">T374*U374</f>
        <v>0</v>
      </c>
      <c r="W374" s="100">
        <v>0</v>
      </c>
      <c r="X374" s="98">
        <v>0</v>
      </c>
      <c r="Y374" s="147">
        <f t="shared" si="268"/>
        <v>0</v>
      </c>
      <c r="Z374" s="150"/>
    </row>
    <row r="375" spans="2:26" s="35" customFormat="1" ht="17.100000000000001" customHeight="1">
      <c r="B375" s="105"/>
      <c r="C375" s="54"/>
      <c r="D375" s="96"/>
      <c r="E375" s="111"/>
      <c r="F375" s="112"/>
      <c r="G375" s="113"/>
      <c r="H375" s="100">
        <v>0</v>
      </c>
      <c r="I375" s="98">
        <v>0</v>
      </c>
      <c r="J375" s="101">
        <f t="shared" si="264"/>
        <v>0</v>
      </c>
      <c r="K375" s="100">
        <v>0</v>
      </c>
      <c r="L375" s="98">
        <v>0</v>
      </c>
      <c r="M375" s="101">
        <f t="shared" si="265"/>
        <v>0</v>
      </c>
      <c r="N375" s="100">
        <v>0</v>
      </c>
      <c r="O375" s="98">
        <v>0</v>
      </c>
      <c r="P375" s="101">
        <f t="shared" si="266"/>
        <v>0</v>
      </c>
      <c r="Q375" s="100">
        <v>0</v>
      </c>
      <c r="R375" s="98">
        <v>0</v>
      </c>
      <c r="S375" s="101">
        <f t="shared" si="267"/>
        <v>0</v>
      </c>
      <c r="T375" s="100">
        <v>0</v>
      </c>
      <c r="U375" s="98">
        <v>0</v>
      </c>
      <c r="V375" s="101">
        <f t="shared" si="269"/>
        <v>0</v>
      </c>
      <c r="W375" s="100">
        <v>0</v>
      </c>
      <c r="X375" s="98">
        <v>0</v>
      </c>
      <c r="Y375" s="147">
        <f t="shared" si="268"/>
        <v>0</v>
      </c>
      <c r="Z375" s="150"/>
    </row>
    <row r="376" spans="2:26" s="35" customFormat="1" ht="17.100000000000001" customHeight="1">
      <c r="B376" s="105"/>
      <c r="C376" s="54"/>
      <c r="D376" s="96"/>
      <c r="E376" s="111"/>
      <c r="F376" s="112"/>
      <c r="G376" s="113"/>
      <c r="H376" s="100">
        <v>0</v>
      </c>
      <c r="I376" s="98">
        <v>0</v>
      </c>
      <c r="J376" s="101">
        <f t="shared" si="264"/>
        <v>0</v>
      </c>
      <c r="K376" s="100">
        <v>0</v>
      </c>
      <c r="L376" s="98">
        <v>0</v>
      </c>
      <c r="M376" s="101">
        <f t="shared" si="265"/>
        <v>0</v>
      </c>
      <c r="N376" s="100">
        <v>0</v>
      </c>
      <c r="O376" s="98">
        <v>0</v>
      </c>
      <c r="P376" s="101">
        <f t="shared" si="266"/>
        <v>0</v>
      </c>
      <c r="Q376" s="100">
        <v>0</v>
      </c>
      <c r="R376" s="98">
        <v>0</v>
      </c>
      <c r="S376" s="101">
        <f t="shared" si="267"/>
        <v>0</v>
      </c>
      <c r="T376" s="100">
        <v>0</v>
      </c>
      <c r="U376" s="98">
        <v>0</v>
      </c>
      <c r="V376" s="101">
        <f t="shared" si="269"/>
        <v>0</v>
      </c>
      <c r="W376" s="100">
        <v>0</v>
      </c>
      <c r="X376" s="98">
        <v>0</v>
      </c>
      <c r="Y376" s="147">
        <f t="shared" si="268"/>
        <v>0</v>
      </c>
      <c r="Z376" s="150"/>
    </row>
    <row r="377" spans="2:26" s="35" customFormat="1" ht="17.100000000000001" customHeight="1">
      <c r="B377" s="105"/>
      <c r="C377" s="54"/>
      <c r="D377" s="96"/>
      <c r="E377" s="111"/>
      <c r="F377" s="112"/>
      <c r="G377" s="113"/>
      <c r="H377" s="100">
        <v>0</v>
      </c>
      <c r="I377" s="98">
        <v>0</v>
      </c>
      <c r="J377" s="101">
        <f t="shared" si="264"/>
        <v>0</v>
      </c>
      <c r="K377" s="100">
        <v>0</v>
      </c>
      <c r="L377" s="98">
        <v>0</v>
      </c>
      <c r="M377" s="101">
        <f t="shared" si="265"/>
        <v>0</v>
      </c>
      <c r="N377" s="100">
        <v>0</v>
      </c>
      <c r="O377" s="98">
        <v>0</v>
      </c>
      <c r="P377" s="101">
        <f t="shared" si="266"/>
        <v>0</v>
      </c>
      <c r="Q377" s="100">
        <v>0</v>
      </c>
      <c r="R377" s="98">
        <v>0</v>
      </c>
      <c r="S377" s="101">
        <f t="shared" si="267"/>
        <v>0</v>
      </c>
      <c r="T377" s="100">
        <v>0</v>
      </c>
      <c r="U377" s="98">
        <v>0</v>
      </c>
      <c r="V377" s="101">
        <f t="shared" si="269"/>
        <v>0</v>
      </c>
      <c r="W377" s="100">
        <v>0</v>
      </c>
      <c r="X377" s="98">
        <v>0</v>
      </c>
      <c r="Y377" s="147">
        <f t="shared" si="268"/>
        <v>0</v>
      </c>
      <c r="Z377" s="150"/>
    </row>
    <row r="378" spans="2:26" s="35" customFormat="1" ht="17.100000000000001" customHeight="1">
      <c r="B378" s="105"/>
      <c r="C378" s="54"/>
      <c r="D378" s="96"/>
      <c r="E378" s="111"/>
      <c r="F378" s="112"/>
      <c r="G378" s="113"/>
      <c r="H378" s="100">
        <v>0</v>
      </c>
      <c r="I378" s="98">
        <v>0</v>
      </c>
      <c r="J378" s="101">
        <f t="shared" si="264"/>
        <v>0</v>
      </c>
      <c r="K378" s="100">
        <v>0</v>
      </c>
      <c r="L378" s="98">
        <v>0</v>
      </c>
      <c r="M378" s="101">
        <f t="shared" si="265"/>
        <v>0</v>
      </c>
      <c r="N378" s="100">
        <v>0</v>
      </c>
      <c r="O378" s="98">
        <v>0</v>
      </c>
      <c r="P378" s="101">
        <f t="shared" si="266"/>
        <v>0</v>
      </c>
      <c r="Q378" s="100">
        <v>0</v>
      </c>
      <c r="R378" s="98">
        <v>0</v>
      </c>
      <c r="S378" s="101">
        <f t="shared" si="267"/>
        <v>0</v>
      </c>
      <c r="T378" s="100">
        <v>0</v>
      </c>
      <c r="U378" s="98">
        <v>0</v>
      </c>
      <c r="V378" s="101">
        <f t="shared" si="269"/>
        <v>0</v>
      </c>
      <c r="W378" s="100">
        <v>0</v>
      </c>
      <c r="X378" s="98">
        <v>0</v>
      </c>
      <c r="Y378" s="147">
        <f t="shared" si="268"/>
        <v>0</v>
      </c>
      <c r="Z378" s="150"/>
    </row>
    <row r="379" spans="2:26" s="35" customFormat="1" ht="17.100000000000001" customHeight="1">
      <c r="B379" s="105"/>
      <c r="C379" s="54"/>
      <c r="D379" s="96"/>
      <c r="E379" s="111"/>
      <c r="F379" s="112"/>
      <c r="G379" s="113"/>
      <c r="H379" s="100">
        <v>0</v>
      </c>
      <c r="I379" s="98">
        <v>0</v>
      </c>
      <c r="J379" s="101">
        <f t="shared" si="264"/>
        <v>0</v>
      </c>
      <c r="K379" s="100">
        <v>0</v>
      </c>
      <c r="L379" s="98">
        <v>0</v>
      </c>
      <c r="M379" s="101">
        <f t="shared" si="265"/>
        <v>0</v>
      </c>
      <c r="N379" s="100">
        <v>0</v>
      </c>
      <c r="O379" s="98">
        <v>0</v>
      </c>
      <c r="P379" s="101">
        <f t="shared" si="266"/>
        <v>0</v>
      </c>
      <c r="Q379" s="100">
        <v>0</v>
      </c>
      <c r="R379" s="98">
        <v>0</v>
      </c>
      <c r="S379" s="101">
        <f t="shared" si="267"/>
        <v>0</v>
      </c>
      <c r="T379" s="100">
        <v>0</v>
      </c>
      <c r="U379" s="98">
        <v>0</v>
      </c>
      <c r="V379" s="101">
        <f t="shared" si="269"/>
        <v>0</v>
      </c>
      <c r="W379" s="100">
        <v>0</v>
      </c>
      <c r="X379" s="98">
        <v>0</v>
      </c>
      <c r="Y379" s="147">
        <f t="shared" si="268"/>
        <v>0</v>
      </c>
      <c r="Z379" s="150"/>
    </row>
    <row r="380" spans="2:26" s="126" customFormat="1" ht="17.100000000000001" customHeight="1">
      <c r="B380" s="118"/>
      <c r="C380" s="119"/>
      <c r="D380" s="120"/>
      <c r="E380" s="121"/>
      <c r="F380" s="122"/>
      <c r="G380" s="123"/>
      <c r="H380" s="341" t="s">
        <v>201</v>
      </c>
      <c r="I380" s="342"/>
      <c r="J380" s="124">
        <f>SUM(J373:J379)</f>
        <v>300</v>
      </c>
      <c r="K380" s="341" t="s">
        <v>201</v>
      </c>
      <c r="L380" s="342"/>
      <c r="M380" s="124">
        <f>SUM(M373:M379)</f>
        <v>0</v>
      </c>
      <c r="N380" s="341" t="s">
        <v>201</v>
      </c>
      <c r="O380" s="342"/>
      <c r="P380" s="124">
        <f>SUM(P373:P379)</f>
        <v>0</v>
      </c>
      <c r="Q380" s="341" t="s">
        <v>201</v>
      </c>
      <c r="R380" s="342"/>
      <c r="S380" s="124">
        <f>SUM(S373:S379)</f>
        <v>0</v>
      </c>
      <c r="T380" s="341" t="s">
        <v>201</v>
      </c>
      <c r="U380" s="342"/>
      <c r="V380" s="124">
        <f>SUM(V373:V379)</f>
        <v>0</v>
      </c>
      <c r="W380" s="341" t="s">
        <v>201</v>
      </c>
      <c r="X380" s="342"/>
      <c r="Y380" s="127">
        <f>SUM(Y373:Y379)</f>
        <v>0</v>
      </c>
      <c r="Z380" s="151"/>
    </row>
    <row r="381" spans="2:26" s="35" customFormat="1" ht="17.100000000000001" customHeight="1">
      <c r="B381" s="105"/>
      <c r="C381" s="54">
        <f>'2. Rekap Back Up Beton'!C66</f>
        <v>11200</v>
      </c>
      <c r="D381" s="96">
        <f>'2. Rekap Back Up Beton'!D66</f>
        <v>11300</v>
      </c>
      <c r="E381" s="111">
        <f>'2. Rekap Back Up Beton'!E66</f>
        <v>5</v>
      </c>
      <c r="F381" s="112">
        <f>(100/((D381-C381)*E381))*((J388*0.5)+(M388*1)+(P388*2)+(S388*20)+(V388*15)+(Y388*1.5))</f>
        <v>30</v>
      </c>
      <c r="G381" s="113" t="str">
        <f>IF(F381&lt;=25,"B",IF(F381&lt;=75,"S",IF(F381&lt;=100,"RR","RB")))</f>
        <v>S</v>
      </c>
      <c r="H381" s="100">
        <v>100</v>
      </c>
      <c r="I381" s="98">
        <v>3</v>
      </c>
      <c r="J381" s="101">
        <f t="shared" ref="J381:J387" si="270">H381*I381</f>
        <v>300</v>
      </c>
      <c r="K381" s="100">
        <v>0</v>
      </c>
      <c r="L381" s="98">
        <v>0</v>
      </c>
      <c r="M381" s="101">
        <f t="shared" ref="M381:M387" si="271">K381*L381</f>
        <v>0</v>
      </c>
      <c r="N381" s="100">
        <v>0</v>
      </c>
      <c r="O381" s="98">
        <v>4</v>
      </c>
      <c r="P381" s="101">
        <f t="shared" ref="P381:P387" si="272">N381*O381</f>
        <v>0</v>
      </c>
      <c r="Q381" s="100">
        <v>0</v>
      </c>
      <c r="R381" s="98">
        <v>0</v>
      </c>
      <c r="S381" s="101">
        <f t="shared" ref="S381:S387" si="273">Q381*R381</f>
        <v>0</v>
      </c>
      <c r="T381" s="100">
        <v>0</v>
      </c>
      <c r="U381" s="98">
        <v>0</v>
      </c>
      <c r="V381" s="101">
        <f>T381*U381</f>
        <v>0</v>
      </c>
      <c r="W381" s="100">
        <v>0</v>
      </c>
      <c r="X381" s="98">
        <v>0</v>
      </c>
      <c r="Y381" s="147">
        <f t="shared" ref="Y381:Y387" si="274">W381*X381</f>
        <v>0</v>
      </c>
      <c r="Z381" s="150"/>
    </row>
    <row r="382" spans="2:26" s="35" customFormat="1" ht="17.100000000000001" customHeight="1">
      <c r="B382" s="105"/>
      <c r="C382" s="54"/>
      <c r="D382" s="96"/>
      <c r="E382" s="111"/>
      <c r="F382" s="112"/>
      <c r="G382" s="113"/>
      <c r="H382" s="100">
        <v>0</v>
      </c>
      <c r="I382" s="98">
        <v>0</v>
      </c>
      <c r="J382" s="101">
        <f t="shared" si="270"/>
        <v>0</v>
      </c>
      <c r="K382" s="100">
        <v>0</v>
      </c>
      <c r="L382" s="98">
        <v>0</v>
      </c>
      <c r="M382" s="101">
        <f t="shared" si="271"/>
        <v>0</v>
      </c>
      <c r="N382" s="100">
        <v>0</v>
      </c>
      <c r="O382" s="98">
        <v>0</v>
      </c>
      <c r="P382" s="101">
        <f t="shared" si="272"/>
        <v>0</v>
      </c>
      <c r="Q382" s="100">
        <v>0</v>
      </c>
      <c r="R382" s="98">
        <v>0</v>
      </c>
      <c r="S382" s="101">
        <f t="shared" si="273"/>
        <v>0</v>
      </c>
      <c r="T382" s="100">
        <v>0</v>
      </c>
      <c r="U382" s="98">
        <v>0</v>
      </c>
      <c r="V382" s="101">
        <f t="shared" ref="V382:V387" si="275">T382*U382</f>
        <v>0</v>
      </c>
      <c r="W382" s="100">
        <v>0</v>
      </c>
      <c r="X382" s="98">
        <v>0</v>
      </c>
      <c r="Y382" s="147">
        <f t="shared" si="274"/>
        <v>0</v>
      </c>
      <c r="Z382" s="150"/>
    </row>
    <row r="383" spans="2:26" s="35" customFormat="1" ht="17.100000000000001" customHeight="1">
      <c r="B383" s="105"/>
      <c r="C383" s="54"/>
      <c r="D383" s="96"/>
      <c r="E383" s="111"/>
      <c r="F383" s="112"/>
      <c r="G383" s="113"/>
      <c r="H383" s="100">
        <v>0</v>
      </c>
      <c r="I383" s="98">
        <v>0</v>
      </c>
      <c r="J383" s="101">
        <f t="shared" si="270"/>
        <v>0</v>
      </c>
      <c r="K383" s="100">
        <v>0</v>
      </c>
      <c r="L383" s="98">
        <v>0</v>
      </c>
      <c r="M383" s="101">
        <f t="shared" si="271"/>
        <v>0</v>
      </c>
      <c r="N383" s="100">
        <v>0</v>
      </c>
      <c r="O383" s="98">
        <v>0</v>
      </c>
      <c r="P383" s="101">
        <f t="shared" si="272"/>
        <v>0</v>
      </c>
      <c r="Q383" s="100">
        <v>0</v>
      </c>
      <c r="R383" s="98">
        <v>0</v>
      </c>
      <c r="S383" s="101">
        <f t="shared" si="273"/>
        <v>0</v>
      </c>
      <c r="T383" s="100">
        <v>0</v>
      </c>
      <c r="U383" s="98">
        <v>0</v>
      </c>
      <c r="V383" s="101">
        <f t="shared" si="275"/>
        <v>0</v>
      </c>
      <c r="W383" s="100">
        <v>0</v>
      </c>
      <c r="X383" s="98">
        <v>0</v>
      </c>
      <c r="Y383" s="147">
        <f t="shared" si="274"/>
        <v>0</v>
      </c>
      <c r="Z383" s="150"/>
    </row>
    <row r="384" spans="2:26" s="35" customFormat="1" ht="17.100000000000001" customHeight="1">
      <c r="B384" s="105"/>
      <c r="C384" s="54"/>
      <c r="D384" s="96"/>
      <c r="E384" s="111"/>
      <c r="F384" s="112"/>
      <c r="G384" s="113"/>
      <c r="H384" s="100">
        <v>0</v>
      </c>
      <c r="I384" s="98">
        <v>0</v>
      </c>
      <c r="J384" s="101">
        <f t="shared" si="270"/>
        <v>0</v>
      </c>
      <c r="K384" s="100">
        <v>0</v>
      </c>
      <c r="L384" s="98">
        <v>0</v>
      </c>
      <c r="M384" s="101">
        <f t="shared" si="271"/>
        <v>0</v>
      </c>
      <c r="N384" s="100">
        <v>0</v>
      </c>
      <c r="O384" s="98">
        <v>0</v>
      </c>
      <c r="P384" s="101">
        <f t="shared" si="272"/>
        <v>0</v>
      </c>
      <c r="Q384" s="100">
        <v>0</v>
      </c>
      <c r="R384" s="98">
        <v>0</v>
      </c>
      <c r="S384" s="101">
        <f t="shared" si="273"/>
        <v>0</v>
      </c>
      <c r="T384" s="100">
        <v>0</v>
      </c>
      <c r="U384" s="98">
        <v>0</v>
      </c>
      <c r="V384" s="101">
        <f t="shared" si="275"/>
        <v>0</v>
      </c>
      <c r="W384" s="100">
        <v>0</v>
      </c>
      <c r="X384" s="98">
        <v>0</v>
      </c>
      <c r="Y384" s="147">
        <f t="shared" si="274"/>
        <v>0</v>
      </c>
      <c r="Z384" s="150"/>
    </row>
    <row r="385" spans="2:26" s="35" customFormat="1" ht="17.100000000000001" customHeight="1">
      <c r="B385" s="105"/>
      <c r="C385" s="54"/>
      <c r="D385" s="96"/>
      <c r="E385" s="111"/>
      <c r="F385" s="112"/>
      <c r="G385" s="113"/>
      <c r="H385" s="100">
        <v>0</v>
      </c>
      <c r="I385" s="98">
        <v>0</v>
      </c>
      <c r="J385" s="101">
        <f t="shared" si="270"/>
        <v>0</v>
      </c>
      <c r="K385" s="100">
        <v>0</v>
      </c>
      <c r="L385" s="98">
        <v>0</v>
      </c>
      <c r="M385" s="101">
        <f t="shared" si="271"/>
        <v>0</v>
      </c>
      <c r="N385" s="100">
        <v>0</v>
      </c>
      <c r="O385" s="98">
        <v>0</v>
      </c>
      <c r="P385" s="101">
        <f t="shared" si="272"/>
        <v>0</v>
      </c>
      <c r="Q385" s="100">
        <v>0</v>
      </c>
      <c r="R385" s="98">
        <v>0</v>
      </c>
      <c r="S385" s="101">
        <f t="shared" si="273"/>
        <v>0</v>
      </c>
      <c r="T385" s="100">
        <v>0</v>
      </c>
      <c r="U385" s="98">
        <v>0</v>
      </c>
      <c r="V385" s="101">
        <f t="shared" si="275"/>
        <v>0</v>
      </c>
      <c r="W385" s="100">
        <v>0</v>
      </c>
      <c r="X385" s="98">
        <v>0</v>
      </c>
      <c r="Y385" s="147">
        <f t="shared" si="274"/>
        <v>0</v>
      </c>
      <c r="Z385" s="150"/>
    </row>
    <row r="386" spans="2:26" s="35" customFormat="1" ht="17.100000000000001" customHeight="1">
      <c r="B386" s="105"/>
      <c r="C386" s="54"/>
      <c r="D386" s="96"/>
      <c r="E386" s="111"/>
      <c r="F386" s="112"/>
      <c r="G386" s="113"/>
      <c r="H386" s="100">
        <v>0</v>
      </c>
      <c r="I386" s="98">
        <v>0</v>
      </c>
      <c r="J386" s="101">
        <f t="shared" si="270"/>
        <v>0</v>
      </c>
      <c r="K386" s="100">
        <v>0</v>
      </c>
      <c r="L386" s="98">
        <v>0</v>
      </c>
      <c r="M386" s="101">
        <f t="shared" si="271"/>
        <v>0</v>
      </c>
      <c r="N386" s="100">
        <v>0</v>
      </c>
      <c r="O386" s="98">
        <v>0</v>
      </c>
      <c r="P386" s="101">
        <f t="shared" si="272"/>
        <v>0</v>
      </c>
      <c r="Q386" s="100">
        <v>0</v>
      </c>
      <c r="R386" s="98">
        <v>0</v>
      </c>
      <c r="S386" s="101">
        <f t="shared" si="273"/>
        <v>0</v>
      </c>
      <c r="T386" s="100">
        <v>0</v>
      </c>
      <c r="U386" s="98">
        <v>0</v>
      </c>
      <c r="V386" s="101">
        <f t="shared" si="275"/>
        <v>0</v>
      </c>
      <c r="W386" s="100">
        <v>0</v>
      </c>
      <c r="X386" s="98">
        <v>0</v>
      </c>
      <c r="Y386" s="147">
        <f t="shared" si="274"/>
        <v>0</v>
      </c>
      <c r="Z386" s="150"/>
    </row>
    <row r="387" spans="2:26" s="35" customFormat="1" ht="17.100000000000001" customHeight="1">
      <c r="B387" s="105"/>
      <c r="C387" s="54"/>
      <c r="D387" s="96"/>
      <c r="E387" s="111"/>
      <c r="F387" s="112"/>
      <c r="G387" s="113"/>
      <c r="H387" s="100">
        <v>0</v>
      </c>
      <c r="I387" s="98">
        <v>0</v>
      </c>
      <c r="J387" s="101">
        <f t="shared" si="270"/>
        <v>0</v>
      </c>
      <c r="K387" s="100">
        <v>0</v>
      </c>
      <c r="L387" s="98">
        <v>0</v>
      </c>
      <c r="M387" s="101">
        <f t="shared" si="271"/>
        <v>0</v>
      </c>
      <c r="N387" s="100">
        <v>0</v>
      </c>
      <c r="O387" s="98">
        <v>0</v>
      </c>
      <c r="P387" s="101">
        <f t="shared" si="272"/>
        <v>0</v>
      </c>
      <c r="Q387" s="100">
        <v>0</v>
      </c>
      <c r="R387" s="98">
        <v>0</v>
      </c>
      <c r="S387" s="101">
        <f t="shared" si="273"/>
        <v>0</v>
      </c>
      <c r="T387" s="100">
        <v>0</v>
      </c>
      <c r="U387" s="98">
        <v>0</v>
      </c>
      <c r="V387" s="101">
        <f t="shared" si="275"/>
        <v>0</v>
      </c>
      <c r="W387" s="100">
        <v>0</v>
      </c>
      <c r="X387" s="98">
        <v>0</v>
      </c>
      <c r="Y387" s="147">
        <f t="shared" si="274"/>
        <v>0</v>
      </c>
      <c r="Z387" s="150"/>
    </row>
    <row r="388" spans="2:26" s="126" customFormat="1" ht="17.100000000000001" customHeight="1">
      <c r="B388" s="118"/>
      <c r="C388" s="119"/>
      <c r="D388" s="120"/>
      <c r="E388" s="121"/>
      <c r="F388" s="122"/>
      <c r="G388" s="123"/>
      <c r="H388" s="341" t="s">
        <v>201</v>
      </c>
      <c r="I388" s="342"/>
      <c r="J388" s="124">
        <f>SUM(J381:J387)</f>
        <v>300</v>
      </c>
      <c r="K388" s="341" t="s">
        <v>201</v>
      </c>
      <c r="L388" s="342"/>
      <c r="M388" s="124">
        <f>SUM(M381:M387)</f>
        <v>0</v>
      </c>
      <c r="N388" s="341" t="s">
        <v>201</v>
      </c>
      <c r="O388" s="342"/>
      <c r="P388" s="124">
        <f>SUM(P381:P387)</f>
        <v>0</v>
      </c>
      <c r="Q388" s="341" t="s">
        <v>201</v>
      </c>
      <c r="R388" s="342"/>
      <c r="S388" s="124">
        <f>SUM(S381:S387)</f>
        <v>0</v>
      </c>
      <c r="T388" s="341" t="s">
        <v>201</v>
      </c>
      <c r="U388" s="342"/>
      <c r="V388" s="124">
        <f>SUM(V381:V387)</f>
        <v>0</v>
      </c>
      <c r="W388" s="341" t="s">
        <v>201</v>
      </c>
      <c r="X388" s="342"/>
      <c r="Y388" s="127">
        <f>SUM(Y381:Y387)</f>
        <v>0</v>
      </c>
      <c r="Z388" s="151"/>
    </row>
    <row r="389" spans="2:26" s="35" customFormat="1" ht="17.100000000000001" customHeight="1">
      <c r="B389" s="248"/>
      <c r="C389" s="249">
        <f>'2. Rekap Back Up Beton'!C67</f>
        <v>11300</v>
      </c>
      <c r="D389" s="250">
        <f>'2. Rekap Back Up Beton'!D67</f>
        <v>11310</v>
      </c>
      <c r="E389" s="251">
        <f>'2. Rekap Back Up Beton'!E67</f>
        <v>5</v>
      </c>
      <c r="F389" s="112">
        <f>(100/((D389-C389)*E389))*((J396*0.5)+(M396*1)+(P396*2)+(S396*20)+(V396*15)+(Y396*1.5))</f>
        <v>30</v>
      </c>
      <c r="G389" s="113" t="str">
        <f>IF(F389&lt;=25,"B",IF(F389&lt;=75,"S",IF(F389&lt;=100,"RR","RB")))</f>
        <v>S</v>
      </c>
      <c r="H389" s="100">
        <v>10</v>
      </c>
      <c r="I389" s="98">
        <v>3</v>
      </c>
      <c r="J389" s="101">
        <f t="shared" ref="J389:J395" si="276">H389*I389</f>
        <v>30</v>
      </c>
      <c r="K389" s="100">
        <v>0</v>
      </c>
      <c r="L389" s="98">
        <v>0</v>
      </c>
      <c r="M389" s="101">
        <f t="shared" ref="M389:M395" si="277">K389*L389</f>
        <v>0</v>
      </c>
      <c r="N389" s="100">
        <v>0</v>
      </c>
      <c r="O389" s="98">
        <v>4</v>
      </c>
      <c r="P389" s="101">
        <f t="shared" ref="P389:P395" si="278">N389*O389</f>
        <v>0</v>
      </c>
      <c r="Q389" s="100">
        <v>0</v>
      </c>
      <c r="R389" s="98">
        <v>0</v>
      </c>
      <c r="S389" s="101">
        <f t="shared" ref="S389:S395" si="279">Q389*R389</f>
        <v>0</v>
      </c>
      <c r="T389" s="100">
        <v>0</v>
      </c>
      <c r="U389" s="98">
        <v>0</v>
      </c>
      <c r="V389" s="101">
        <f>T389*U389</f>
        <v>0</v>
      </c>
      <c r="W389" s="100">
        <v>0</v>
      </c>
      <c r="X389" s="98">
        <v>0</v>
      </c>
      <c r="Y389" s="147">
        <f t="shared" ref="Y389:Y395" si="280">W389*X389</f>
        <v>0</v>
      </c>
      <c r="Z389" s="150"/>
    </row>
    <row r="390" spans="2:26" s="35" customFormat="1" ht="17.100000000000001" customHeight="1">
      <c r="B390" s="105"/>
      <c r="C390" s="54"/>
      <c r="D390" s="96"/>
      <c r="E390" s="111"/>
      <c r="F390" s="112"/>
      <c r="G390" s="113"/>
      <c r="H390" s="100">
        <v>0</v>
      </c>
      <c r="I390" s="98">
        <v>0</v>
      </c>
      <c r="J390" s="101">
        <f t="shared" si="276"/>
        <v>0</v>
      </c>
      <c r="K390" s="100">
        <v>0</v>
      </c>
      <c r="L390" s="98">
        <v>0</v>
      </c>
      <c r="M390" s="101">
        <f t="shared" si="277"/>
        <v>0</v>
      </c>
      <c r="N390" s="100">
        <v>0</v>
      </c>
      <c r="O390" s="98">
        <v>0</v>
      </c>
      <c r="P390" s="101">
        <f t="shared" si="278"/>
        <v>0</v>
      </c>
      <c r="Q390" s="100">
        <v>0</v>
      </c>
      <c r="R390" s="98">
        <v>0</v>
      </c>
      <c r="S390" s="101">
        <f t="shared" si="279"/>
        <v>0</v>
      </c>
      <c r="T390" s="100">
        <v>0</v>
      </c>
      <c r="U390" s="98">
        <v>0</v>
      </c>
      <c r="V390" s="101">
        <f t="shared" ref="V390:V395" si="281">T390*U390</f>
        <v>0</v>
      </c>
      <c r="W390" s="100">
        <v>0</v>
      </c>
      <c r="X390" s="98">
        <v>0</v>
      </c>
      <c r="Y390" s="147">
        <f t="shared" si="280"/>
        <v>0</v>
      </c>
      <c r="Z390" s="150"/>
    </row>
    <row r="391" spans="2:26" s="35" customFormat="1" ht="17.100000000000001" customHeight="1">
      <c r="B391" s="105"/>
      <c r="C391" s="54"/>
      <c r="D391" s="96"/>
      <c r="E391" s="111"/>
      <c r="F391" s="112"/>
      <c r="G391" s="113"/>
      <c r="H391" s="100">
        <v>0</v>
      </c>
      <c r="I391" s="98">
        <v>0</v>
      </c>
      <c r="J391" s="101">
        <f t="shared" si="276"/>
        <v>0</v>
      </c>
      <c r="K391" s="100">
        <v>0</v>
      </c>
      <c r="L391" s="98">
        <v>0</v>
      </c>
      <c r="M391" s="101">
        <f t="shared" si="277"/>
        <v>0</v>
      </c>
      <c r="N391" s="100">
        <v>0</v>
      </c>
      <c r="O391" s="98">
        <v>0</v>
      </c>
      <c r="P391" s="101">
        <f t="shared" si="278"/>
        <v>0</v>
      </c>
      <c r="Q391" s="100">
        <v>0</v>
      </c>
      <c r="R391" s="98">
        <v>0</v>
      </c>
      <c r="S391" s="101">
        <f t="shared" si="279"/>
        <v>0</v>
      </c>
      <c r="T391" s="100">
        <v>0</v>
      </c>
      <c r="U391" s="98">
        <v>0</v>
      </c>
      <c r="V391" s="101">
        <f t="shared" si="281"/>
        <v>0</v>
      </c>
      <c r="W391" s="100">
        <v>0</v>
      </c>
      <c r="X391" s="98">
        <v>0</v>
      </c>
      <c r="Y391" s="147">
        <f t="shared" si="280"/>
        <v>0</v>
      </c>
      <c r="Z391" s="150"/>
    </row>
    <row r="392" spans="2:26" s="35" customFormat="1" ht="17.100000000000001" customHeight="1">
      <c r="B392" s="105"/>
      <c r="C392" s="54"/>
      <c r="D392" s="96"/>
      <c r="E392" s="111"/>
      <c r="F392" s="112"/>
      <c r="G392" s="113"/>
      <c r="H392" s="100">
        <v>0</v>
      </c>
      <c r="I392" s="98">
        <v>0</v>
      </c>
      <c r="J392" s="101">
        <f t="shared" si="276"/>
        <v>0</v>
      </c>
      <c r="K392" s="100">
        <v>0</v>
      </c>
      <c r="L392" s="98">
        <v>0</v>
      </c>
      <c r="M392" s="101">
        <f t="shared" si="277"/>
        <v>0</v>
      </c>
      <c r="N392" s="100">
        <v>0</v>
      </c>
      <c r="O392" s="98">
        <v>0</v>
      </c>
      <c r="P392" s="101">
        <f t="shared" si="278"/>
        <v>0</v>
      </c>
      <c r="Q392" s="100">
        <v>0</v>
      </c>
      <c r="R392" s="98">
        <v>0</v>
      </c>
      <c r="S392" s="101">
        <f t="shared" si="279"/>
        <v>0</v>
      </c>
      <c r="T392" s="100">
        <v>0</v>
      </c>
      <c r="U392" s="98">
        <v>0</v>
      </c>
      <c r="V392" s="101">
        <f t="shared" si="281"/>
        <v>0</v>
      </c>
      <c r="W392" s="100">
        <v>0</v>
      </c>
      <c r="X392" s="98">
        <v>0</v>
      </c>
      <c r="Y392" s="147">
        <f t="shared" si="280"/>
        <v>0</v>
      </c>
      <c r="Z392" s="150"/>
    </row>
    <row r="393" spans="2:26" s="35" customFormat="1" ht="17.100000000000001" customHeight="1">
      <c r="B393" s="105"/>
      <c r="C393" s="54"/>
      <c r="D393" s="96"/>
      <c r="E393" s="111"/>
      <c r="F393" s="112"/>
      <c r="G393" s="113"/>
      <c r="H393" s="100">
        <v>0</v>
      </c>
      <c r="I393" s="98">
        <v>0</v>
      </c>
      <c r="J393" s="101">
        <f t="shared" si="276"/>
        <v>0</v>
      </c>
      <c r="K393" s="100">
        <v>0</v>
      </c>
      <c r="L393" s="98">
        <v>0</v>
      </c>
      <c r="M393" s="101">
        <f t="shared" si="277"/>
        <v>0</v>
      </c>
      <c r="N393" s="100">
        <v>0</v>
      </c>
      <c r="O393" s="98">
        <v>0</v>
      </c>
      <c r="P393" s="101">
        <f t="shared" si="278"/>
        <v>0</v>
      </c>
      <c r="Q393" s="100">
        <v>0</v>
      </c>
      <c r="R393" s="98">
        <v>0</v>
      </c>
      <c r="S393" s="101">
        <f t="shared" si="279"/>
        <v>0</v>
      </c>
      <c r="T393" s="100">
        <v>0</v>
      </c>
      <c r="U393" s="98">
        <v>0</v>
      </c>
      <c r="V393" s="101">
        <f t="shared" si="281"/>
        <v>0</v>
      </c>
      <c r="W393" s="100">
        <v>0</v>
      </c>
      <c r="X393" s="98">
        <v>0</v>
      </c>
      <c r="Y393" s="147">
        <f t="shared" si="280"/>
        <v>0</v>
      </c>
      <c r="Z393" s="150"/>
    </row>
    <row r="394" spans="2:26" s="35" customFormat="1" ht="17.100000000000001" customHeight="1">
      <c r="B394" s="105"/>
      <c r="C394" s="54"/>
      <c r="D394" s="96"/>
      <c r="E394" s="111"/>
      <c r="F394" s="112"/>
      <c r="G394" s="113"/>
      <c r="H394" s="100">
        <v>0</v>
      </c>
      <c r="I394" s="98">
        <v>0</v>
      </c>
      <c r="J394" s="101">
        <f t="shared" si="276"/>
        <v>0</v>
      </c>
      <c r="K394" s="100">
        <v>0</v>
      </c>
      <c r="L394" s="98">
        <v>0</v>
      </c>
      <c r="M394" s="101">
        <f t="shared" si="277"/>
        <v>0</v>
      </c>
      <c r="N394" s="100">
        <v>0</v>
      </c>
      <c r="O394" s="98">
        <v>0</v>
      </c>
      <c r="P394" s="101">
        <f t="shared" si="278"/>
        <v>0</v>
      </c>
      <c r="Q394" s="100">
        <v>0</v>
      </c>
      <c r="R394" s="98">
        <v>0</v>
      </c>
      <c r="S394" s="101">
        <f t="shared" si="279"/>
        <v>0</v>
      </c>
      <c r="T394" s="100">
        <v>0</v>
      </c>
      <c r="U394" s="98">
        <v>0</v>
      </c>
      <c r="V394" s="101">
        <f t="shared" si="281"/>
        <v>0</v>
      </c>
      <c r="W394" s="100">
        <v>0</v>
      </c>
      <c r="X394" s="98">
        <v>0</v>
      </c>
      <c r="Y394" s="147">
        <f t="shared" si="280"/>
        <v>0</v>
      </c>
      <c r="Z394" s="150"/>
    </row>
    <row r="395" spans="2:26" s="35" customFormat="1" ht="17.100000000000001" customHeight="1">
      <c r="B395" s="105"/>
      <c r="C395" s="54"/>
      <c r="D395" s="96"/>
      <c r="E395" s="111"/>
      <c r="F395" s="112"/>
      <c r="G395" s="113"/>
      <c r="H395" s="100">
        <v>0</v>
      </c>
      <c r="I395" s="98">
        <v>0</v>
      </c>
      <c r="J395" s="101">
        <f t="shared" si="276"/>
        <v>0</v>
      </c>
      <c r="K395" s="100">
        <v>0</v>
      </c>
      <c r="L395" s="98">
        <v>0</v>
      </c>
      <c r="M395" s="101">
        <f t="shared" si="277"/>
        <v>0</v>
      </c>
      <c r="N395" s="100">
        <v>0</v>
      </c>
      <c r="O395" s="98">
        <v>0</v>
      </c>
      <c r="P395" s="101">
        <f t="shared" si="278"/>
        <v>0</v>
      </c>
      <c r="Q395" s="100">
        <v>0</v>
      </c>
      <c r="R395" s="98">
        <v>0</v>
      </c>
      <c r="S395" s="101">
        <f t="shared" si="279"/>
        <v>0</v>
      </c>
      <c r="T395" s="100">
        <v>0</v>
      </c>
      <c r="U395" s="98">
        <v>0</v>
      </c>
      <c r="V395" s="101">
        <f t="shared" si="281"/>
        <v>0</v>
      </c>
      <c r="W395" s="100">
        <v>0</v>
      </c>
      <c r="X395" s="98">
        <v>0</v>
      </c>
      <c r="Y395" s="147">
        <f t="shared" si="280"/>
        <v>0</v>
      </c>
      <c r="Z395" s="150"/>
    </row>
    <row r="396" spans="2:26" s="126" customFormat="1" ht="17.100000000000001" customHeight="1">
      <c r="B396" s="118"/>
      <c r="C396" s="119"/>
      <c r="D396" s="120"/>
      <c r="E396" s="121"/>
      <c r="F396" s="122"/>
      <c r="G396" s="123"/>
      <c r="H396" s="341" t="s">
        <v>201</v>
      </c>
      <c r="I396" s="342"/>
      <c r="J396" s="124">
        <f>SUM(J389:J395)</f>
        <v>30</v>
      </c>
      <c r="K396" s="341" t="s">
        <v>201</v>
      </c>
      <c r="L396" s="342"/>
      <c r="M396" s="124">
        <f>SUM(M389:M395)</f>
        <v>0</v>
      </c>
      <c r="N396" s="341" t="s">
        <v>201</v>
      </c>
      <c r="O396" s="342"/>
      <c r="P396" s="124">
        <f>SUM(P389:P395)</f>
        <v>0</v>
      </c>
      <c r="Q396" s="341" t="s">
        <v>201</v>
      </c>
      <c r="R396" s="342"/>
      <c r="S396" s="124">
        <f>SUM(S389:S395)</f>
        <v>0</v>
      </c>
      <c r="T396" s="341" t="s">
        <v>201</v>
      </c>
      <c r="U396" s="342"/>
      <c r="V396" s="124">
        <f>SUM(V389:V395)</f>
        <v>0</v>
      </c>
      <c r="W396" s="341" t="s">
        <v>201</v>
      </c>
      <c r="X396" s="342"/>
      <c r="Y396" s="127">
        <f>SUM(Y389:Y395)</f>
        <v>0</v>
      </c>
      <c r="Z396" s="151"/>
    </row>
    <row r="397" spans="2:26" s="35" customFormat="1" ht="17.100000000000001" customHeight="1">
      <c r="B397" s="105"/>
      <c r="C397" s="54">
        <f>'2. Rekap Back Up Beton'!C68</f>
        <v>14500</v>
      </c>
      <c r="D397" s="96">
        <f>'2. Rekap Back Up Beton'!D68</f>
        <v>14600</v>
      </c>
      <c r="E397" s="111">
        <f>'2. Rekap Back Up Beton'!E68</f>
        <v>6</v>
      </c>
      <c r="F397" s="112">
        <f>(100/((D397-C397)*E397))*((J404*0.5)+(M404*1)+(P404*2)+(S404*20)+(V404*15)+(Y404*1.5))</f>
        <v>0</v>
      </c>
      <c r="G397" s="113" t="str">
        <f>IF(F397&lt;=25,"B",IF(F397&lt;=75,"S",IF(F397&lt;=100,"RR","RB")))</f>
        <v>B</v>
      </c>
      <c r="H397" s="100">
        <v>0</v>
      </c>
      <c r="I397" s="98">
        <v>0</v>
      </c>
      <c r="J397" s="101">
        <f t="shared" ref="J397:J403" si="282">H397*I397</f>
        <v>0</v>
      </c>
      <c r="K397" s="100">
        <v>0</v>
      </c>
      <c r="L397" s="98">
        <v>0</v>
      </c>
      <c r="M397" s="101">
        <f t="shared" ref="M397:M403" si="283">K397*L397</f>
        <v>0</v>
      </c>
      <c r="N397" s="100">
        <v>0</v>
      </c>
      <c r="O397" s="98">
        <v>4</v>
      </c>
      <c r="P397" s="101">
        <f t="shared" ref="P397:P403" si="284">N397*O397</f>
        <v>0</v>
      </c>
      <c r="Q397" s="100">
        <v>0</v>
      </c>
      <c r="R397" s="98">
        <v>0</v>
      </c>
      <c r="S397" s="101">
        <f t="shared" ref="S397:S403" si="285">Q397*R397</f>
        <v>0</v>
      </c>
      <c r="T397" s="100">
        <v>0</v>
      </c>
      <c r="U397" s="98">
        <v>0</v>
      </c>
      <c r="V397" s="101">
        <f>T397*U397</f>
        <v>0</v>
      </c>
      <c r="W397" s="100">
        <v>0</v>
      </c>
      <c r="X397" s="98">
        <v>0</v>
      </c>
      <c r="Y397" s="147">
        <f t="shared" ref="Y397:Y403" si="286">W397*X397</f>
        <v>0</v>
      </c>
      <c r="Z397" s="150"/>
    </row>
    <row r="398" spans="2:26" s="35" customFormat="1" ht="17.100000000000001" customHeight="1">
      <c r="B398" s="105"/>
      <c r="C398" s="54"/>
      <c r="D398" s="96"/>
      <c r="E398" s="111"/>
      <c r="F398" s="112"/>
      <c r="G398" s="113"/>
      <c r="H398" s="100">
        <v>0</v>
      </c>
      <c r="I398" s="98">
        <v>0</v>
      </c>
      <c r="J398" s="101">
        <f t="shared" si="282"/>
        <v>0</v>
      </c>
      <c r="K398" s="100">
        <v>0</v>
      </c>
      <c r="L398" s="98">
        <v>0</v>
      </c>
      <c r="M398" s="101">
        <f t="shared" si="283"/>
        <v>0</v>
      </c>
      <c r="N398" s="100">
        <v>0</v>
      </c>
      <c r="O398" s="98">
        <v>0</v>
      </c>
      <c r="P398" s="101">
        <f t="shared" si="284"/>
        <v>0</v>
      </c>
      <c r="Q398" s="100">
        <v>0</v>
      </c>
      <c r="R398" s="98">
        <v>0</v>
      </c>
      <c r="S398" s="101">
        <f t="shared" si="285"/>
        <v>0</v>
      </c>
      <c r="T398" s="100">
        <v>0</v>
      </c>
      <c r="U398" s="98">
        <v>0</v>
      </c>
      <c r="V398" s="101">
        <f t="shared" ref="V398:V403" si="287">T398*U398</f>
        <v>0</v>
      </c>
      <c r="W398" s="100">
        <v>0</v>
      </c>
      <c r="X398" s="98">
        <v>0</v>
      </c>
      <c r="Y398" s="147">
        <f t="shared" si="286"/>
        <v>0</v>
      </c>
      <c r="Z398" s="150"/>
    </row>
    <row r="399" spans="2:26" s="35" customFormat="1" ht="17.100000000000001" customHeight="1">
      <c r="B399" s="105"/>
      <c r="C399" s="54"/>
      <c r="D399" s="96"/>
      <c r="E399" s="111"/>
      <c r="F399" s="112"/>
      <c r="G399" s="113"/>
      <c r="H399" s="100">
        <v>0</v>
      </c>
      <c r="I399" s="98">
        <v>0</v>
      </c>
      <c r="J399" s="101">
        <f t="shared" si="282"/>
        <v>0</v>
      </c>
      <c r="K399" s="100">
        <v>0</v>
      </c>
      <c r="L399" s="98">
        <v>0</v>
      </c>
      <c r="M399" s="101">
        <f t="shared" si="283"/>
        <v>0</v>
      </c>
      <c r="N399" s="100">
        <v>0</v>
      </c>
      <c r="O399" s="98">
        <v>0</v>
      </c>
      <c r="P399" s="101">
        <f t="shared" si="284"/>
        <v>0</v>
      </c>
      <c r="Q399" s="100">
        <v>0</v>
      </c>
      <c r="R399" s="98">
        <v>0</v>
      </c>
      <c r="S399" s="101">
        <f t="shared" si="285"/>
        <v>0</v>
      </c>
      <c r="T399" s="100">
        <v>0</v>
      </c>
      <c r="U399" s="98">
        <v>0</v>
      </c>
      <c r="V399" s="101">
        <f t="shared" si="287"/>
        <v>0</v>
      </c>
      <c r="W399" s="100">
        <v>0</v>
      </c>
      <c r="X399" s="98">
        <v>0</v>
      </c>
      <c r="Y399" s="147">
        <f t="shared" si="286"/>
        <v>0</v>
      </c>
      <c r="Z399" s="150"/>
    </row>
    <row r="400" spans="2:26" s="35" customFormat="1" ht="17.100000000000001" customHeight="1">
      <c r="B400" s="105"/>
      <c r="C400" s="54"/>
      <c r="D400" s="96"/>
      <c r="E400" s="111"/>
      <c r="F400" s="112"/>
      <c r="G400" s="113"/>
      <c r="H400" s="100">
        <v>0</v>
      </c>
      <c r="I400" s="98">
        <v>0</v>
      </c>
      <c r="J400" s="101">
        <f t="shared" si="282"/>
        <v>0</v>
      </c>
      <c r="K400" s="100">
        <v>0</v>
      </c>
      <c r="L400" s="98">
        <v>0</v>
      </c>
      <c r="M400" s="101">
        <f t="shared" si="283"/>
        <v>0</v>
      </c>
      <c r="N400" s="100">
        <v>0</v>
      </c>
      <c r="O400" s="98">
        <v>0</v>
      </c>
      <c r="P400" s="101">
        <f t="shared" si="284"/>
        <v>0</v>
      </c>
      <c r="Q400" s="100">
        <v>0</v>
      </c>
      <c r="R400" s="98">
        <v>0</v>
      </c>
      <c r="S400" s="101">
        <f t="shared" si="285"/>
        <v>0</v>
      </c>
      <c r="T400" s="100">
        <v>0</v>
      </c>
      <c r="U400" s="98">
        <v>0</v>
      </c>
      <c r="V400" s="101">
        <f t="shared" si="287"/>
        <v>0</v>
      </c>
      <c r="W400" s="100">
        <v>0</v>
      </c>
      <c r="X400" s="98">
        <v>0</v>
      </c>
      <c r="Y400" s="147">
        <f t="shared" si="286"/>
        <v>0</v>
      </c>
      <c r="Z400" s="150"/>
    </row>
    <row r="401" spans="2:26" s="35" customFormat="1" ht="17.100000000000001" customHeight="1">
      <c r="B401" s="105"/>
      <c r="C401" s="54"/>
      <c r="D401" s="96"/>
      <c r="E401" s="111"/>
      <c r="F401" s="112"/>
      <c r="G401" s="113"/>
      <c r="H401" s="100">
        <v>0</v>
      </c>
      <c r="I401" s="98">
        <v>0</v>
      </c>
      <c r="J401" s="101">
        <f t="shared" si="282"/>
        <v>0</v>
      </c>
      <c r="K401" s="100">
        <v>0</v>
      </c>
      <c r="L401" s="98">
        <v>0</v>
      </c>
      <c r="M401" s="101">
        <f t="shared" si="283"/>
        <v>0</v>
      </c>
      <c r="N401" s="100">
        <v>0</v>
      </c>
      <c r="O401" s="98">
        <v>0</v>
      </c>
      <c r="P401" s="101">
        <f t="shared" si="284"/>
        <v>0</v>
      </c>
      <c r="Q401" s="100">
        <v>0</v>
      </c>
      <c r="R401" s="98">
        <v>0</v>
      </c>
      <c r="S401" s="101">
        <f t="shared" si="285"/>
        <v>0</v>
      </c>
      <c r="T401" s="100">
        <v>0</v>
      </c>
      <c r="U401" s="98">
        <v>0</v>
      </c>
      <c r="V401" s="101">
        <f t="shared" si="287"/>
        <v>0</v>
      </c>
      <c r="W401" s="100">
        <v>0</v>
      </c>
      <c r="X401" s="98">
        <v>0</v>
      </c>
      <c r="Y401" s="147">
        <f t="shared" si="286"/>
        <v>0</v>
      </c>
      <c r="Z401" s="150"/>
    </row>
    <row r="402" spans="2:26" s="35" customFormat="1" ht="17.100000000000001" customHeight="1">
      <c r="B402" s="105"/>
      <c r="C402" s="54"/>
      <c r="D402" s="96"/>
      <c r="E402" s="111"/>
      <c r="F402" s="112"/>
      <c r="G402" s="113"/>
      <c r="H402" s="100">
        <v>0</v>
      </c>
      <c r="I402" s="98">
        <v>0</v>
      </c>
      <c r="J402" s="101">
        <f t="shared" si="282"/>
        <v>0</v>
      </c>
      <c r="K402" s="100">
        <v>0</v>
      </c>
      <c r="L402" s="98">
        <v>0</v>
      </c>
      <c r="M402" s="101">
        <f t="shared" si="283"/>
        <v>0</v>
      </c>
      <c r="N402" s="100">
        <v>0</v>
      </c>
      <c r="O402" s="98">
        <v>0</v>
      </c>
      <c r="P402" s="101">
        <f t="shared" si="284"/>
        <v>0</v>
      </c>
      <c r="Q402" s="100">
        <v>0</v>
      </c>
      <c r="R402" s="98">
        <v>0</v>
      </c>
      <c r="S402" s="101">
        <f t="shared" si="285"/>
        <v>0</v>
      </c>
      <c r="T402" s="100">
        <v>0</v>
      </c>
      <c r="U402" s="98">
        <v>0</v>
      </c>
      <c r="V402" s="101">
        <f t="shared" si="287"/>
        <v>0</v>
      </c>
      <c r="W402" s="100">
        <v>0</v>
      </c>
      <c r="X402" s="98">
        <v>0</v>
      </c>
      <c r="Y402" s="147">
        <f t="shared" si="286"/>
        <v>0</v>
      </c>
      <c r="Z402" s="150"/>
    </row>
    <row r="403" spans="2:26" s="35" customFormat="1" ht="17.100000000000001" customHeight="1">
      <c r="B403" s="105"/>
      <c r="C403" s="54"/>
      <c r="D403" s="96"/>
      <c r="E403" s="111"/>
      <c r="F403" s="112"/>
      <c r="G403" s="113"/>
      <c r="H403" s="100">
        <v>0</v>
      </c>
      <c r="I403" s="98">
        <v>0</v>
      </c>
      <c r="J403" s="101">
        <f t="shared" si="282"/>
        <v>0</v>
      </c>
      <c r="K403" s="100">
        <v>0</v>
      </c>
      <c r="L403" s="98">
        <v>0</v>
      </c>
      <c r="M403" s="101">
        <f t="shared" si="283"/>
        <v>0</v>
      </c>
      <c r="N403" s="100">
        <v>0</v>
      </c>
      <c r="O403" s="98">
        <v>0</v>
      </c>
      <c r="P403" s="101">
        <f t="shared" si="284"/>
        <v>0</v>
      </c>
      <c r="Q403" s="100">
        <v>0</v>
      </c>
      <c r="R403" s="98">
        <v>0</v>
      </c>
      <c r="S403" s="101">
        <f t="shared" si="285"/>
        <v>0</v>
      </c>
      <c r="T403" s="100">
        <v>0</v>
      </c>
      <c r="U403" s="98">
        <v>0</v>
      </c>
      <c r="V403" s="101">
        <f t="shared" si="287"/>
        <v>0</v>
      </c>
      <c r="W403" s="100">
        <v>0</v>
      </c>
      <c r="X403" s="98">
        <v>0</v>
      </c>
      <c r="Y403" s="147">
        <f t="shared" si="286"/>
        <v>0</v>
      </c>
      <c r="Z403" s="150"/>
    </row>
    <row r="404" spans="2:26" s="126" customFormat="1" ht="17.100000000000001" customHeight="1">
      <c r="B404" s="118"/>
      <c r="C404" s="119"/>
      <c r="D404" s="120"/>
      <c r="E404" s="121"/>
      <c r="F404" s="122"/>
      <c r="G404" s="123"/>
      <c r="H404" s="341" t="s">
        <v>201</v>
      </c>
      <c r="I404" s="342"/>
      <c r="J404" s="124">
        <f>SUM(J397:J403)</f>
        <v>0</v>
      </c>
      <c r="K404" s="341" t="s">
        <v>201</v>
      </c>
      <c r="L404" s="342"/>
      <c r="M404" s="124">
        <f>SUM(M397:M403)</f>
        <v>0</v>
      </c>
      <c r="N404" s="341" t="s">
        <v>201</v>
      </c>
      <c r="O404" s="342"/>
      <c r="P404" s="124">
        <f>SUM(P397:P403)</f>
        <v>0</v>
      </c>
      <c r="Q404" s="341" t="s">
        <v>201</v>
      </c>
      <c r="R404" s="342"/>
      <c r="S404" s="124">
        <f>SUM(S397:S403)</f>
        <v>0</v>
      </c>
      <c r="T404" s="341" t="s">
        <v>201</v>
      </c>
      <c r="U404" s="342"/>
      <c r="V404" s="124">
        <f>SUM(V397:V403)</f>
        <v>0</v>
      </c>
      <c r="W404" s="341" t="s">
        <v>201</v>
      </c>
      <c r="X404" s="342"/>
      <c r="Y404" s="127">
        <f>SUM(Y397:Y403)</f>
        <v>0</v>
      </c>
      <c r="Z404" s="151"/>
    </row>
    <row r="405" spans="2:26" s="35" customFormat="1" ht="17.100000000000001" customHeight="1">
      <c r="B405" s="105"/>
      <c r="C405" s="54">
        <f>'2. Rekap Back Up Beton'!C69</f>
        <v>14600</v>
      </c>
      <c r="D405" s="96">
        <f>'2. Rekap Back Up Beton'!D69</f>
        <v>14700</v>
      </c>
      <c r="E405" s="111">
        <f>'2. Rekap Back Up Beton'!E69</f>
        <v>6</v>
      </c>
      <c r="F405" s="112">
        <f>(100/((D405-C405)*E405))*((J412*0.5)+(M412*1)+(P412*2)+(S412*20)+(V412*15)+(Y412*1.5))</f>
        <v>0</v>
      </c>
      <c r="G405" s="113" t="str">
        <f>IF(F405&lt;=25,"B",IF(F405&lt;=75,"S",IF(F405&lt;=100,"RR","RB")))</f>
        <v>B</v>
      </c>
      <c r="H405" s="100">
        <v>0</v>
      </c>
      <c r="I405" s="98">
        <v>0</v>
      </c>
      <c r="J405" s="101">
        <f t="shared" ref="J405:J411" si="288">H405*I405</f>
        <v>0</v>
      </c>
      <c r="K405" s="100">
        <v>0</v>
      </c>
      <c r="L405" s="98">
        <v>0</v>
      </c>
      <c r="M405" s="101">
        <f t="shared" ref="M405:M411" si="289">K405*L405</f>
        <v>0</v>
      </c>
      <c r="N405" s="100">
        <v>0</v>
      </c>
      <c r="O405" s="98">
        <v>4</v>
      </c>
      <c r="P405" s="101">
        <f t="shared" ref="P405:P411" si="290">N405*O405</f>
        <v>0</v>
      </c>
      <c r="Q405" s="100">
        <v>0</v>
      </c>
      <c r="R405" s="98">
        <v>0</v>
      </c>
      <c r="S405" s="101">
        <f t="shared" ref="S405:S411" si="291">Q405*R405</f>
        <v>0</v>
      </c>
      <c r="T405" s="100">
        <v>0</v>
      </c>
      <c r="U405" s="98">
        <v>0</v>
      </c>
      <c r="V405" s="101">
        <f>T405*U405</f>
        <v>0</v>
      </c>
      <c r="W405" s="100">
        <v>0</v>
      </c>
      <c r="X405" s="98">
        <v>0</v>
      </c>
      <c r="Y405" s="147">
        <f t="shared" ref="Y405:Y411" si="292">W405*X405</f>
        <v>0</v>
      </c>
      <c r="Z405" s="150"/>
    </row>
    <row r="406" spans="2:26" s="35" customFormat="1" ht="17.100000000000001" customHeight="1">
      <c r="B406" s="105"/>
      <c r="C406" s="54"/>
      <c r="D406" s="96"/>
      <c r="E406" s="111"/>
      <c r="F406" s="112"/>
      <c r="G406" s="113"/>
      <c r="H406" s="100">
        <v>0</v>
      </c>
      <c r="I406" s="98">
        <v>0</v>
      </c>
      <c r="J406" s="101">
        <f t="shared" si="288"/>
        <v>0</v>
      </c>
      <c r="K406" s="100">
        <v>0</v>
      </c>
      <c r="L406" s="98">
        <v>0</v>
      </c>
      <c r="M406" s="101">
        <f t="shared" si="289"/>
        <v>0</v>
      </c>
      <c r="N406" s="100">
        <v>0</v>
      </c>
      <c r="O406" s="98">
        <v>0</v>
      </c>
      <c r="P406" s="101">
        <f t="shared" si="290"/>
        <v>0</v>
      </c>
      <c r="Q406" s="100">
        <v>0</v>
      </c>
      <c r="R406" s="98">
        <v>0</v>
      </c>
      <c r="S406" s="101">
        <f t="shared" si="291"/>
        <v>0</v>
      </c>
      <c r="T406" s="100">
        <v>0</v>
      </c>
      <c r="U406" s="98">
        <v>0</v>
      </c>
      <c r="V406" s="101">
        <f t="shared" ref="V406:V411" si="293">T406*U406</f>
        <v>0</v>
      </c>
      <c r="W406" s="100">
        <v>0</v>
      </c>
      <c r="X406" s="98">
        <v>0</v>
      </c>
      <c r="Y406" s="147">
        <f t="shared" si="292"/>
        <v>0</v>
      </c>
      <c r="Z406" s="150"/>
    </row>
    <row r="407" spans="2:26" s="35" customFormat="1" ht="17.100000000000001" customHeight="1">
      <c r="B407" s="105"/>
      <c r="C407" s="54"/>
      <c r="D407" s="96"/>
      <c r="E407" s="111"/>
      <c r="F407" s="112"/>
      <c r="G407" s="113"/>
      <c r="H407" s="100">
        <v>0</v>
      </c>
      <c r="I407" s="98">
        <v>0</v>
      </c>
      <c r="J407" s="101">
        <f t="shared" si="288"/>
        <v>0</v>
      </c>
      <c r="K407" s="100">
        <v>0</v>
      </c>
      <c r="L407" s="98">
        <v>0</v>
      </c>
      <c r="M407" s="101">
        <f t="shared" si="289"/>
        <v>0</v>
      </c>
      <c r="N407" s="100">
        <v>0</v>
      </c>
      <c r="O407" s="98">
        <v>0</v>
      </c>
      <c r="P407" s="101">
        <f t="shared" si="290"/>
        <v>0</v>
      </c>
      <c r="Q407" s="100">
        <v>0</v>
      </c>
      <c r="R407" s="98">
        <v>0</v>
      </c>
      <c r="S407" s="101">
        <f t="shared" si="291"/>
        <v>0</v>
      </c>
      <c r="T407" s="100">
        <v>0</v>
      </c>
      <c r="U407" s="98">
        <v>0</v>
      </c>
      <c r="V407" s="101">
        <f t="shared" si="293"/>
        <v>0</v>
      </c>
      <c r="W407" s="100">
        <v>0</v>
      </c>
      <c r="X407" s="98">
        <v>0</v>
      </c>
      <c r="Y407" s="147">
        <f t="shared" si="292"/>
        <v>0</v>
      </c>
      <c r="Z407" s="150"/>
    </row>
    <row r="408" spans="2:26" s="35" customFormat="1" ht="17.100000000000001" customHeight="1">
      <c r="B408" s="105"/>
      <c r="C408" s="54"/>
      <c r="D408" s="96"/>
      <c r="E408" s="111"/>
      <c r="F408" s="112"/>
      <c r="G408" s="113"/>
      <c r="H408" s="100">
        <v>0</v>
      </c>
      <c r="I408" s="98">
        <v>0</v>
      </c>
      <c r="J408" s="101">
        <f t="shared" si="288"/>
        <v>0</v>
      </c>
      <c r="K408" s="100">
        <v>0</v>
      </c>
      <c r="L408" s="98">
        <v>0</v>
      </c>
      <c r="M408" s="101">
        <f t="shared" si="289"/>
        <v>0</v>
      </c>
      <c r="N408" s="100">
        <v>0</v>
      </c>
      <c r="O408" s="98">
        <v>0</v>
      </c>
      <c r="P408" s="101">
        <f t="shared" si="290"/>
        <v>0</v>
      </c>
      <c r="Q408" s="100">
        <v>0</v>
      </c>
      <c r="R408" s="98">
        <v>0</v>
      </c>
      <c r="S408" s="101">
        <f t="shared" si="291"/>
        <v>0</v>
      </c>
      <c r="T408" s="100">
        <v>0</v>
      </c>
      <c r="U408" s="98">
        <v>0</v>
      </c>
      <c r="V408" s="101">
        <f t="shared" si="293"/>
        <v>0</v>
      </c>
      <c r="W408" s="100">
        <v>0</v>
      </c>
      <c r="X408" s="98">
        <v>0</v>
      </c>
      <c r="Y408" s="147">
        <f t="shared" si="292"/>
        <v>0</v>
      </c>
      <c r="Z408" s="150"/>
    </row>
    <row r="409" spans="2:26" s="35" customFormat="1" ht="17.100000000000001" customHeight="1">
      <c r="B409" s="105"/>
      <c r="C409" s="54"/>
      <c r="D409" s="96"/>
      <c r="E409" s="111"/>
      <c r="F409" s="112"/>
      <c r="G409" s="113"/>
      <c r="H409" s="100">
        <v>0</v>
      </c>
      <c r="I409" s="98">
        <v>0</v>
      </c>
      <c r="J409" s="101">
        <f t="shared" si="288"/>
        <v>0</v>
      </c>
      <c r="K409" s="100">
        <v>0</v>
      </c>
      <c r="L409" s="98">
        <v>0</v>
      </c>
      <c r="M409" s="101">
        <f t="shared" si="289"/>
        <v>0</v>
      </c>
      <c r="N409" s="100">
        <v>0</v>
      </c>
      <c r="O409" s="98">
        <v>0</v>
      </c>
      <c r="P409" s="101">
        <f t="shared" si="290"/>
        <v>0</v>
      </c>
      <c r="Q409" s="100">
        <v>0</v>
      </c>
      <c r="R409" s="98">
        <v>0</v>
      </c>
      <c r="S409" s="101">
        <f t="shared" si="291"/>
        <v>0</v>
      </c>
      <c r="T409" s="100">
        <v>0</v>
      </c>
      <c r="U409" s="98">
        <v>0</v>
      </c>
      <c r="V409" s="101">
        <f t="shared" si="293"/>
        <v>0</v>
      </c>
      <c r="W409" s="100">
        <v>0</v>
      </c>
      <c r="X409" s="98">
        <v>0</v>
      </c>
      <c r="Y409" s="147">
        <f t="shared" si="292"/>
        <v>0</v>
      </c>
      <c r="Z409" s="150"/>
    </row>
    <row r="410" spans="2:26" s="35" customFormat="1" ht="17.100000000000001" customHeight="1">
      <c r="B410" s="105"/>
      <c r="C410" s="54"/>
      <c r="D410" s="96"/>
      <c r="E410" s="111"/>
      <c r="F410" s="112"/>
      <c r="G410" s="113"/>
      <c r="H410" s="100">
        <v>0</v>
      </c>
      <c r="I410" s="98">
        <v>0</v>
      </c>
      <c r="J410" s="101">
        <f t="shared" si="288"/>
        <v>0</v>
      </c>
      <c r="K410" s="100">
        <v>0</v>
      </c>
      <c r="L410" s="98">
        <v>0</v>
      </c>
      <c r="M410" s="101">
        <f t="shared" si="289"/>
        <v>0</v>
      </c>
      <c r="N410" s="100">
        <v>0</v>
      </c>
      <c r="O410" s="98">
        <v>0</v>
      </c>
      <c r="P410" s="101">
        <f t="shared" si="290"/>
        <v>0</v>
      </c>
      <c r="Q410" s="100">
        <v>0</v>
      </c>
      <c r="R410" s="98">
        <v>0</v>
      </c>
      <c r="S410" s="101">
        <f t="shared" si="291"/>
        <v>0</v>
      </c>
      <c r="T410" s="100">
        <v>0</v>
      </c>
      <c r="U410" s="98">
        <v>0</v>
      </c>
      <c r="V410" s="101">
        <f t="shared" si="293"/>
        <v>0</v>
      </c>
      <c r="W410" s="100">
        <v>0</v>
      </c>
      <c r="X410" s="98">
        <v>0</v>
      </c>
      <c r="Y410" s="147">
        <f t="shared" si="292"/>
        <v>0</v>
      </c>
      <c r="Z410" s="150"/>
    </row>
    <row r="411" spans="2:26" s="35" customFormat="1" ht="17.100000000000001" customHeight="1">
      <c r="B411" s="105"/>
      <c r="C411" s="54"/>
      <c r="D411" s="96"/>
      <c r="E411" s="111"/>
      <c r="F411" s="112"/>
      <c r="G411" s="113"/>
      <c r="H411" s="100">
        <v>0</v>
      </c>
      <c r="I411" s="98">
        <v>0</v>
      </c>
      <c r="J411" s="101">
        <f t="shared" si="288"/>
        <v>0</v>
      </c>
      <c r="K411" s="100">
        <v>0</v>
      </c>
      <c r="L411" s="98">
        <v>0</v>
      </c>
      <c r="M411" s="101">
        <f t="shared" si="289"/>
        <v>0</v>
      </c>
      <c r="N411" s="100">
        <v>0</v>
      </c>
      <c r="O411" s="98">
        <v>0</v>
      </c>
      <c r="P411" s="101">
        <f t="shared" si="290"/>
        <v>0</v>
      </c>
      <c r="Q411" s="100">
        <v>0</v>
      </c>
      <c r="R411" s="98">
        <v>0</v>
      </c>
      <c r="S411" s="101">
        <f t="shared" si="291"/>
        <v>0</v>
      </c>
      <c r="T411" s="100">
        <v>0</v>
      </c>
      <c r="U411" s="98">
        <v>0</v>
      </c>
      <c r="V411" s="101">
        <f t="shared" si="293"/>
        <v>0</v>
      </c>
      <c r="W411" s="100">
        <v>0</v>
      </c>
      <c r="X411" s="98">
        <v>0</v>
      </c>
      <c r="Y411" s="147">
        <f t="shared" si="292"/>
        <v>0</v>
      </c>
      <c r="Z411" s="150"/>
    </row>
    <row r="412" spans="2:26" s="126" customFormat="1" ht="17.100000000000001" customHeight="1" thickBot="1">
      <c r="B412" s="128"/>
      <c r="C412" s="154"/>
      <c r="D412" s="155"/>
      <c r="E412" s="156"/>
      <c r="F412" s="129"/>
      <c r="G412" s="130"/>
      <c r="H412" s="344" t="s">
        <v>201</v>
      </c>
      <c r="I412" s="345"/>
      <c r="J412" s="131">
        <f>SUM(J405:J411)</f>
        <v>0</v>
      </c>
      <c r="K412" s="344" t="s">
        <v>201</v>
      </c>
      <c r="L412" s="345"/>
      <c r="M412" s="131">
        <f>SUM(M405:M411)</f>
        <v>0</v>
      </c>
      <c r="N412" s="344" t="s">
        <v>201</v>
      </c>
      <c r="O412" s="345"/>
      <c r="P412" s="131">
        <f>SUM(P405:P411)</f>
        <v>0</v>
      </c>
      <c r="Q412" s="344" t="s">
        <v>201</v>
      </c>
      <c r="R412" s="345"/>
      <c r="S412" s="131">
        <f>SUM(S405:S411)</f>
        <v>0</v>
      </c>
      <c r="T412" s="344" t="s">
        <v>201</v>
      </c>
      <c r="U412" s="345"/>
      <c r="V412" s="131">
        <f>SUM(V405:V411)</f>
        <v>0</v>
      </c>
      <c r="W412" s="344" t="s">
        <v>201</v>
      </c>
      <c r="X412" s="345"/>
      <c r="Y412" s="132">
        <f>SUM(Y405:Y411)</f>
        <v>0</v>
      </c>
      <c r="Z412" s="152"/>
    </row>
    <row r="413" spans="2:26" s="35" customFormat="1" ht="17.100000000000001" customHeight="1">
      <c r="B413" s="114"/>
      <c r="C413" s="157">
        <f>'2. Rekap Back Up Beton'!C70</f>
        <v>14700</v>
      </c>
      <c r="D413" s="158">
        <f>'2. Rekap Back Up Beton'!D70</f>
        <v>14800</v>
      </c>
      <c r="E413" s="159">
        <f>'2. Rekap Back Up Beton'!E70</f>
        <v>6</v>
      </c>
      <c r="F413" s="115">
        <f>(100/((D413-C413)*E413))*((J420*0.5)+(M420*1)+(P420*2)+(S420*20)+(V420*15)+(Y420*1.5))</f>
        <v>0</v>
      </c>
      <c r="G413" s="116" t="str">
        <f>IF(F413&lt;=25,"B",IF(F413&lt;=75,"S",IF(F413&lt;=100,"RR","RB")))</f>
        <v>B</v>
      </c>
      <c r="H413" s="135">
        <v>0</v>
      </c>
      <c r="I413" s="136">
        <v>0</v>
      </c>
      <c r="J413" s="137">
        <f t="shared" ref="J413:J419" si="294">H413*I413</f>
        <v>0</v>
      </c>
      <c r="K413" s="135">
        <v>0</v>
      </c>
      <c r="L413" s="136">
        <v>0</v>
      </c>
      <c r="M413" s="137">
        <f t="shared" ref="M413:M419" si="295">K413*L413</f>
        <v>0</v>
      </c>
      <c r="N413" s="135">
        <v>0</v>
      </c>
      <c r="O413" s="136">
        <v>4</v>
      </c>
      <c r="P413" s="137">
        <f t="shared" ref="P413:P419" si="296">N413*O413</f>
        <v>0</v>
      </c>
      <c r="Q413" s="135">
        <v>0</v>
      </c>
      <c r="R413" s="136">
        <v>0</v>
      </c>
      <c r="S413" s="137">
        <f t="shared" ref="S413:S419" si="297">Q413*R413</f>
        <v>0</v>
      </c>
      <c r="T413" s="135">
        <v>0</v>
      </c>
      <c r="U413" s="136">
        <v>0</v>
      </c>
      <c r="V413" s="137">
        <f>T413*U413</f>
        <v>0</v>
      </c>
      <c r="W413" s="135">
        <v>0</v>
      </c>
      <c r="X413" s="136">
        <v>0</v>
      </c>
      <c r="Y413" s="148">
        <f t="shared" ref="Y413:Y419" si="298">W413*X413</f>
        <v>0</v>
      </c>
      <c r="Z413" s="153"/>
    </row>
    <row r="414" spans="2:26" s="35" customFormat="1" ht="17.100000000000001" customHeight="1">
      <c r="B414" s="105"/>
      <c r="C414" s="54"/>
      <c r="D414" s="96"/>
      <c r="E414" s="111"/>
      <c r="F414" s="112"/>
      <c r="G414" s="113"/>
      <c r="H414" s="100">
        <v>0</v>
      </c>
      <c r="I414" s="98">
        <v>0</v>
      </c>
      <c r="J414" s="101">
        <f t="shared" si="294"/>
        <v>0</v>
      </c>
      <c r="K414" s="100">
        <v>0</v>
      </c>
      <c r="L414" s="98">
        <v>0</v>
      </c>
      <c r="M414" s="101">
        <f t="shared" si="295"/>
        <v>0</v>
      </c>
      <c r="N414" s="100">
        <v>0</v>
      </c>
      <c r="O414" s="98">
        <v>0</v>
      </c>
      <c r="P414" s="101">
        <f t="shared" si="296"/>
        <v>0</v>
      </c>
      <c r="Q414" s="100">
        <v>0</v>
      </c>
      <c r="R414" s="98">
        <v>0</v>
      </c>
      <c r="S414" s="101">
        <f t="shared" si="297"/>
        <v>0</v>
      </c>
      <c r="T414" s="100">
        <v>0</v>
      </c>
      <c r="U414" s="98">
        <v>0</v>
      </c>
      <c r="V414" s="101">
        <f t="shared" ref="V414:V419" si="299">T414*U414</f>
        <v>0</v>
      </c>
      <c r="W414" s="100">
        <v>0</v>
      </c>
      <c r="X414" s="98">
        <v>0</v>
      </c>
      <c r="Y414" s="147">
        <f t="shared" si="298"/>
        <v>0</v>
      </c>
      <c r="Z414" s="150"/>
    </row>
    <row r="415" spans="2:26" s="35" customFormat="1" ht="17.100000000000001" customHeight="1">
      <c r="B415" s="105"/>
      <c r="C415" s="54"/>
      <c r="D415" s="96"/>
      <c r="E415" s="111"/>
      <c r="F415" s="112"/>
      <c r="G415" s="113"/>
      <c r="H415" s="100">
        <v>0</v>
      </c>
      <c r="I415" s="98">
        <v>0</v>
      </c>
      <c r="J415" s="101">
        <f t="shared" si="294"/>
        <v>0</v>
      </c>
      <c r="K415" s="100">
        <v>0</v>
      </c>
      <c r="L415" s="98">
        <v>0</v>
      </c>
      <c r="M415" s="101">
        <f t="shared" si="295"/>
        <v>0</v>
      </c>
      <c r="N415" s="100">
        <v>0</v>
      </c>
      <c r="O415" s="98">
        <v>0</v>
      </c>
      <c r="P415" s="101">
        <f t="shared" si="296"/>
        <v>0</v>
      </c>
      <c r="Q415" s="100">
        <v>0</v>
      </c>
      <c r="R415" s="98">
        <v>0</v>
      </c>
      <c r="S415" s="101">
        <f t="shared" si="297"/>
        <v>0</v>
      </c>
      <c r="T415" s="100">
        <v>0</v>
      </c>
      <c r="U415" s="98">
        <v>0</v>
      </c>
      <c r="V415" s="101">
        <f t="shared" si="299"/>
        <v>0</v>
      </c>
      <c r="W415" s="100">
        <v>0</v>
      </c>
      <c r="X415" s="98">
        <v>0</v>
      </c>
      <c r="Y415" s="147">
        <f t="shared" si="298"/>
        <v>0</v>
      </c>
      <c r="Z415" s="150"/>
    </row>
    <row r="416" spans="2:26" s="35" customFormat="1" ht="17.100000000000001" customHeight="1">
      <c r="B416" s="105"/>
      <c r="C416" s="54"/>
      <c r="D416" s="96"/>
      <c r="E416" s="111"/>
      <c r="F416" s="112"/>
      <c r="G416" s="113"/>
      <c r="H416" s="100">
        <v>0</v>
      </c>
      <c r="I416" s="98">
        <v>0</v>
      </c>
      <c r="J416" s="101">
        <f t="shared" si="294"/>
        <v>0</v>
      </c>
      <c r="K416" s="100">
        <v>0</v>
      </c>
      <c r="L416" s="98">
        <v>0</v>
      </c>
      <c r="M416" s="101">
        <f t="shared" si="295"/>
        <v>0</v>
      </c>
      <c r="N416" s="100">
        <v>0</v>
      </c>
      <c r="O416" s="98">
        <v>0</v>
      </c>
      <c r="P416" s="101">
        <f t="shared" si="296"/>
        <v>0</v>
      </c>
      <c r="Q416" s="100">
        <v>0</v>
      </c>
      <c r="R416" s="98">
        <v>0</v>
      </c>
      <c r="S416" s="101">
        <f t="shared" si="297"/>
        <v>0</v>
      </c>
      <c r="T416" s="100">
        <v>0</v>
      </c>
      <c r="U416" s="98">
        <v>0</v>
      </c>
      <c r="V416" s="101">
        <f t="shared" si="299"/>
        <v>0</v>
      </c>
      <c r="W416" s="100">
        <v>0</v>
      </c>
      <c r="X416" s="98">
        <v>0</v>
      </c>
      <c r="Y416" s="147">
        <f t="shared" si="298"/>
        <v>0</v>
      </c>
      <c r="Z416" s="150"/>
    </row>
    <row r="417" spans="2:26" s="35" customFormat="1" ht="17.100000000000001" customHeight="1">
      <c r="B417" s="105"/>
      <c r="C417" s="54"/>
      <c r="D417" s="96"/>
      <c r="E417" s="111"/>
      <c r="F417" s="112"/>
      <c r="G417" s="113"/>
      <c r="H417" s="100">
        <v>0</v>
      </c>
      <c r="I417" s="98">
        <v>0</v>
      </c>
      <c r="J417" s="101">
        <f t="shared" si="294"/>
        <v>0</v>
      </c>
      <c r="K417" s="100">
        <v>0</v>
      </c>
      <c r="L417" s="98">
        <v>0</v>
      </c>
      <c r="M417" s="101">
        <f t="shared" si="295"/>
        <v>0</v>
      </c>
      <c r="N417" s="100">
        <v>0</v>
      </c>
      <c r="O417" s="98">
        <v>0</v>
      </c>
      <c r="P417" s="101">
        <f t="shared" si="296"/>
        <v>0</v>
      </c>
      <c r="Q417" s="100">
        <v>0</v>
      </c>
      <c r="R417" s="98">
        <v>0</v>
      </c>
      <c r="S417" s="101">
        <f t="shared" si="297"/>
        <v>0</v>
      </c>
      <c r="T417" s="100">
        <v>0</v>
      </c>
      <c r="U417" s="98">
        <v>0</v>
      </c>
      <c r="V417" s="101">
        <f t="shared" si="299"/>
        <v>0</v>
      </c>
      <c r="W417" s="100">
        <v>0</v>
      </c>
      <c r="X417" s="98">
        <v>0</v>
      </c>
      <c r="Y417" s="147">
        <f t="shared" si="298"/>
        <v>0</v>
      </c>
      <c r="Z417" s="150"/>
    </row>
    <row r="418" spans="2:26" s="35" customFormat="1" ht="17.100000000000001" customHeight="1">
      <c r="B418" s="105"/>
      <c r="C418" s="54"/>
      <c r="D418" s="96"/>
      <c r="E418" s="111"/>
      <c r="F418" s="112"/>
      <c r="G418" s="113"/>
      <c r="H418" s="100">
        <v>0</v>
      </c>
      <c r="I418" s="98">
        <v>0</v>
      </c>
      <c r="J418" s="101">
        <f t="shared" si="294"/>
        <v>0</v>
      </c>
      <c r="K418" s="100">
        <v>0</v>
      </c>
      <c r="L418" s="98">
        <v>0</v>
      </c>
      <c r="M418" s="101">
        <f t="shared" si="295"/>
        <v>0</v>
      </c>
      <c r="N418" s="100">
        <v>0</v>
      </c>
      <c r="O418" s="98">
        <v>0</v>
      </c>
      <c r="P418" s="101">
        <f t="shared" si="296"/>
        <v>0</v>
      </c>
      <c r="Q418" s="100">
        <v>0</v>
      </c>
      <c r="R418" s="98">
        <v>0</v>
      </c>
      <c r="S418" s="101">
        <f t="shared" si="297"/>
        <v>0</v>
      </c>
      <c r="T418" s="100">
        <v>0</v>
      </c>
      <c r="U418" s="98">
        <v>0</v>
      </c>
      <c r="V418" s="101">
        <f t="shared" si="299"/>
        <v>0</v>
      </c>
      <c r="W418" s="100">
        <v>0</v>
      </c>
      <c r="X418" s="98">
        <v>0</v>
      </c>
      <c r="Y418" s="147">
        <f t="shared" si="298"/>
        <v>0</v>
      </c>
      <c r="Z418" s="150"/>
    </row>
    <row r="419" spans="2:26" s="35" customFormat="1" ht="17.100000000000001" customHeight="1">
      <c r="B419" s="105"/>
      <c r="C419" s="54"/>
      <c r="D419" s="96"/>
      <c r="E419" s="111"/>
      <c r="F419" s="112"/>
      <c r="G419" s="113"/>
      <c r="H419" s="100">
        <v>0</v>
      </c>
      <c r="I419" s="98">
        <v>0</v>
      </c>
      <c r="J419" s="101">
        <f t="shared" si="294"/>
        <v>0</v>
      </c>
      <c r="K419" s="100">
        <v>0</v>
      </c>
      <c r="L419" s="98">
        <v>0</v>
      </c>
      <c r="M419" s="101">
        <f t="shared" si="295"/>
        <v>0</v>
      </c>
      <c r="N419" s="100">
        <v>0</v>
      </c>
      <c r="O419" s="98">
        <v>0</v>
      </c>
      <c r="P419" s="101">
        <f t="shared" si="296"/>
        <v>0</v>
      </c>
      <c r="Q419" s="100">
        <v>0</v>
      </c>
      <c r="R419" s="98">
        <v>0</v>
      </c>
      <c r="S419" s="101">
        <f t="shared" si="297"/>
        <v>0</v>
      </c>
      <c r="T419" s="100">
        <v>0</v>
      </c>
      <c r="U419" s="98">
        <v>0</v>
      </c>
      <c r="V419" s="101">
        <f t="shared" si="299"/>
        <v>0</v>
      </c>
      <c r="W419" s="100">
        <v>0</v>
      </c>
      <c r="X419" s="98">
        <v>0</v>
      </c>
      <c r="Y419" s="147">
        <f t="shared" si="298"/>
        <v>0</v>
      </c>
      <c r="Z419" s="150"/>
    </row>
    <row r="420" spans="2:26" s="126" customFormat="1" ht="17.100000000000001" customHeight="1">
      <c r="B420" s="118"/>
      <c r="C420" s="119"/>
      <c r="D420" s="120"/>
      <c r="E420" s="121"/>
      <c r="F420" s="122"/>
      <c r="G420" s="123"/>
      <c r="H420" s="341" t="s">
        <v>201</v>
      </c>
      <c r="I420" s="342"/>
      <c r="J420" s="124">
        <f>SUM(J413:J419)</f>
        <v>0</v>
      </c>
      <c r="K420" s="341" t="s">
        <v>201</v>
      </c>
      <c r="L420" s="342"/>
      <c r="M420" s="124">
        <f>SUM(M413:M419)</f>
        <v>0</v>
      </c>
      <c r="N420" s="341" t="s">
        <v>201</v>
      </c>
      <c r="O420" s="342"/>
      <c r="P420" s="124">
        <f>SUM(P413:P419)</f>
        <v>0</v>
      </c>
      <c r="Q420" s="341" t="s">
        <v>201</v>
      </c>
      <c r="R420" s="342"/>
      <c r="S420" s="124">
        <f>SUM(S413:S419)</f>
        <v>0</v>
      </c>
      <c r="T420" s="341" t="s">
        <v>201</v>
      </c>
      <c r="U420" s="342"/>
      <c r="V420" s="124">
        <f>SUM(V413:V419)</f>
        <v>0</v>
      </c>
      <c r="W420" s="341" t="s">
        <v>201</v>
      </c>
      <c r="X420" s="342"/>
      <c r="Y420" s="127">
        <f>SUM(Y413:Y419)</f>
        <v>0</v>
      </c>
      <c r="Z420" s="151"/>
    </row>
    <row r="421" spans="2:26" s="35" customFormat="1" ht="17.100000000000001" customHeight="1">
      <c r="B421" s="105"/>
      <c r="C421" s="54">
        <f>'2. Rekap Back Up Beton'!C71</f>
        <v>14800</v>
      </c>
      <c r="D421" s="96">
        <f>'2. Rekap Back Up Beton'!D71</f>
        <v>14900</v>
      </c>
      <c r="E421" s="111">
        <f>'2. Rekap Back Up Beton'!E71</f>
        <v>6</v>
      </c>
      <c r="F421" s="112">
        <f>(100/((D421-C421)*E421))*((J428*0.5)+(M428*1)+(P428*2)+(S428*20)+(V428*15)+(Y428*1.5))</f>
        <v>2.5</v>
      </c>
      <c r="G421" s="113" t="str">
        <f>IF(F421&lt;=25,"B",IF(F421&lt;=75,"S",IF(F421&lt;=100,"RR","RB")))</f>
        <v>B</v>
      </c>
      <c r="H421" s="100">
        <v>5</v>
      </c>
      <c r="I421" s="98">
        <v>3</v>
      </c>
      <c r="J421" s="101">
        <f t="shared" ref="J421:J427" si="300">H421*I421</f>
        <v>15</v>
      </c>
      <c r="K421" s="100">
        <v>0</v>
      </c>
      <c r="L421" s="98">
        <v>0</v>
      </c>
      <c r="M421" s="101">
        <f t="shared" ref="M421:M427" si="301">K421*L421</f>
        <v>0</v>
      </c>
      <c r="N421" s="100">
        <v>0</v>
      </c>
      <c r="O421" s="98">
        <v>4</v>
      </c>
      <c r="P421" s="101">
        <f t="shared" ref="P421:P427" si="302">N421*O421</f>
        <v>0</v>
      </c>
      <c r="Q421" s="100">
        <v>0</v>
      </c>
      <c r="R421" s="98">
        <v>0</v>
      </c>
      <c r="S421" s="101">
        <f t="shared" ref="S421:S427" si="303">Q421*R421</f>
        <v>0</v>
      </c>
      <c r="T421" s="100">
        <v>0</v>
      </c>
      <c r="U421" s="98">
        <v>0</v>
      </c>
      <c r="V421" s="101">
        <f>T421*U421</f>
        <v>0</v>
      </c>
      <c r="W421" s="100">
        <v>0</v>
      </c>
      <c r="X421" s="98">
        <v>0</v>
      </c>
      <c r="Y421" s="147">
        <f t="shared" ref="Y421:Y427" si="304">W421*X421</f>
        <v>0</v>
      </c>
      <c r="Z421" s="150"/>
    </row>
    <row r="422" spans="2:26" s="35" customFormat="1" ht="17.100000000000001" customHeight="1">
      <c r="B422" s="105"/>
      <c r="C422" s="54"/>
      <c r="D422" s="96"/>
      <c r="E422" s="111"/>
      <c r="F422" s="112"/>
      <c r="G422" s="113"/>
      <c r="H422" s="100">
        <v>5</v>
      </c>
      <c r="I422" s="98">
        <v>3</v>
      </c>
      <c r="J422" s="101">
        <f t="shared" si="300"/>
        <v>15</v>
      </c>
      <c r="K422" s="100">
        <v>0</v>
      </c>
      <c r="L422" s="98">
        <v>0</v>
      </c>
      <c r="M422" s="101">
        <f t="shared" si="301"/>
        <v>0</v>
      </c>
      <c r="N422" s="100">
        <v>0</v>
      </c>
      <c r="O422" s="98">
        <v>0</v>
      </c>
      <c r="P422" s="101">
        <f t="shared" si="302"/>
        <v>0</v>
      </c>
      <c r="Q422" s="100">
        <v>0</v>
      </c>
      <c r="R422" s="98">
        <v>0</v>
      </c>
      <c r="S422" s="101">
        <f t="shared" si="303"/>
        <v>0</v>
      </c>
      <c r="T422" s="100">
        <v>0</v>
      </c>
      <c r="U422" s="98">
        <v>0</v>
      </c>
      <c r="V422" s="101">
        <f t="shared" ref="V422:V427" si="305">T422*U422</f>
        <v>0</v>
      </c>
      <c r="W422" s="100">
        <v>0</v>
      </c>
      <c r="X422" s="98">
        <v>0</v>
      </c>
      <c r="Y422" s="147">
        <f t="shared" si="304"/>
        <v>0</v>
      </c>
      <c r="Z422" s="150"/>
    </row>
    <row r="423" spans="2:26" s="35" customFormat="1" ht="17.100000000000001" customHeight="1">
      <c r="B423" s="105"/>
      <c r="C423" s="54"/>
      <c r="D423" s="96"/>
      <c r="E423" s="111"/>
      <c r="F423" s="112"/>
      <c r="G423" s="113"/>
      <c r="H423" s="100">
        <v>0</v>
      </c>
      <c r="I423" s="98">
        <v>0</v>
      </c>
      <c r="J423" s="101">
        <f t="shared" si="300"/>
        <v>0</v>
      </c>
      <c r="K423" s="100">
        <v>0</v>
      </c>
      <c r="L423" s="98">
        <v>0</v>
      </c>
      <c r="M423" s="101">
        <f t="shared" si="301"/>
        <v>0</v>
      </c>
      <c r="N423" s="100">
        <v>0</v>
      </c>
      <c r="O423" s="98">
        <v>0</v>
      </c>
      <c r="P423" s="101">
        <f t="shared" si="302"/>
        <v>0</v>
      </c>
      <c r="Q423" s="100">
        <v>0</v>
      </c>
      <c r="R423" s="98">
        <v>0</v>
      </c>
      <c r="S423" s="101">
        <f t="shared" si="303"/>
        <v>0</v>
      </c>
      <c r="T423" s="100">
        <v>0</v>
      </c>
      <c r="U423" s="98">
        <v>0</v>
      </c>
      <c r="V423" s="101">
        <f t="shared" si="305"/>
        <v>0</v>
      </c>
      <c r="W423" s="100">
        <v>0</v>
      </c>
      <c r="X423" s="98">
        <v>0</v>
      </c>
      <c r="Y423" s="147">
        <f t="shared" si="304"/>
        <v>0</v>
      </c>
      <c r="Z423" s="150"/>
    </row>
    <row r="424" spans="2:26" s="35" customFormat="1" ht="17.100000000000001" customHeight="1">
      <c r="B424" s="105"/>
      <c r="C424" s="54"/>
      <c r="D424" s="96"/>
      <c r="E424" s="111"/>
      <c r="F424" s="112"/>
      <c r="G424" s="113"/>
      <c r="H424" s="100">
        <v>0</v>
      </c>
      <c r="I424" s="98">
        <v>0</v>
      </c>
      <c r="J424" s="101">
        <f t="shared" si="300"/>
        <v>0</v>
      </c>
      <c r="K424" s="100">
        <v>0</v>
      </c>
      <c r="L424" s="98">
        <v>0</v>
      </c>
      <c r="M424" s="101">
        <f t="shared" si="301"/>
        <v>0</v>
      </c>
      <c r="N424" s="100">
        <v>0</v>
      </c>
      <c r="O424" s="98">
        <v>0</v>
      </c>
      <c r="P424" s="101">
        <f t="shared" si="302"/>
        <v>0</v>
      </c>
      <c r="Q424" s="100">
        <v>0</v>
      </c>
      <c r="R424" s="98">
        <v>0</v>
      </c>
      <c r="S424" s="101">
        <f t="shared" si="303"/>
        <v>0</v>
      </c>
      <c r="T424" s="100">
        <v>0</v>
      </c>
      <c r="U424" s="98">
        <v>0</v>
      </c>
      <c r="V424" s="101">
        <f t="shared" si="305"/>
        <v>0</v>
      </c>
      <c r="W424" s="100">
        <v>0</v>
      </c>
      <c r="X424" s="98">
        <v>0</v>
      </c>
      <c r="Y424" s="147">
        <f t="shared" si="304"/>
        <v>0</v>
      </c>
      <c r="Z424" s="150"/>
    </row>
    <row r="425" spans="2:26" s="35" customFormat="1" ht="17.100000000000001" customHeight="1">
      <c r="B425" s="105"/>
      <c r="C425" s="54"/>
      <c r="D425" s="96"/>
      <c r="E425" s="111"/>
      <c r="F425" s="112"/>
      <c r="G425" s="113"/>
      <c r="H425" s="100">
        <v>0</v>
      </c>
      <c r="I425" s="98">
        <v>0</v>
      </c>
      <c r="J425" s="101">
        <f t="shared" si="300"/>
        <v>0</v>
      </c>
      <c r="K425" s="100">
        <v>0</v>
      </c>
      <c r="L425" s="98">
        <v>0</v>
      </c>
      <c r="M425" s="101">
        <f t="shared" si="301"/>
        <v>0</v>
      </c>
      <c r="N425" s="100">
        <v>0</v>
      </c>
      <c r="O425" s="98">
        <v>0</v>
      </c>
      <c r="P425" s="101">
        <f t="shared" si="302"/>
        <v>0</v>
      </c>
      <c r="Q425" s="100">
        <v>0</v>
      </c>
      <c r="R425" s="98">
        <v>0</v>
      </c>
      <c r="S425" s="101">
        <f t="shared" si="303"/>
        <v>0</v>
      </c>
      <c r="T425" s="100">
        <v>0</v>
      </c>
      <c r="U425" s="98">
        <v>0</v>
      </c>
      <c r="V425" s="101">
        <f t="shared" si="305"/>
        <v>0</v>
      </c>
      <c r="W425" s="100">
        <v>0</v>
      </c>
      <c r="X425" s="98">
        <v>0</v>
      </c>
      <c r="Y425" s="147">
        <f t="shared" si="304"/>
        <v>0</v>
      </c>
      <c r="Z425" s="150"/>
    </row>
    <row r="426" spans="2:26" s="35" customFormat="1" ht="17.100000000000001" customHeight="1">
      <c r="B426" s="105"/>
      <c r="C426" s="54"/>
      <c r="D426" s="96"/>
      <c r="E426" s="111"/>
      <c r="F426" s="112"/>
      <c r="G426" s="113"/>
      <c r="H426" s="100">
        <v>0</v>
      </c>
      <c r="I426" s="98">
        <v>0</v>
      </c>
      <c r="J426" s="101">
        <f t="shared" si="300"/>
        <v>0</v>
      </c>
      <c r="K426" s="100">
        <v>0</v>
      </c>
      <c r="L426" s="98">
        <v>0</v>
      </c>
      <c r="M426" s="101">
        <f t="shared" si="301"/>
        <v>0</v>
      </c>
      <c r="N426" s="100">
        <v>0</v>
      </c>
      <c r="O426" s="98">
        <v>0</v>
      </c>
      <c r="P426" s="101">
        <f t="shared" si="302"/>
        <v>0</v>
      </c>
      <c r="Q426" s="100">
        <v>0</v>
      </c>
      <c r="R426" s="98">
        <v>0</v>
      </c>
      <c r="S426" s="101">
        <f t="shared" si="303"/>
        <v>0</v>
      </c>
      <c r="T426" s="100">
        <v>0</v>
      </c>
      <c r="U426" s="98">
        <v>0</v>
      </c>
      <c r="V426" s="101">
        <f t="shared" si="305"/>
        <v>0</v>
      </c>
      <c r="W426" s="100">
        <v>0</v>
      </c>
      <c r="X426" s="98">
        <v>0</v>
      </c>
      <c r="Y426" s="147">
        <f t="shared" si="304"/>
        <v>0</v>
      </c>
      <c r="Z426" s="150"/>
    </row>
    <row r="427" spans="2:26" s="35" customFormat="1" ht="17.100000000000001" customHeight="1">
      <c r="B427" s="105"/>
      <c r="C427" s="54"/>
      <c r="D427" s="96"/>
      <c r="E427" s="111"/>
      <c r="F427" s="112"/>
      <c r="G427" s="113"/>
      <c r="H427" s="100">
        <v>0</v>
      </c>
      <c r="I427" s="98">
        <v>0</v>
      </c>
      <c r="J427" s="101">
        <f t="shared" si="300"/>
        <v>0</v>
      </c>
      <c r="K427" s="100">
        <v>0</v>
      </c>
      <c r="L427" s="98">
        <v>0</v>
      </c>
      <c r="M427" s="101">
        <f t="shared" si="301"/>
        <v>0</v>
      </c>
      <c r="N427" s="100">
        <v>0</v>
      </c>
      <c r="O427" s="98">
        <v>0</v>
      </c>
      <c r="P427" s="101">
        <f t="shared" si="302"/>
        <v>0</v>
      </c>
      <c r="Q427" s="100">
        <v>0</v>
      </c>
      <c r="R427" s="98">
        <v>0</v>
      </c>
      <c r="S427" s="101">
        <f t="shared" si="303"/>
        <v>0</v>
      </c>
      <c r="T427" s="100">
        <v>0</v>
      </c>
      <c r="U427" s="98">
        <v>0</v>
      </c>
      <c r="V427" s="101">
        <f t="shared" si="305"/>
        <v>0</v>
      </c>
      <c r="W427" s="100">
        <v>0</v>
      </c>
      <c r="X427" s="98">
        <v>0</v>
      </c>
      <c r="Y427" s="147">
        <f t="shared" si="304"/>
        <v>0</v>
      </c>
      <c r="Z427" s="150"/>
    </row>
    <row r="428" spans="2:26" s="126" customFormat="1" ht="17.100000000000001" customHeight="1">
      <c r="B428" s="118"/>
      <c r="C428" s="119"/>
      <c r="D428" s="120"/>
      <c r="E428" s="121"/>
      <c r="F428" s="122"/>
      <c r="G428" s="123"/>
      <c r="H428" s="341" t="s">
        <v>201</v>
      </c>
      <c r="I428" s="342"/>
      <c r="J428" s="124">
        <f>SUM(J421:J427)</f>
        <v>30</v>
      </c>
      <c r="K428" s="341" t="s">
        <v>201</v>
      </c>
      <c r="L428" s="342"/>
      <c r="M428" s="124">
        <f>SUM(M421:M427)</f>
        <v>0</v>
      </c>
      <c r="N428" s="341" t="s">
        <v>201</v>
      </c>
      <c r="O428" s="342"/>
      <c r="P428" s="124">
        <f>SUM(P421:P427)</f>
        <v>0</v>
      </c>
      <c r="Q428" s="341" t="s">
        <v>201</v>
      </c>
      <c r="R428" s="342"/>
      <c r="S428" s="124">
        <f>SUM(S421:S427)</f>
        <v>0</v>
      </c>
      <c r="T428" s="341" t="s">
        <v>201</v>
      </c>
      <c r="U428" s="342"/>
      <c r="V428" s="124">
        <f>SUM(V421:V427)</f>
        <v>0</v>
      </c>
      <c r="W428" s="341" t="s">
        <v>201</v>
      </c>
      <c r="X428" s="342"/>
      <c r="Y428" s="127">
        <f>SUM(Y421:Y427)</f>
        <v>0</v>
      </c>
      <c r="Z428" s="151"/>
    </row>
    <row r="429" spans="2:26" s="35" customFormat="1" ht="17.100000000000001" customHeight="1">
      <c r="B429" s="105"/>
      <c r="C429" s="54">
        <f>'2. Rekap Back Up Beton'!C72</f>
        <v>14900</v>
      </c>
      <c r="D429" s="96">
        <f>'2. Rekap Back Up Beton'!D72</f>
        <v>15000</v>
      </c>
      <c r="E429" s="111">
        <f>'2. Rekap Back Up Beton'!E72</f>
        <v>6</v>
      </c>
      <c r="F429" s="112">
        <f>(100/((D429-C429)*E429))*((J436*0.5)+(M436*1)+(P436*2)+(S436*20)+(V436*15)+(Y436*1.5))</f>
        <v>2.5</v>
      </c>
      <c r="G429" s="113" t="str">
        <f>IF(F429&lt;=25,"B",IF(F429&lt;=75,"S",IF(F429&lt;=100,"RR","RB")))</f>
        <v>B</v>
      </c>
      <c r="H429" s="100">
        <v>10</v>
      </c>
      <c r="I429" s="98">
        <v>3</v>
      </c>
      <c r="J429" s="101">
        <f t="shared" ref="J429:J435" si="306">H429*I429</f>
        <v>30</v>
      </c>
      <c r="K429" s="100">
        <v>0</v>
      </c>
      <c r="L429" s="98">
        <v>0</v>
      </c>
      <c r="M429" s="101">
        <f t="shared" ref="M429:M435" si="307">K429*L429</f>
        <v>0</v>
      </c>
      <c r="N429" s="100">
        <v>0</v>
      </c>
      <c r="O429" s="98">
        <v>4</v>
      </c>
      <c r="P429" s="101">
        <f t="shared" ref="P429:P435" si="308">N429*O429</f>
        <v>0</v>
      </c>
      <c r="Q429" s="100">
        <v>0</v>
      </c>
      <c r="R429" s="98">
        <v>0</v>
      </c>
      <c r="S429" s="101">
        <f t="shared" ref="S429:S435" si="309">Q429*R429</f>
        <v>0</v>
      </c>
      <c r="T429" s="100">
        <v>0</v>
      </c>
      <c r="U429" s="98">
        <v>0</v>
      </c>
      <c r="V429" s="101">
        <f>T429*U429</f>
        <v>0</v>
      </c>
      <c r="W429" s="100">
        <v>0</v>
      </c>
      <c r="X429" s="98">
        <v>0</v>
      </c>
      <c r="Y429" s="147">
        <f t="shared" ref="Y429:Y435" si="310">W429*X429</f>
        <v>0</v>
      </c>
      <c r="Z429" s="150"/>
    </row>
    <row r="430" spans="2:26" s="35" customFormat="1" ht="17.100000000000001" customHeight="1">
      <c r="B430" s="105"/>
      <c r="C430" s="54"/>
      <c r="D430" s="96"/>
      <c r="E430" s="111"/>
      <c r="F430" s="112"/>
      <c r="G430" s="113"/>
      <c r="H430" s="100">
        <v>0</v>
      </c>
      <c r="I430" s="98">
        <v>0</v>
      </c>
      <c r="J430" s="101">
        <f t="shared" si="306"/>
        <v>0</v>
      </c>
      <c r="K430" s="100">
        <v>0</v>
      </c>
      <c r="L430" s="98">
        <v>0</v>
      </c>
      <c r="M430" s="101">
        <f t="shared" si="307"/>
        <v>0</v>
      </c>
      <c r="N430" s="100">
        <v>0</v>
      </c>
      <c r="O430" s="98">
        <v>0</v>
      </c>
      <c r="P430" s="101">
        <f t="shared" si="308"/>
        <v>0</v>
      </c>
      <c r="Q430" s="100">
        <v>0</v>
      </c>
      <c r="R430" s="98">
        <v>0</v>
      </c>
      <c r="S430" s="101">
        <f t="shared" si="309"/>
        <v>0</v>
      </c>
      <c r="T430" s="100">
        <v>0</v>
      </c>
      <c r="U430" s="98">
        <v>0</v>
      </c>
      <c r="V430" s="101">
        <f t="shared" ref="V430:V435" si="311">T430*U430</f>
        <v>0</v>
      </c>
      <c r="W430" s="100">
        <v>0</v>
      </c>
      <c r="X430" s="98">
        <v>0</v>
      </c>
      <c r="Y430" s="147">
        <f t="shared" si="310"/>
        <v>0</v>
      </c>
      <c r="Z430" s="150"/>
    </row>
    <row r="431" spans="2:26" s="35" customFormat="1" ht="17.100000000000001" customHeight="1">
      <c r="B431" s="105"/>
      <c r="C431" s="54"/>
      <c r="D431" s="96"/>
      <c r="E431" s="111"/>
      <c r="F431" s="112"/>
      <c r="G431" s="113"/>
      <c r="H431" s="100">
        <v>0</v>
      </c>
      <c r="I431" s="98">
        <v>0</v>
      </c>
      <c r="J431" s="101">
        <f t="shared" si="306"/>
        <v>0</v>
      </c>
      <c r="K431" s="100">
        <v>0</v>
      </c>
      <c r="L431" s="98">
        <v>0</v>
      </c>
      <c r="M431" s="101">
        <f t="shared" si="307"/>
        <v>0</v>
      </c>
      <c r="N431" s="100">
        <v>0</v>
      </c>
      <c r="O431" s="98">
        <v>0</v>
      </c>
      <c r="P431" s="101">
        <f t="shared" si="308"/>
        <v>0</v>
      </c>
      <c r="Q431" s="100">
        <v>0</v>
      </c>
      <c r="R431" s="98">
        <v>0</v>
      </c>
      <c r="S431" s="101">
        <f t="shared" si="309"/>
        <v>0</v>
      </c>
      <c r="T431" s="100">
        <v>0</v>
      </c>
      <c r="U431" s="98">
        <v>0</v>
      </c>
      <c r="V431" s="101">
        <f t="shared" si="311"/>
        <v>0</v>
      </c>
      <c r="W431" s="100">
        <v>0</v>
      </c>
      <c r="X431" s="98">
        <v>0</v>
      </c>
      <c r="Y431" s="147">
        <f t="shared" si="310"/>
        <v>0</v>
      </c>
      <c r="Z431" s="150"/>
    </row>
    <row r="432" spans="2:26" s="35" customFormat="1" ht="17.100000000000001" customHeight="1">
      <c r="B432" s="105"/>
      <c r="C432" s="54"/>
      <c r="D432" s="96"/>
      <c r="E432" s="111"/>
      <c r="F432" s="112"/>
      <c r="G432" s="113"/>
      <c r="H432" s="100">
        <v>0</v>
      </c>
      <c r="I432" s="98">
        <v>0</v>
      </c>
      <c r="J432" s="101">
        <f t="shared" si="306"/>
        <v>0</v>
      </c>
      <c r="K432" s="100">
        <v>0</v>
      </c>
      <c r="L432" s="98">
        <v>0</v>
      </c>
      <c r="M432" s="101">
        <f t="shared" si="307"/>
        <v>0</v>
      </c>
      <c r="N432" s="100">
        <v>0</v>
      </c>
      <c r="O432" s="98">
        <v>0</v>
      </c>
      <c r="P432" s="101">
        <f t="shared" si="308"/>
        <v>0</v>
      </c>
      <c r="Q432" s="100">
        <v>0</v>
      </c>
      <c r="R432" s="98">
        <v>0</v>
      </c>
      <c r="S432" s="101">
        <f t="shared" si="309"/>
        <v>0</v>
      </c>
      <c r="T432" s="100">
        <v>0</v>
      </c>
      <c r="U432" s="98">
        <v>0</v>
      </c>
      <c r="V432" s="101">
        <f t="shared" si="311"/>
        <v>0</v>
      </c>
      <c r="W432" s="100">
        <v>0</v>
      </c>
      <c r="X432" s="98">
        <v>0</v>
      </c>
      <c r="Y432" s="147">
        <f t="shared" si="310"/>
        <v>0</v>
      </c>
      <c r="Z432" s="150"/>
    </row>
    <row r="433" spans="2:26" s="35" customFormat="1" ht="17.100000000000001" customHeight="1">
      <c r="B433" s="105"/>
      <c r="C433" s="54"/>
      <c r="D433" s="96"/>
      <c r="E433" s="111"/>
      <c r="F433" s="112"/>
      <c r="G433" s="113"/>
      <c r="H433" s="100">
        <v>0</v>
      </c>
      <c r="I433" s="98">
        <v>0</v>
      </c>
      <c r="J433" s="101">
        <f t="shared" si="306"/>
        <v>0</v>
      </c>
      <c r="K433" s="100">
        <v>0</v>
      </c>
      <c r="L433" s="98">
        <v>0</v>
      </c>
      <c r="M433" s="101">
        <f t="shared" si="307"/>
        <v>0</v>
      </c>
      <c r="N433" s="100">
        <v>0</v>
      </c>
      <c r="O433" s="98">
        <v>0</v>
      </c>
      <c r="P433" s="101">
        <f t="shared" si="308"/>
        <v>0</v>
      </c>
      <c r="Q433" s="100">
        <v>0</v>
      </c>
      <c r="R433" s="98">
        <v>0</v>
      </c>
      <c r="S433" s="101">
        <f t="shared" si="309"/>
        <v>0</v>
      </c>
      <c r="T433" s="100">
        <v>0</v>
      </c>
      <c r="U433" s="98">
        <v>0</v>
      </c>
      <c r="V433" s="101">
        <f t="shared" si="311"/>
        <v>0</v>
      </c>
      <c r="W433" s="100">
        <v>0</v>
      </c>
      <c r="X433" s="98">
        <v>0</v>
      </c>
      <c r="Y433" s="147">
        <f t="shared" si="310"/>
        <v>0</v>
      </c>
      <c r="Z433" s="150"/>
    </row>
    <row r="434" spans="2:26" s="35" customFormat="1" ht="17.100000000000001" customHeight="1">
      <c r="B434" s="105"/>
      <c r="C434" s="54"/>
      <c r="D434" s="96"/>
      <c r="E434" s="111"/>
      <c r="F434" s="112"/>
      <c r="G434" s="113"/>
      <c r="H434" s="100">
        <v>0</v>
      </c>
      <c r="I434" s="98">
        <v>0</v>
      </c>
      <c r="J434" s="101">
        <f t="shared" si="306"/>
        <v>0</v>
      </c>
      <c r="K434" s="100">
        <v>0</v>
      </c>
      <c r="L434" s="98">
        <v>0</v>
      </c>
      <c r="M434" s="101">
        <f t="shared" si="307"/>
        <v>0</v>
      </c>
      <c r="N434" s="100">
        <v>0</v>
      </c>
      <c r="O434" s="98">
        <v>0</v>
      </c>
      <c r="P434" s="101">
        <f t="shared" si="308"/>
        <v>0</v>
      </c>
      <c r="Q434" s="100">
        <v>0</v>
      </c>
      <c r="R434" s="98">
        <v>0</v>
      </c>
      <c r="S434" s="101">
        <f t="shared" si="309"/>
        <v>0</v>
      </c>
      <c r="T434" s="100">
        <v>0</v>
      </c>
      <c r="U434" s="98">
        <v>0</v>
      </c>
      <c r="V434" s="101">
        <f t="shared" si="311"/>
        <v>0</v>
      </c>
      <c r="W434" s="100">
        <v>0</v>
      </c>
      <c r="X434" s="98">
        <v>0</v>
      </c>
      <c r="Y434" s="147">
        <f t="shared" si="310"/>
        <v>0</v>
      </c>
      <c r="Z434" s="150"/>
    </row>
    <row r="435" spans="2:26" s="35" customFormat="1" ht="17.100000000000001" customHeight="1">
      <c r="B435" s="105"/>
      <c r="C435" s="54"/>
      <c r="D435" s="96"/>
      <c r="E435" s="111"/>
      <c r="F435" s="112"/>
      <c r="G435" s="113"/>
      <c r="H435" s="100">
        <v>0</v>
      </c>
      <c r="I435" s="98">
        <v>0</v>
      </c>
      <c r="J435" s="101">
        <f t="shared" si="306"/>
        <v>0</v>
      </c>
      <c r="K435" s="100">
        <v>0</v>
      </c>
      <c r="L435" s="98">
        <v>0</v>
      </c>
      <c r="M435" s="101">
        <f t="shared" si="307"/>
        <v>0</v>
      </c>
      <c r="N435" s="100">
        <v>0</v>
      </c>
      <c r="O435" s="98">
        <v>0</v>
      </c>
      <c r="P435" s="101">
        <f t="shared" si="308"/>
        <v>0</v>
      </c>
      <c r="Q435" s="100">
        <v>0</v>
      </c>
      <c r="R435" s="98">
        <v>0</v>
      </c>
      <c r="S435" s="101">
        <f t="shared" si="309"/>
        <v>0</v>
      </c>
      <c r="T435" s="100">
        <v>0</v>
      </c>
      <c r="U435" s="98">
        <v>0</v>
      </c>
      <c r="V435" s="101">
        <f t="shared" si="311"/>
        <v>0</v>
      </c>
      <c r="W435" s="100">
        <v>0</v>
      </c>
      <c r="X435" s="98">
        <v>0</v>
      </c>
      <c r="Y435" s="147">
        <f t="shared" si="310"/>
        <v>0</v>
      </c>
      <c r="Z435" s="150"/>
    </row>
    <row r="436" spans="2:26" s="126" customFormat="1" ht="17.100000000000001" customHeight="1">
      <c r="B436" s="118"/>
      <c r="C436" s="119"/>
      <c r="D436" s="120"/>
      <c r="E436" s="121"/>
      <c r="F436" s="122"/>
      <c r="G436" s="123"/>
      <c r="H436" s="341" t="s">
        <v>201</v>
      </c>
      <c r="I436" s="342"/>
      <c r="J436" s="124">
        <f>SUM(J429:J435)</f>
        <v>30</v>
      </c>
      <c r="K436" s="341" t="s">
        <v>201</v>
      </c>
      <c r="L436" s="342"/>
      <c r="M436" s="124">
        <f>SUM(M429:M435)</f>
        <v>0</v>
      </c>
      <c r="N436" s="341" t="s">
        <v>201</v>
      </c>
      <c r="O436" s="342"/>
      <c r="P436" s="124">
        <f>SUM(P429:P435)</f>
        <v>0</v>
      </c>
      <c r="Q436" s="341" t="s">
        <v>201</v>
      </c>
      <c r="R436" s="342"/>
      <c r="S436" s="124">
        <f>SUM(S429:S435)</f>
        <v>0</v>
      </c>
      <c r="T436" s="341" t="s">
        <v>201</v>
      </c>
      <c r="U436" s="342"/>
      <c r="V436" s="124">
        <f>SUM(V429:V435)</f>
        <v>0</v>
      </c>
      <c r="W436" s="341" t="s">
        <v>201</v>
      </c>
      <c r="X436" s="342"/>
      <c r="Y436" s="127">
        <f>SUM(Y429:Y435)</f>
        <v>0</v>
      </c>
      <c r="Z436" s="151"/>
    </row>
    <row r="437" spans="2:26" s="35" customFormat="1" ht="17.100000000000001" customHeight="1">
      <c r="B437" s="105"/>
      <c r="C437" s="54">
        <f>'2. Rekap Back Up Beton'!C73</f>
        <v>15000</v>
      </c>
      <c r="D437" s="96">
        <f>'2. Rekap Back Up Beton'!D73</f>
        <v>15100</v>
      </c>
      <c r="E437" s="111">
        <f>'2. Rekap Back Up Beton'!E73</f>
        <v>6</v>
      </c>
      <c r="F437" s="112">
        <f>(100/((D437-C437)*E437))*((J444*0.5)+(M444*1)+(P444*2)+(S444*20)+(V444*15)+(Y444*1.5))</f>
        <v>0</v>
      </c>
      <c r="G437" s="113" t="str">
        <f>IF(F437&lt;=25,"B",IF(F437&lt;=75,"S",IF(F437&lt;=100,"RR","RB")))</f>
        <v>B</v>
      </c>
      <c r="H437" s="100">
        <v>0</v>
      </c>
      <c r="I437" s="98">
        <v>0</v>
      </c>
      <c r="J437" s="101">
        <f t="shared" ref="J437:J443" si="312">H437*I437</f>
        <v>0</v>
      </c>
      <c r="K437" s="100">
        <v>0</v>
      </c>
      <c r="L437" s="98">
        <v>0</v>
      </c>
      <c r="M437" s="101">
        <f t="shared" ref="M437:M443" si="313">K437*L437</f>
        <v>0</v>
      </c>
      <c r="N437" s="100">
        <v>0</v>
      </c>
      <c r="O437" s="98">
        <v>4</v>
      </c>
      <c r="P437" s="101">
        <f t="shared" ref="P437:P443" si="314">N437*O437</f>
        <v>0</v>
      </c>
      <c r="Q437" s="100">
        <v>0</v>
      </c>
      <c r="R437" s="98">
        <v>0</v>
      </c>
      <c r="S437" s="101">
        <f t="shared" ref="S437:S443" si="315">Q437*R437</f>
        <v>0</v>
      </c>
      <c r="T437" s="100">
        <v>0</v>
      </c>
      <c r="U437" s="98">
        <v>0</v>
      </c>
      <c r="V437" s="101">
        <f>T437*U437</f>
        <v>0</v>
      </c>
      <c r="W437" s="100">
        <v>0</v>
      </c>
      <c r="X437" s="98">
        <v>0</v>
      </c>
      <c r="Y437" s="147">
        <f t="shared" ref="Y437:Y443" si="316">W437*X437</f>
        <v>0</v>
      </c>
      <c r="Z437" s="150"/>
    </row>
    <row r="438" spans="2:26" s="35" customFormat="1" ht="17.100000000000001" customHeight="1">
      <c r="B438" s="105"/>
      <c r="C438" s="54"/>
      <c r="D438" s="96"/>
      <c r="E438" s="111"/>
      <c r="F438" s="112"/>
      <c r="G438" s="113"/>
      <c r="H438" s="100">
        <v>0</v>
      </c>
      <c r="I438" s="98">
        <v>0</v>
      </c>
      <c r="J438" s="101">
        <f t="shared" si="312"/>
        <v>0</v>
      </c>
      <c r="K438" s="100">
        <v>0</v>
      </c>
      <c r="L438" s="98">
        <v>0</v>
      </c>
      <c r="M438" s="101">
        <f t="shared" si="313"/>
        <v>0</v>
      </c>
      <c r="N438" s="100">
        <v>0</v>
      </c>
      <c r="O438" s="98">
        <v>0</v>
      </c>
      <c r="P438" s="101">
        <f t="shared" si="314"/>
        <v>0</v>
      </c>
      <c r="Q438" s="100">
        <v>0</v>
      </c>
      <c r="R438" s="98">
        <v>0</v>
      </c>
      <c r="S438" s="101">
        <f t="shared" si="315"/>
        <v>0</v>
      </c>
      <c r="T438" s="100">
        <v>0</v>
      </c>
      <c r="U438" s="98">
        <v>0</v>
      </c>
      <c r="V438" s="101">
        <f t="shared" ref="V438:V443" si="317">T438*U438</f>
        <v>0</v>
      </c>
      <c r="W438" s="100">
        <v>0</v>
      </c>
      <c r="X438" s="98">
        <v>0</v>
      </c>
      <c r="Y438" s="147">
        <f t="shared" si="316"/>
        <v>0</v>
      </c>
      <c r="Z438" s="150"/>
    </row>
    <row r="439" spans="2:26" s="35" customFormat="1" ht="17.100000000000001" customHeight="1">
      <c r="B439" s="105"/>
      <c r="C439" s="54"/>
      <c r="D439" s="96"/>
      <c r="E439" s="111"/>
      <c r="F439" s="112"/>
      <c r="G439" s="113"/>
      <c r="H439" s="100">
        <v>0</v>
      </c>
      <c r="I439" s="98">
        <v>0</v>
      </c>
      <c r="J439" s="101">
        <f t="shared" si="312"/>
        <v>0</v>
      </c>
      <c r="K439" s="100">
        <v>0</v>
      </c>
      <c r="L439" s="98">
        <v>0</v>
      </c>
      <c r="M439" s="101">
        <f t="shared" si="313"/>
        <v>0</v>
      </c>
      <c r="N439" s="100">
        <v>0</v>
      </c>
      <c r="O439" s="98">
        <v>0</v>
      </c>
      <c r="P439" s="101">
        <f t="shared" si="314"/>
        <v>0</v>
      </c>
      <c r="Q439" s="100">
        <v>0</v>
      </c>
      <c r="R439" s="98">
        <v>0</v>
      </c>
      <c r="S439" s="101">
        <f t="shared" si="315"/>
        <v>0</v>
      </c>
      <c r="T439" s="100">
        <v>0</v>
      </c>
      <c r="U439" s="98">
        <v>0</v>
      </c>
      <c r="V439" s="101">
        <f t="shared" si="317"/>
        <v>0</v>
      </c>
      <c r="W439" s="100">
        <v>0</v>
      </c>
      <c r="X439" s="98">
        <v>0</v>
      </c>
      <c r="Y439" s="147">
        <f t="shared" si="316"/>
        <v>0</v>
      </c>
      <c r="Z439" s="150"/>
    </row>
    <row r="440" spans="2:26" s="35" customFormat="1" ht="17.100000000000001" customHeight="1">
      <c r="B440" s="105"/>
      <c r="C440" s="54"/>
      <c r="D440" s="96"/>
      <c r="E440" s="111"/>
      <c r="F440" s="112"/>
      <c r="G440" s="113"/>
      <c r="H440" s="100">
        <v>0</v>
      </c>
      <c r="I440" s="98">
        <v>0</v>
      </c>
      <c r="J440" s="101">
        <f t="shared" si="312"/>
        <v>0</v>
      </c>
      <c r="K440" s="100">
        <v>0</v>
      </c>
      <c r="L440" s="98">
        <v>0</v>
      </c>
      <c r="M440" s="101">
        <f t="shared" si="313"/>
        <v>0</v>
      </c>
      <c r="N440" s="100">
        <v>0</v>
      </c>
      <c r="O440" s="98">
        <v>0</v>
      </c>
      <c r="P440" s="101">
        <f t="shared" si="314"/>
        <v>0</v>
      </c>
      <c r="Q440" s="100">
        <v>0</v>
      </c>
      <c r="R440" s="98">
        <v>0</v>
      </c>
      <c r="S440" s="101">
        <f t="shared" si="315"/>
        <v>0</v>
      </c>
      <c r="T440" s="100">
        <v>0</v>
      </c>
      <c r="U440" s="98">
        <v>0</v>
      </c>
      <c r="V440" s="101">
        <f t="shared" si="317"/>
        <v>0</v>
      </c>
      <c r="W440" s="100">
        <v>0</v>
      </c>
      <c r="X440" s="98">
        <v>0</v>
      </c>
      <c r="Y440" s="147">
        <f t="shared" si="316"/>
        <v>0</v>
      </c>
      <c r="Z440" s="150"/>
    </row>
    <row r="441" spans="2:26" s="35" customFormat="1" ht="17.100000000000001" customHeight="1">
      <c r="B441" s="105"/>
      <c r="C441" s="54"/>
      <c r="D441" s="96"/>
      <c r="E441" s="111"/>
      <c r="F441" s="112"/>
      <c r="G441" s="113"/>
      <c r="H441" s="100">
        <v>0</v>
      </c>
      <c r="I441" s="98">
        <v>0</v>
      </c>
      <c r="J441" s="101">
        <f t="shared" si="312"/>
        <v>0</v>
      </c>
      <c r="K441" s="100">
        <v>0</v>
      </c>
      <c r="L441" s="98">
        <v>0</v>
      </c>
      <c r="M441" s="101">
        <f t="shared" si="313"/>
        <v>0</v>
      </c>
      <c r="N441" s="100">
        <v>0</v>
      </c>
      <c r="O441" s="98">
        <v>0</v>
      </c>
      <c r="P441" s="101">
        <f t="shared" si="314"/>
        <v>0</v>
      </c>
      <c r="Q441" s="100">
        <v>0</v>
      </c>
      <c r="R441" s="98">
        <v>0</v>
      </c>
      <c r="S441" s="101">
        <f t="shared" si="315"/>
        <v>0</v>
      </c>
      <c r="T441" s="100">
        <v>0</v>
      </c>
      <c r="U441" s="98">
        <v>0</v>
      </c>
      <c r="V441" s="101">
        <f t="shared" si="317"/>
        <v>0</v>
      </c>
      <c r="W441" s="100">
        <v>0</v>
      </c>
      <c r="X441" s="98">
        <v>0</v>
      </c>
      <c r="Y441" s="147">
        <f t="shared" si="316"/>
        <v>0</v>
      </c>
      <c r="Z441" s="150"/>
    </row>
    <row r="442" spans="2:26" s="35" customFormat="1" ht="17.100000000000001" customHeight="1">
      <c r="B442" s="105"/>
      <c r="C442" s="54"/>
      <c r="D442" s="96"/>
      <c r="E442" s="111"/>
      <c r="F442" s="112"/>
      <c r="G442" s="113"/>
      <c r="H442" s="100">
        <v>0</v>
      </c>
      <c r="I442" s="98">
        <v>0</v>
      </c>
      <c r="J442" s="101">
        <f t="shared" si="312"/>
        <v>0</v>
      </c>
      <c r="K442" s="100">
        <v>0</v>
      </c>
      <c r="L442" s="98">
        <v>0</v>
      </c>
      <c r="M442" s="101">
        <f t="shared" si="313"/>
        <v>0</v>
      </c>
      <c r="N442" s="100">
        <v>0</v>
      </c>
      <c r="O442" s="98">
        <v>0</v>
      </c>
      <c r="P442" s="101">
        <f t="shared" si="314"/>
        <v>0</v>
      </c>
      <c r="Q442" s="100">
        <v>0</v>
      </c>
      <c r="R442" s="98">
        <v>0</v>
      </c>
      <c r="S442" s="101">
        <f t="shared" si="315"/>
        <v>0</v>
      </c>
      <c r="T442" s="100">
        <v>0</v>
      </c>
      <c r="U442" s="98">
        <v>0</v>
      </c>
      <c r="V442" s="101">
        <f t="shared" si="317"/>
        <v>0</v>
      </c>
      <c r="W442" s="100">
        <v>0</v>
      </c>
      <c r="X442" s="98">
        <v>0</v>
      </c>
      <c r="Y442" s="147">
        <f t="shared" si="316"/>
        <v>0</v>
      </c>
      <c r="Z442" s="150"/>
    </row>
    <row r="443" spans="2:26" s="35" customFormat="1" ht="17.100000000000001" customHeight="1">
      <c r="B443" s="105"/>
      <c r="C443" s="54"/>
      <c r="D443" s="96"/>
      <c r="E443" s="111"/>
      <c r="F443" s="112"/>
      <c r="G443" s="113"/>
      <c r="H443" s="100">
        <v>0</v>
      </c>
      <c r="I443" s="98">
        <v>0</v>
      </c>
      <c r="J443" s="101">
        <f t="shared" si="312"/>
        <v>0</v>
      </c>
      <c r="K443" s="100">
        <v>0</v>
      </c>
      <c r="L443" s="98">
        <v>0</v>
      </c>
      <c r="M443" s="101">
        <f t="shared" si="313"/>
        <v>0</v>
      </c>
      <c r="N443" s="100">
        <v>0</v>
      </c>
      <c r="O443" s="98">
        <v>0</v>
      </c>
      <c r="P443" s="101">
        <f t="shared" si="314"/>
        <v>0</v>
      </c>
      <c r="Q443" s="100">
        <v>0</v>
      </c>
      <c r="R443" s="98">
        <v>0</v>
      </c>
      <c r="S443" s="101">
        <f t="shared" si="315"/>
        <v>0</v>
      </c>
      <c r="T443" s="100">
        <v>0</v>
      </c>
      <c r="U443" s="98">
        <v>0</v>
      </c>
      <c r="V443" s="101">
        <f t="shared" si="317"/>
        <v>0</v>
      </c>
      <c r="W443" s="100">
        <v>0</v>
      </c>
      <c r="X443" s="98">
        <v>0</v>
      </c>
      <c r="Y443" s="147">
        <f t="shared" si="316"/>
        <v>0</v>
      </c>
      <c r="Z443" s="150"/>
    </row>
    <row r="444" spans="2:26" s="126" customFormat="1" ht="17.100000000000001" customHeight="1">
      <c r="B444" s="118"/>
      <c r="C444" s="119"/>
      <c r="D444" s="120"/>
      <c r="E444" s="121"/>
      <c r="F444" s="122"/>
      <c r="G444" s="123"/>
      <c r="H444" s="341" t="s">
        <v>201</v>
      </c>
      <c r="I444" s="342"/>
      <c r="J444" s="124">
        <f>SUM(J437:J443)</f>
        <v>0</v>
      </c>
      <c r="K444" s="341" t="s">
        <v>201</v>
      </c>
      <c r="L444" s="342"/>
      <c r="M444" s="124">
        <f>SUM(M437:M443)</f>
        <v>0</v>
      </c>
      <c r="N444" s="341" t="s">
        <v>201</v>
      </c>
      <c r="O444" s="342"/>
      <c r="P444" s="124">
        <f>SUM(P437:P443)</f>
        <v>0</v>
      </c>
      <c r="Q444" s="341" t="s">
        <v>201</v>
      </c>
      <c r="R444" s="342"/>
      <c r="S444" s="124">
        <f>SUM(S437:S443)</f>
        <v>0</v>
      </c>
      <c r="T444" s="341" t="s">
        <v>201</v>
      </c>
      <c r="U444" s="342"/>
      <c r="V444" s="124">
        <f>SUM(V437:V443)</f>
        <v>0</v>
      </c>
      <c r="W444" s="341" t="s">
        <v>201</v>
      </c>
      <c r="X444" s="342"/>
      <c r="Y444" s="127">
        <f>SUM(Y437:Y443)</f>
        <v>0</v>
      </c>
      <c r="Z444" s="151"/>
    </row>
    <row r="445" spans="2:26" s="35" customFormat="1" ht="17.100000000000001" customHeight="1">
      <c r="B445" s="105"/>
      <c r="C445" s="54">
        <f>'2. Rekap Back Up Beton'!C74</f>
        <v>15100</v>
      </c>
      <c r="D445" s="96">
        <f>'2. Rekap Back Up Beton'!D74</f>
        <v>15200</v>
      </c>
      <c r="E445" s="111">
        <f>'2. Rekap Back Up Beton'!E74</f>
        <v>6</v>
      </c>
      <c r="F445" s="112">
        <f>(100/((D445-C445)*E445))*((J452*0.5)+(M452*1)+(P452*2)+(S452*20)+(V452*15)+(Y452*1.5))</f>
        <v>0</v>
      </c>
      <c r="G445" s="113" t="str">
        <f>IF(F445&lt;=25,"B",IF(F445&lt;=75,"S",IF(F445&lt;=100,"RR","RB")))</f>
        <v>B</v>
      </c>
      <c r="H445" s="100">
        <v>0</v>
      </c>
      <c r="I445" s="98">
        <v>0</v>
      </c>
      <c r="J445" s="101">
        <f t="shared" ref="J445:J451" si="318">H445*I445</f>
        <v>0</v>
      </c>
      <c r="K445" s="100">
        <v>0</v>
      </c>
      <c r="L445" s="98">
        <v>0</v>
      </c>
      <c r="M445" s="101">
        <f t="shared" ref="M445:M451" si="319">K445*L445</f>
        <v>0</v>
      </c>
      <c r="N445" s="100">
        <v>0</v>
      </c>
      <c r="O445" s="98">
        <v>4</v>
      </c>
      <c r="P445" s="101">
        <f t="shared" ref="P445:P451" si="320">N445*O445</f>
        <v>0</v>
      </c>
      <c r="Q445" s="100">
        <v>0</v>
      </c>
      <c r="R445" s="98">
        <v>0</v>
      </c>
      <c r="S445" s="101">
        <f t="shared" ref="S445:S451" si="321">Q445*R445</f>
        <v>0</v>
      </c>
      <c r="T445" s="100">
        <v>0</v>
      </c>
      <c r="U445" s="98">
        <v>0</v>
      </c>
      <c r="V445" s="101">
        <f>T445*U445</f>
        <v>0</v>
      </c>
      <c r="W445" s="100">
        <v>0</v>
      </c>
      <c r="X445" s="98">
        <v>0</v>
      </c>
      <c r="Y445" s="147">
        <f t="shared" ref="Y445:Y451" si="322">W445*X445</f>
        <v>0</v>
      </c>
      <c r="Z445" s="150"/>
    </row>
    <row r="446" spans="2:26" s="35" customFormat="1" ht="17.100000000000001" customHeight="1">
      <c r="B446" s="105"/>
      <c r="C446" s="54"/>
      <c r="D446" s="96"/>
      <c r="E446" s="111"/>
      <c r="F446" s="112"/>
      <c r="G446" s="113"/>
      <c r="H446" s="100">
        <v>0</v>
      </c>
      <c r="I446" s="98">
        <v>0</v>
      </c>
      <c r="J446" s="101">
        <f t="shared" si="318"/>
        <v>0</v>
      </c>
      <c r="K446" s="100">
        <v>0</v>
      </c>
      <c r="L446" s="98">
        <v>0</v>
      </c>
      <c r="M446" s="101">
        <f t="shared" si="319"/>
        <v>0</v>
      </c>
      <c r="N446" s="100">
        <v>0</v>
      </c>
      <c r="O446" s="98">
        <v>0</v>
      </c>
      <c r="P446" s="101">
        <f t="shared" si="320"/>
        <v>0</v>
      </c>
      <c r="Q446" s="100">
        <v>0</v>
      </c>
      <c r="R446" s="98">
        <v>0</v>
      </c>
      <c r="S446" s="101">
        <f t="shared" si="321"/>
        <v>0</v>
      </c>
      <c r="T446" s="100">
        <v>0</v>
      </c>
      <c r="U446" s="98">
        <v>0</v>
      </c>
      <c r="V446" s="101">
        <f t="shared" ref="V446:V451" si="323">T446*U446</f>
        <v>0</v>
      </c>
      <c r="W446" s="100">
        <v>0</v>
      </c>
      <c r="X446" s="98">
        <v>0</v>
      </c>
      <c r="Y446" s="147">
        <f t="shared" si="322"/>
        <v>0</v>
      </c>
      <c r="Z446" s="150"/>
    </row>
    <row r="447" spans="2:26" s="35" customFormat="1" ht="17.100000000000001" customHeight="1">
      <c r="B447" s="105"/>
      <c r="C447" s="54"/>
      <c r="D447" s="96"/>
      <c r="E447" s="111"/>
      <c r="F447" s="112"/>
      <c r="G447" s="113"/>
      <c r="H447" s="100">
        <v>0</v>
      </c>
      <c r="I447" s="98">
        <v>0</v>
      </c>
      <c r="J447" s="101">
        <f t="shared" si="318"/>
        <v>0</v>
      </c>
      <c r="K447" s="100">
        <v>0</v>
      </c>
      <c r="L447" s="98">
        <v>0</v>
      </c>
      <c r="M447" s="101">
        <f t="shared" si="319"/>
        <v>0</v>
      </c>
      <c r="N447" s="100">
        <v>0</v>
      </c>
      <c r="O447" s="98">
        <v>0</v>
      </c>
      <c r="P447" s="101">
        <f t="shared" si="320"/>
        <v>0</v>
      </c>
      <c r="Q447" s="100">
        <v>0</v>
      </c>
      <c r="R447" s="98">
        <v>0</v>
      </c>
      <c r="S447" s="101">
        <f t="shared" si="321"/>
        <v>0</v>
      </c>
      <c r="T447" s="100">
        <v>0</v>
      </c>
      <c r="U447" s="98">
        <v>0</v>
      </c>
      <c r="V447" s="101">
        <f t="shared" si="323"/>
        <v>0</v>
      </c>
      <c r="W447" s="100">
        <v>0</v>
      </c>
      <c r="X447" s="98">
        <v>0</v>
      </c>
      <c r="Y447" s="147">
        <f t="shared" si="322"/>
        <v>0</v>
      </c>
      <c r="Z447" s="150"/>
    </row>
    <row r="448" spans="2:26" s="35" customFormat="1" ht="17.100000000000001" customHeight="1">
      <c r="B448" s="105"/>
      <c r="C448" s="54"/>
      <c r="D448" s="96"/>
      <c r="E448" s="111"/>
      <c r="F448" s="112"/>
      <c r="G448" s="113"/>
      <c r="H448" s="100">
        <v>0</v>
      </c>
      <c r="I448" s="98">
        <v>0</v>
      </c>
      <c r="J448" s="101">
        <f t="shared" si="318"/>
        <v>0</v>
      </c>
      <c r="K448" s="100">
        <v>0</v>
      </c>
      <c r="L448" s="98">
        <v>0</v>
      </c>
      <c r="M448" s="101">
        <f t="shared" si="319"/>
        <v>0</v>
      </c>
      <c r="N448" s="100">
        <v>0</v>
      </c>
      <c r="O448" s="98">
        <v>0</v>
      </c>
      <c r="P448" s="101">
        <f t="shared" si="320"/>
        <v>0</v>
      </c>
      <c r="Q448" s="100">
        <v>0</v>
      </c>
      <c r="R448" s="98">
        <v>0</v>
      </c>
      <c r="S448" s="101">
        <f t="shared" si="321"/>
        <v>0</v>
      </c>
      <c r="T448" s="100">
        <v>0</v>
      </c>
      <c r="U448" s="98">
        <v>0</v>
      </c>
      <c r="V448" s="101">
        <f t="shared" si="323"/>
        <v>0</v>
      </c>
      <c r="W448" s="100">
        <v>0</v>
      </c>
      <c r="X448" s="98">
        <v>0</v>
      </c>
      <c r="Y448" s="147">
        <f t="shared" si="322"/>
        <v>0</v>
      </c>
      <c r="Z448" s="150"/>
    </row>
    <row r="449" spans="2:26" s="35" customFormat="1" ht="17.100000000000001" customHeight="1">
      <c r="B449" s="105"/>
      <c r="C449" s="54"/>
      <c r="D449" s="96"/>
      <c r="E449" s="111"/>
      <c r="F449" s="112"/>
      <c r="G449" s="113"/>
      <c r="H449" s="100">
        <v>0</v>
      </c>
      <c r="I449" s="98">
        <v>0</v>
      </c>
      <c r="J449" s="101">
        <f t="shared" si="318"/>
        <v>0</v>
      </c>
      <c r="K449" s="100">
        <v>0</v>
      </c>
      <c r="L449" s="98">
        <v>0</v>
      </c>
      <c r="M449" s="101">
        <f t="shared" si="319"/>
        <v>0</v>
      </c>
      <c r="N449" s="100">
        <v>0</v>
      </c>
      <c r="O449" s="98">
        <v>0</v>
      </c>
      <c r="P449" s="101">
        <f t="shared" si="320"/>
        <v>0</v>
      </c>
      <c r="Q449" s="100">
        <v>0</v>
      </c>
      <c r="R449" s="98">
        <v>0</v>
      </c>
      <c r="S449" s="101">
        <f t="shared" si="321"/>
        <v>0</v>
      </c>
      <c r="T449" s="100">
        <v>0</v>
      </c>
      <c r="U449" s="98">
        <v>0</v>
      </c>
      <c r="V449" s="101">
        <f t="shared" si="323"/>
        <v>0</v>
      </c>
      <c r="W449" s="100">
        <v>0</v>
      </c>
      <c r="X449" s="98">
        <v>0</v>
      </c>
      <c r="Y449" s="147">
        <f t="shared" si="322"/>
        <v>0</v>
      </c>
      <c r="Z449" s="150"/>
    </row>
    <row r="450" spans="2:26" s="35" customFormat="1" ht="17.100000000000001" customHeight="1">
      <c r="B450" s="105"/>
      <c r="C450" s="54"/>
      <c r="D450" s="96"/>
      <c r="E450" s="111"/>
      <c r="F450" s="112"/>
      <c r="G450" s="113"/>
      <c r="H450" s="100">
        <v>0</v>
      </c>
      <c r="I450" s="98">
        <v>0</v>
      </c>
      <c r="J450" s="101">
        <f t="shared" si="318"/>
        <v>0</v>
      </c>
      <c r="K450" s="100">
        <v>0</v>
      </c>
      <c r="L450" s="98">
        <v>0</v>
      </c>
      <c r="M450" s="101">
        <f t="shared" si="319"/>
        <v>0</v>
      </c>
      <c r="N450" s="100">
        <v>0</v>
      </c>
      <c r="O450" s="98">
        <v>0</v>
      </c>
      <c r="P450" s="101">
        <f t="shared" si="320"/>
        <v>0</v>
      </c>
      <c r="Q450" s="100">
        <v>0</v>
      </c>
      <c r="R450" s="98">
        <v>0</v>
      </c>
      <c r="S450" s="101">
        <f t="shared" si="321"/>
        <v>0</v>
      </c>
      <c r="T450" s="100">
        <v>0</v>
      </c>
      <c r="U450" s="98">
        <v>0</v>
      </c>
      <c r="V450" s="101">
        <f t="shared" si="323"/>
        <v>0</v>
      </c>
      <c r="W450" s="100">
        <v>0</v>
      </c>
      <c r="X450" s="98">
        <v>0</v>
      </c>
      <c r="Y450" s="147">
        <f t="shared" si="322"/>
        <v>0</v>
      </c>
      <c r="Z450" s="150"/>
    </row>
    <row r="451" spans="2:26" s="35" customFormat="1" ht="17.100000000000001" customHeight="1">
      <c r="B451" s="105"/>
      <c r="C451" s="54"/>
      <c r="D451" s="96"/>
      <c r="E451" s="111"/>
      <c r="F451" s="112"/>
      <c r="G451" s="113"/>
      <c r="H451" s="100">
        <v>0</v>
      </c>
      <c r="I451" s="98">
        <v>0</v>
      </c>
      <c r="J451" s="101">
        <f t="shared" si="318"/>
        <v>0</v>
      </c>
      <c r="K451" s="100">
        <v>0</v>
      </c>
      <c r="L451" s="98">
        <v>0</v>
      </c>
      <c r="M451" s="101">
        <f t="shared" si="319"/>
        <v>0</v>
      </c>
      <c r="N451" s="100">
        <v>0</v>
      </c>
      <c r="O451" s="98">
        <v>0</v>
      </c>
      <c r="P451" s="101">
        <f t="shared" si="320"/>
        <v>0</v>
      </c>
      <c r="Q451" s="100">
        <v>0</v>
      </c>
      <c r="R451" s="98">
        <v>0</v>
      </c>
      <c r="S451" s="101">
        <f t="shared" si="321"/>
        <v>0</v>
      </c>
      <c r="T451" s="100">
        <v>0</v>
      </c>
      <c r="U451" s="98">
        <v>0</v>
      </c>
      <c r="V451" s="101">
        <f t="shared" si="323"/>
        <v>0</v>
      </c>
      <c r="W451" s="100">
        <v>0</v>
      </c>
      <c r="X451" s="98">
        <v>0</v>
      </c>
      <c r="Y451" s="147">
        <f t="shared" si="322"/>
        <v>0</v>
      </c>
      <c r="Z451" s="150"/>
    </row>
    <row r="452" spans="2:26" s="126" customFormat="1" ht="17.100000000000001" customHeight="1">
      <c r="B452" s="118"/>
      <c r="C452" s="119"/>
      <c r="D452" s="120"/>
      <c r="E452" s="121"/>
      <c r="F452" s="122"/>
      <c r="G452" s="123"/>
      <c r="H452" s="341" t="s">
        <v>201</v>
      </c>
      <c r="I452" s="342"/>
      <c r="J452" s="124">
        <f>SUM(J445:J451)</f>
        <v>0</v>
      </c>
      <c r="K452" s="341" t="s">
        <v>201</v>
      </c>
      <c r="L452" s="342"/>
      <c r="M452" s="124">
        <f>SUM(M445:M451)</f>
        <v>0</v>
      </c>
      <c r="N452" s="341" t="s">
        <v>201</v>
      </c>
      <c r="O452" s="342"/>
      <c r="P452" s="124">
        <f>SUM(P445:P451)</f>
        <v>0</v>
      </c>
      <c r="Q452" s="341" t="s">
        <v>201</v>
      </c>
      <c r="R452" s="342"/>
      <c r="S452" s="124">
        <f>SUM(S445:S451)</f>
        <v>0</v>
      </c>
      <c r="T452" s="341" t="s">
        <v>201</v>
      </c>
      <c r="U452" s="342"/>
      <c r="V452" s="124">
        <f>SUM(V445:V451)</f>
        <v>0</v>
      </c>
      <c r="W452" s="341" t="s">
        <v>201</v>
      </c>
      <c r="X452" s="342"/>
      <c r="Y452" s="127">
        <f>SUM(Y445:Y451)</f>
        <v>0</v>
      </c>
      <c r="Z452" s="151"/>
    </row>
    <row r="453" spans="2:26" s="35" customFormat="1" ht="17.100000000000001" customHeight="1">
      <c r="B453" s="105"/>
      <c r="C453" s="54">
        <f>'2. Rekap Back Up Beton'!C75</f>
        <v>15200</v>
      </c>
      <c r="D453" s="96">
        <f>'2. Rekap Back Up Beton'!D75</f>
        <v>15300</v>
      </c>
      <c r="E453" s="111">
        <f>'2. Rekap Back Up Beton'!E75</f>
        <v>6</v>
      </c>
      <c r="F453" s="112">
        <f>(100/((D453-C453)*E453))*((J460*0.5)+(M460*1)+(P460*2)+(S460*20)+(V460*15)+(Y460*1.5))</f>
        <v>0</v>
      </c>
      <c r="G453" s="113" t="str">
        <f>IF(F453&lt;=25,"B",IF(F453&lt;=75,"S",IF(F453&lt;=100,"RR","RB")))</f>
        <v>B</v>
      </c>
      <c r="H453" s="100">
        <v>0</v>
      </c>
      <c r="I453" s="98">
        <v>0</v>
      </c>
      <c r="J453" s="101">
        <f t="shared" ref="J453:J459" si="324">H453*I453</f>
        <v>0</v>
      </c>
      <c r="K453" s="100">
        <v>0</v>
      </c>
      <c r="L453" s="98">
        <v>0</v>
      </c>
      <c r="M453" s="101">
        <f t="shared" ref="M453:M459" si="325">K453*L453</f>
        <v>0</v>
      </c>
      <c r="N453" s="100">
        <v>0</v>
      </c>
      <c r="O453" s="98">
        <v>4</v>
      </c>
      <c r="P453" s="101">
        <f t="shared" ref="P453:P459" si="326">N453*O453</f>
        <v>0</v>
      </c>
      <c r="Q453" s="100">
        <v>0</v>
      </c>
      <c r="R453" s="98">
        <v>0</v>
      </c>
      <c r="S453" s="101">
        <f t="shared" ref="S453:S459" si="327">Q453*R453</f>
        <v>0</v>
      </c>
      <c r="T453" s="100">
        <v>0</v>
      </c>
      <c r="U453" s="98">
        <v>0</v>
      </c>
      <c r="V453" s="101">
        <f>T453*U453</f>
        <v>0</v>
      </c>
      <c r="W453" s="100">
        <v>0</v>
      </c>
      <c r="X453" s="98">
        <v>0</v>
      </c>
      <c r="Y453" s="147">
        <f t="shared" ref="Y453:Y459" si="328">W453*X453</f>
        <v>0</v>
      </c>
      <c r="Z453" s="150"/>
    </row>
    <row r="454" spans="2:26" s="35" customFormat="1" ht="17.100000000000001" customHeight="1">
      <c r="B454" s="105"/>
      <c r="C454" s="54"/>
      <c r="D454" s="96"/>
      <c r="E454" s="111"/>
      <c r="F454" s="112"/>
      <c r="G454" s="113"/>
      <c r="H454" s="100">
        <v>0</v>
      </c>
      <c r="I454" s="98">
        <v>0</v>
      </c>
      <c r="J454" s="101">
        <f t="shared" si="324"/>
        <v>0</v>
      </c>
      <c r="K454" s="100">
        <v>0</v>
      </c>
      <c r="L454" s="98">
        <v>0</v>
      </c>
      <c r="M454" s="101">
        <f t="shared" si="325"/>
        <v>0</v>
      </c>
      <c r="N454" s="100">
        <v>0</v>
      </c>
      <c r="O454" s="98">
        <v>0</v>
      </c>
      <c r="P454" s="101">
        <f t="shared" si="326"/>
        <v>0</v>
      </c>
      <c r="Q454" s="100">
        <v>0</v>
      </c>
      <c r="R454" s="98">
        <v>0</v>
      </c>
      <c r="S454" s="101">
        <f t="shared" si="327"/>
        <v>0</v>
      </c>
      <c r="T454" s="100">
        <v>0</v>
      </c>
      <c r="U454" s="98">
        <v>0</v>
      </c>
      <c r="V454" s="101">
        <f t="shared" ref="V454:V459" si="329">T454*U454</f>
        <v>0</v>
      </c>
      <c r="W454" s="100">
        <v>0</v>
      </c>
      <c r="X454" s="98">
        <v>0</v>
      </c>
      <c r="Y454" s="147">
        <f t="shared" si="328"/>
        <v>0</v>
      </c>
      <c r="Z454" s="150"/>
    </row>
    <row r="455" spans="2:26" s="35" customFormat="1" ht="17.100000000000001" customHeight="1">
      <c r="B455" s="105"/>
      <c r="C455" s="54"/>
      <c r="D455" s="96"/>
      <c r="E455" s="111"/>
      <c r="F455" s="112"/>
      <c r="G455" s="113"/>
      <c r="H455" s="100">
        <v>0</v>
      </c>
      <c r="I455" s="98">
        <v>0</v>
      </c>
      <c r="J455" s="101">
        <f t="shared" si="324"/>
        <v>0</v>
      </c>
      <c r="K455" s="100">
        <v>0</v>
      </c>
      <c r="L455" s="98">
        <v>0</v>
      </c>
      <c r="M455" s="101">
        <f t="shared" si="325"/>
        <v>0</v>
      </c>
      <c r="N455" s="100">
        <v>0</v>
      </c>
      <c r="O455" s="98">
        <v>0</v>
      </c>
      <c r="P455" s="101">
        <f t="shared" si="326"/>
        <v>0</v>
      </c>
      <c r="Q455" s="100">
        <v>0</v>
      </c>
      <c r="R455" s="98">
        <v>0</v>
      </c>
      <c r="S455" s="101">
        <f t="shared" si="327"/>
        <v>0</v>
      </c>
      <c r="T455" s="100">
        <v>0</v>
      </c>
      <c r="U455" s="98">
        <v>0</v>
      </c>
      <c r="V455" s="101">
        <f t="shared" si="329"/>
        <v>0</v>
      </c>
      <c r="W455" s="100">
        <v>0</v>
      </c>
      <c r="X455" s="98">
        <v>0</v>
      </c>
      <c r="Y455" s="147">
        <f t="shared" si="328"/>
        <v>0</v>
      </c>
      <c r="Z455" s="150"/>
    </row>
    <row r="456" spans="2:26" s="35" customFormat="1" ht="17.100000000000001" customHeight="1">
      <c r="B456" s="105"/>
      <c r="C456" s="54"/>
      <c r="D456" s="96"/>
      <c r="E456" s="111"/>
      <c r="F456" s="112"/>
      <c r="G456" s="113"/>
      <c r="H456" s="100">
        <v>0</v>
      </c>
      <c r="I456" s="98">
        <v>0</v>
      </c>
      <c r="J456" s="101">
        <f t="shared" si="324"/>
        <v>0</v>
      </c>
      <c r="K456" s="100">
        <v>0</v>
      </c>
      <c r="L456" s="98">
        <v>0</v>
      </c>
      <c r="M456" s="101">
        <f t="shared" si="325"/>
        <v>0</v>
      </c>
      <c r="N456" s="100">
        <v>0</v>
      </c>
      <c r="O456" s="98">
        <v>0</v>
      </c>
      <c r="P456" s="101">
        <f t="shared" si="326"/>
        <v>0</v>
      </c>
      <c r="Q456" s="100">
        <v>0</v>
      </c>
      <c r="R456" s="98">
        <v>0</v>
      </c>
      <c r="S456" s="101">
        <f t="shared" si="327"/>
        <v>0</v>
      </c>
      <c r="T456" s="100">
        <v>0</v>
      </c>
      <c r="U456" s="98">
        <v>0</v>
      </c>
      <c r="V456" s="101">
        <f t="shared" si="329"/>
        <v>0</v>
      </c>
      <c r="W456" s="100">
        <v>0</v>
      </c>
      <c r="X456" s="98">
        <v>0</v>
      </c>
      <c r="Y456" s="147">
        <f t="shared" si="328"/>
        <v>0</v>
      </c>
      <c r="Z456" s="150"/>
    </row>
    <row r="457" spans="2:26" s="35" customFormat="1" ht="17.100000000000001" customHeight="1">
      <c r="B457" s="105"/>
      <c r="C457" s="54"/>
      <c r="D457" s="96"/>
      <c r="E457" s="111"/>
      <c r="F457" s="112"/>
      <c r="G457" s="113"/>
      <c r="H457" s="100">
        <v>0</v>
      </c>
      <c r="I457" s="98">
        <v>0</v>
      </c>
      <c r="J457" s="101">
        <f t="shared" si="324"/>
        <v>0</v>
      </c>
      <c r="K457" s="100">
        <v>0</v>
      </c>
      <c r="L457" s="98">
        <v>0</v>
      </c>
      <c r="M457" s="101">
        <f t="shared" si="325"/>
        <v>0</v>
      </c>
      <c r="N457" s="100">
        <v>0</v>
      </c>
      <c r="O457" s="98">
        <v>0</v>
      </c>
      <c r="P457" s="101">
        <f t="shared" si="326"/>
        <v>0</v>
      </c>
      <c r="Q457" s="100">
        <v>0</v>
      </c>
      <c r="R457" s="98">
        <v>0</v>
      </c>
      <c r="S457" s="101">
        <f t="shared" si="327"/>
        <v>0</v>
      </c>
      <c r="T457" s="100">
        <v>0</v>
      </c>
      <c r="U457" s="98">
        <v>0</v>
      </c>
      <c r="V457" s="101">
        <f t="shared" si="329"/>
        <v>0</v>
      </c>
      <c r="W457" s="100">
        <v>0</v>
      </c>
      <c r="X457" s="98">
        <v>0</v>
      </c>
      <c r="Y457" s="147">
        <f t="shared" si="328"/>
        <v>0</v>
      </c>
      <c r="Z457" s="150"/>
    </row>
    <row r="458" spans="2:26" s="35" customFormat="1" ht="17.100000000000001" customHeight="1">
      <c r="B458" s="105"/>
      <c r="C458" s="54"/>
      <c r="D458" s="96"/>
      <c r="E458" s="111"/>
      <c r="F458" s="112"/>
      <c r="G458" s="113"/>
      <c r="H458" s="100">
        <v>0</v>
      </c>
      <c r="I458" s="98">
        <v>0</v>
      </c>
      <c r="J458" s="101">
        <f t="shared" si="324"/>
        <v>0</v>
      </c>
      <c r="K458" s="100">
        <v>0</v>
      </c>
      <c r="L458" s="98">
        <v>0</v>
      </c>
      <c r="M458" s="101">
        <f t="shared" si="325"/>
        <v>0</v>
      </c>
      <c r="N458" s="100">
        <v>0</v>
      </c>
      <c r="O458" s="98">
        <v>0</v>
      </c>
      <c r="P458" s="101">
        <f t="shared" si="326"/>
        <v>0</v>
      </c>
      <c r="Q458" s="100">
        <v>0</v>
      </c>
      <c r="R458" s="98">
        <v>0</v>
      </c>
      <c r="S458" s="101">
        <f t="shared" si="327"/>
        <v>0</v>
      </c>
      <c r="T458" s="100">
        <v>0</v>
      </c>
      <c r="U458" s="98">
        <v>0</v>
      </c>
      <c r="V458" s="101">
        <f t="shared" si="329"/>
        <v>0</v>
      </c>
      <c r="W458" s="100">
        <v>0</v>
      </c>
      <c r="X458" s="98">
        <v>0</v>
      </c>
      <c r="Y458" s="147">
        <f t="shared" si="328"/>
        <v>0</v>
      </c>
      <c r="Z458" s="150"/>
    </row>
    <row r="459" spans="2:26" s="35" customFormat="1" ht="17.100000000000001" customHeight="1">
      <c r="B459" s="105"/>
      <c r="C459" s="54"/>
      <c r="D459" s="96"/>
      <c r="E459" s="111"/>
      <c r="F459" s="112"/>
      <c r="G459" s="113"/>
      <c r="H459" s="100">
        <v>0</v>
      </c>
      <c r="I459" s="98">
        <v>0</v>
      </c>
      <c r="J459" s="101">
        <f t="shared" si="324"/>
        <v>0</v>
      </c>
      <c r="K459" s="100">
        <v>0</v>
      </c>
      <c r="L459" s="98">
        <v>0</v>
      </c>
      <c r="M459" s="101">
        <f t="shared" si="325"/>
        <v>0</v>
      </c>
      <c r="N459" s="100">
        <v>0</v>
      </c>
      <c r="O459" s="98">
        <v>0</v>
      </c>
      <c r="P459" s="101">
        <f t="shared" si="326"/>
        <v>0</v>
      </c>
      <c r="Q459" s="100">
        <v>0</v>
      </c>
      <c r="R459" s="98">
        <v>0</v>
      </c>
      <c r="S459" s="101">
        <f t="shared" si="327"/>
        <v>0</v>
      </c>
      <c r="T459" s="100">
        <v>0</v>
      </c>
      <c r="U459" s="98">
        <v>0</v>
      </c>
      <c r="V459" s="101">
        <f t="shared" si="329"/>
        <v>0</v>
      </c>
      <c r="W459" s="100">
        <v>0</v>
      </c>
      <c r="X459" s="98">
        <v>0</v>
      </c>
      <c r="Y459" s="147">
        <f t="shared" si="328"/>
        <v>0</v>
      </c>
      <c r="Z459" s="150"/>
    </row>
    <row r="460" spans="2:26" s="126" customFormat="1" ht="17.100000000000001" customHeight="1">
      <c r="B460" s="118"/>
      <c r="C460" s="119"/>
      <c r="D460" s="120"/>
      <c r="E460" s="121"/>
      <c r="F460" s="122"/>
      <c r="G460" s="123"/>
      <c r="H460" s="341" t="s">
        <v>201</v>
      </c>
      <c r="I460" s="342"/>
      <c r="J460" s="124">
        <f>SUM(J453:J459)</f>
        <v>0</v>
      </c>
      <c r="K460" s="341" t="s">
        <v>201</v>
      </c>
      <c r="L460" s="342"/>
      <c r="M460" s="124">
        <f>SUM(M453:M459)</f>
        <v>0</v>
      </c>
      <c r="N460" s="341" t="s">
        <v>201</v>
      </c>
      <c r="O460" s="342"/>
      <c r="P460" s="124">
        <f>SUM(P453:P459)</f>
        <v>0</v>
      </c>
      <c r="Q460" s="341" t="s">
        <v>201</v>
      </c>
      <c r="R460" s="342"/>
      <c r="S460" s="124">
        <f>SUM(S453:S459)</f>
        <v>0</v>
      </c>
      <c r="T460" s="341" t="s">
        <v>201</v>
      </c>
      <c r="U460" s="342"/>
      <c r="V460" s="124">
        <f>SUM(V453:V459)</f>
        <v>0</v>
      </c>
      <c r="W460" s="341" t="s">
        <v>201</v>
      </c>
      <c r="X460" s="342"/>
      <c r="Y460" s="127">
        <f>SUM(Y453:Y459)</f>
        <v>0</v>
      </c>
      <c r="Z460" s="151"/>
    </row>
    <row r="461" spans="2:26" s="35" customFormat="1" ht="17.100000000000001" customHeight="1">
      <c r="B461" s="105"/>
      <c r="C461" s="54">
        <f>'2. Rekap Back Up Beton'!C76</f>
        <v>15300</v>
      </c>
      <c r="D461" s="96">
        <f>'2. Rekap Back Up Beton'!D76</f>
        <v>15400</v>
      </c>
      <c r="E461" s="111">
        <f>'2. Rekap Back Up Beton'!E76</f>
        <v>6</v>
      </c>
      <c r="F461" s="112">
        <f>(100/((D461-C461)*E461))*((J468*0.5)+(M468*1)+(P468*2)+(S468*20)+(V468*15)+(Y468*1.5))</f>
        <v>0</v>
      </c>
      <c r="G461" s="113" t="str">
        <f>IF(F461&lt;=25,"B",IF(F461&lt;=75,"S",IF(F461&lt;=100,"RR","RB")))</f>
        <v>B</v>
      </c>
      <c r="H461" s="100">
        <v>0</v>
      </c>
      <c r="I461" s="98">
        <v>0</v>
      </c>
      <c r="J461" s="101">
        <f t="shared" ref="J461:J467" si="330">H461*I461</f>
        <v>0</v>
      </c>
      <c r="K461" s="100">
        <v>0</v>
      </c>
      <c r="L461" s="98">
        <v>0</v>
      </c>
      <c r="M461" s="101">
        <f t="shared" ref="M461:M467" si="331">K461*L461</f>
        <v>0</v>
      </c>
      <c r="N461" s="100">
        <v>0</v>
      </c>
      <c r="O461" s="98">
        <v>4</v>
      </c>
      <c r="P461" s="101">
        <f t="shared" ref="P461:P467" si="332">N461*O461</f>
        <v>0</v>
      </c>
      <c r="Q461" s="100">
        <v>0</v>
      </c>
      <c r="R461" s="98">
        <v>0</v>
      </c>
      <c r="S461" s="101">
        <f t="shared" ref="S461:S467" si="333">Q461*R461</f>
        <v>0</v>
      </c>
      <c r="T461" s="100">
        <v>0</v>
      </c>
      <c r="U461" s="98">
        <v>0</v>
      </c>
      <c r="V461" s="101">
        <f>T461*U461</f>
        <v>0</v>
      </c>
      <c r="W461" s="100">
        <v>0</v>
      </c>
      <c r="X461" s="98">
        <v>0</v>
      </c>
      <c r="Y461" s="147">
        <f t="shared" ref="Y461:Y467" si="334">W461*X461</f>
        <v>0</v>
      </c>
      <c r="Z461" s="150"/>
    </row>
    <row r="462" spans="2:26" s="35" customFormat="1" ht="17.100000000000001" customHeight="1">
      <c r="B462" s="105"/>
      <c r="C462" s="54"/>
      <c r="D462" s="96"/>
      <c r="E462" s="111"/>
      <c r="F462" s="112"/>
      <c r="G462" s="113"/>
      <c r="H462" s="100">
        <v>0</v>
      </c>
      <c r="I462" s="98">
        <v>0</v>
      </c>
      <c r="J462" s="101">
        <f t="shared" si="330"/>
        <v>0</v>
      </c>
      <c r="K462" s="100">
        <v>0</v>
      </c>
      <c r="L462" s="98">
        <v>0</v>
      </c>
      <c r="M462" s="101">
        <f t="shared" si="331"/>
        <v>0</v>
      </c>
      <c r="N462" s="100">
        <v>0</v>
      </c>
      <c r="O462" s="98">
        <v>0</v>
      </c>
      <c r="P462" s="101">
        <f t="shared" si="332"/>
        <v>0</v>
      </c>
      <c r="Q462" s="100">
        <v>0</v>
      </c>
      <c r="R462" s="98">
        <v>0</v>
      </c>
      <c r="S462" s="101">
        <f t="shared" si="333"/>
        <v>0</v>
      </c>
      <c r="T462" s="100">
        <v>0</v>
      </c>
      <c r="U462" s="98">
        <v>0</v>
      </c>
      <c r="V462" s="101">
        <f t="shared" ref="V462:V467" si="335">T462*U462</f>
        <v>0</v>
      </c>
      <c r="W462" s="100">
        <v>0</v>
      </c>
      <c r="X462" s="98">
        <v>0</v>
      </c>
      <c r="Y462" s="147">
        <f t="shared" si="334"/>
        <v>0</v>
      </c>
      <c r="Z462" s="150"/>
    </row>
    <row r="463" spans="2:26" s="35" customFormat="1" ht="17.100000000000001" customHeight="1">
      <c r="B463" s="105"/>
      <c r="C463" s="54"/>
      <c r="D463" s="96"/>
      <c r="E463" s="111"/>
      <c r="F463" s="112"/>
      <c r="G463" s="113"/>
      <c r="H463" s="100">
        <v>0</v>
      </c>
      <c r="I463" s="98">
        <v>0</v>
      </c>
      <c r="J463" s="101">
        <f t="shared" si="330"/>
        <v>0</v>
      </c>
      <c r="K463" s="100">
        <v>0</v>
      </c>
      <c r="L463" s="98">
        <v>0</v>
      </c>
      <c r="M463" s="101">
        <f t="shared" si="331"/>
        <v>0</v>
      </c>
      <c r="N463" s="100">
        <v>0</v>
      </c>
      <c r="O463" s="98">
        <v>0</v>
      </c>
      <c r="P463" s="101">
        <f t="shared" si="332"/>
        <v>0</v>
      </c>
      <c r="Q463" s="100">
        <v>0</v>
      </c>
      <c r="R463" s="98">
        <v>0</v>
      </c>
      <c r="S463" s="101">
        <f t="shared" si="333"/>
        <v>0</v>
      </c>
      <c r="T463" s="100">
        <v>0</v>
      </c>
      <c r="U463" s="98">
        <v>0</v>
      </c>
      <c r="V463" s="101">
        <f t="shared" si="335"/>
        <v>0</v>
      </c>
      <c r="W463" s="100">
        <v>0</v>
      </c>
      <c r="X463" s="98">
        <v>0</v>
      </c>
      <c r="Y463" s="147">
        <f t="shared" si="334"/>
        <v>0</v>
      </c>
      <c r="Z463" s="150"/>
    </row>
    <row r="464" spans="2:26" s="35" customFormat="1" ht="17.100000000000001" customHeight="1">
      <c r="B464" s="105"/>
      <c r="C464" s="54"/>
      <c r="D464" s="96"/>
      <c r="E464" s="111"/>
      <c r="F464" s="112"/>
      <c r="G464" s="113"/>
      <c r="H464" s="100">
        <v>0</v>
      </c>
      <c r="I464" s="98">
        <v>0</v>
      </c>
      <c r="J464" s="101">
        <f t="shared" si="330"/>
        <v>0</v>
      </c>
      <c r="K464" s="100">
        <v>0</v>
      </c>
      <c r="L464" s="98">
        <v>0</v>
      </c>
      <c r="M464" s="101">
        <f t="shared" si="331"/>
        <v>0</v>
      </c>
      <c r="N464" s="100">
        <v>0</v>
      </c>
      <c r="O464" s="98">
        <v>0</v>
      </c>
      <c r="P464" s="101">
        <f t="shared" si="332"/>
        <v>0</v>
      </c>
      <c r="Q464" s="100">
        <v>0</v>
      </c>
      <c r="R464" s="98">
        <v>0</v>
      </c>
      <c r="S464" s="101">
        <f t="shared" si="333"/>
        <v>0</v>
      </c>
      <c r="T464" s="100">
        <v>0</v>
      </c>
      <c r="U464" s="98">
        <v>0</v>
      </c>
      <c r="V464" s="101">
        <f t="shared" si="335"/>
        <v>0</v>
      </c>
      <c r="W464" s="100">
        <v>0</v>
      </c>
      <c r="X464" s="98">
        <v>0</v>
      </c>
      <c r="Y464" s="147">
        <f t="shared" si="334"/>
        <v>0</v>
      </c>
      <c r="Z464" s="150"/>
    </row>
    <row r="465" spans="2:26" s="35" customFormat="1" ht="17.100000000000001" customHeight="1">
      <c r="B465" s="105"/>
      <c r="C465" s="54"/>
      <c r="D465" s="96"/>
      <c r="E465" s="111"/>
      <c r="F465" s="112"/>
      <c r="G465" s="113"/>
      <c r="H465" s="100">
        <v>0</v>
      </c>
      <c r="I465" s="98">
        <v>0</v>
      </c>
      <c r="J465" s="101">
        <f t="shared" si="330"/>
        <v>0</v>
      </c>
      <c r="K465" s="100">
        <v>0</v>
      </c>
      <c r="L465" s="98">
        <v>0</v>
      </c>
      <c r="M465" s="101">
        <f t="shared" si="331"/>
        <v>0</v>
      </c>
      <c r="N465" s="100">
        <v>0</v>
      </c>
      <c r="O465" s="98">
        <v>0</v>
      </c>
      <c r="P465" s="101">
        <f t="shared" si="332"/>
        <v>0</v>
      </c>
      <c r="Q465" s="100">
        <v>0</v>
      </c>
      <c r="R465" s="98">
        <v>0</v>
      </c>
      <c r="S465" s="101">
        <f t="shared" si="333"/>
        <v>0</v>
      </c>
      <c r="T465" s="100">
        <v>0</v>
      </c>
      <c r="U465" s="98">
        <v>0</v>
      </c>
      <c r="V465" s="101">
        <f t="shared" si="335"/>
        <v>0</v>
      </c>
      <c r="W465" s="100">
        <v>0</v>
      </c>
      <c r="X465" s="98">
        <v>0</v>
      </c>
      <c r="Y465" s="147">
        <f t="shared" si="334"/>
        <v>0</v>
      </c>
      <c r="Z465" s="150"/>
    </row>
    <row r="466" spans="2:26" s="35" customFormat="1" ht="17.100000000000001" customHeight="1">
      <c r="B466" s="105"/>
      <c r="C466" s="54"/>
      <c r="D466" s="96"/>
      <c r="E466" s="111"/>
      <c r="F466" s="112"/>
      <c r="G466" s="113"/>
      <c r="H466" s="100">
        <v>0</v>
      </c>
      <c r="I466" s="98">
        <v>0</v>
      </c>
      <c r="J466" s="101">
        <f t="shared" si="330"/>
        <v>0</v>
      </c>
      <c r="K466" s="100">
        <v>0</v>
      </c>
      <c r="L466" s="98">
        <v>0</v>
      </c>
      <c r="M466" s="101">
        <f t="shared" si="331"/>
        <v>0</v>
      </c>
      <c r="N466" s="100">
        <v>0</v>
      </c>
      <c r="O466" s="98">
        <v>0</v>
      </c>
      <c r="P466" s="101">
        <f t="shared" si="332"/>
        <v>0</v>
      </c>
      <c r="Q466" s="100">
        <v>0</v>
      </c>
      <c r="R466" s="98">
        <v>0</v>
      </c>
      <c r="S466" s="101">
        <f t="shared" si="333"/>
        <v>0</v>
      </c>
      <c r="T466" s="100">
        <v>0</v>
      </c>
      <c r="U466" s="98">
        <v>0</v>
      </c>
      <c r="V466" s="101">
        <f t="shared" si="335"/>
        <v>0</v>
      </c>
      <c r="W466" s="100">
        <v>0</v>
      </c>
      <c r="X466" s="98">
        <v>0</v>
      </c>
      <c r="Y466" s="147">
        <f t="shared" si="334"/>
        <v>0</v>
      </c>
      <c r="Z466" s="150"/>
    </row>
    <row r="467" spans="2:26" s="35" customFormat="1" ht="17.100000000000001" customHeight="1">
      <c r="B467" s="105"/>
      <c r="C467" s="54"/>
      <c r="D467" s="96"/>
      <c r="E467" s="111"/>
      <c r="F467" s="112"/>
      <c r="G467" s="113"/>
      <c r="H467" s="100">
        <v>0</v>
      </c>
      <c r="I467" s="98">
        <v>0</v>
      </c>
      <c r="J467" s="101">
        <f t="shared" si="330"/>
        <v>0</v>
      </c>
      <c r="K467" s="100">
        <v>0</v>
      </c>
      <c r="L467" s="98">
        <v>0</v>
      </c>
      <c r="M467" s="101">
        <f t="shared" si="331"/>
        <v>0</v>
      </c>
      <c r="N467" s="100">
        <v>0</v>
      </c>
      <c r="O467" s="98">
        <v>0</v>
      </c>
      <c r="P467" s="101">
        <f t="shared" si="332"/>
        <v>0</v>
      </c>
      <c r="Q467" s="100">
        <v>0</v>
      </c>
      <c r="R467" s="98">
        <v>0</v>
      </c>
      <c r="S467" s="101">
        <f t="shared" si="333"/>
        <v>0</v>
      </c>
      <c r="T467" s="100">
        <v>0</v>
      </c>
      <c r="U467" s="98">
        <v>0</v>
      </c>
      <c r="V467" s="101">
        <f t="shared" si="335"/>
        <v>0</v>
      </c>
      <c r="W467" s="100">
        <v>0</v>
      </c>
      <c r="X467" s="98">
        <v>0</v>
      </c>
      <c r="Y467" s="147">
        <f t="shared" si="334"/>
        <v>0</v>
      </c>
      <c r="Z467" s="150"/>
    </row>
    <row r="468" spans="2:26" s="126" customFormat="1" ht="17.100000000000001" customHeight="1" thickBot="1">
      <c r="B468" s="128"/>
      <c r="C468" s="154"/>
      <c r="D468" s="155"/>
      <c r="E468" s="156"/>
      <c r="F468" s="129"/>
      <c r="G468" s="130"/>
      <c r="H468" s="344" t="s">
        <v>201</v>
      </c>
      <c r="I468" s="345"/>
      <c r="J468" s="131">
        <f>SUM(J461:J467)</f>
        <v>0</v>
      </c>
      <c r="K468" s="344" t="s">
        <v>201</v>
      </c>
      <c r="L468" s="345"/>
      <c r="M468" s="131">
        <f>SUM(M461:M467)</f>
        <v>0</v>
      </c>
      <c r="N468" s="344" t="s">
        <v>201</v>
      </c>
      <c r="O468" s="345"/>
      <c r="P468" s="131">
        <f>SUM(P461:P467)</f>
        <v>0</v>
      </c>
      <c r="Q468" s="344" t="s">
        <v>201</v>
      </c>
      <c r="R468" s="345"/>
      <c r="S468" s="131">
        <f>SUM(S461:S467)</f>
        <v>0</v>
      </c>
      <c r="T468" s="344" t="s">
        <v>201</v>
      </c>
      <c r="U468" s="345"/>
      <c r="V468" s="131">
        <f>SUM(V461:V467)</f>
        <v>0</v>
      </c>
      <c r="W468" s="344" t="s">
        <v>201</v>
      </c>
      <c r="X468" s="345"/>
      <c r="Y468" s="132">
        <f>SUM(Y461:Y467)</f>
        <v>0</v>
      </c>
      <c r="Z468" s="152"/>
    </row>
    <row r="469" spans="2:26" s="35" customFormat="1" ht="17.100000000000001" customHeight="1">
      <c r="B469" s="114"/>
      <c r="C469" s="157">
        <f>'2. Rekap Back Up Beton'!C77</f>
        <v>15400</v>
      </c>
      <c r="D469" s="158">
        <f>'2. Rekap Back Up Beton'!D77</f>
        <v>15500</v>
      </c>
      <c r="E469" s="159">
        <f>'2. Rekap Back Up Beton'!E77</f>
        <v>6</v>
      </c>
      <c r="F469" s="115">
        <f>(100/((D469-C469)*E469))*((J476*0.5)+(M476*1)+(P476*2)+(S476*20)+(V476*15)+(Y476*1.5))</f>
        <v>0</v>
      </c>
      <c r="G469" s="116" t="str">
        <f>IF(F469&lt;=25,"B",IF(F469&lt;=75,"S",IF(F469&lt;=100,"RR","RB")))</f>
        <v>B</v>
      </c>
      <c r="H469" s="135">
        <v>0</v>
      </c>
      <c r="I469" s="136">
        <v>0</v>
      </c>
      <c r="J469" s="137">
        <f t="shared" ref="J469:J475" si="336">H469*I469</f>
        <v>0</v>
      </c>
      <c r="K469" s="135">
        <v>0</v>
      </c>
      <c r="L469" s="136">
        <v>0</v>
      </c>
      <c r="M469" s="137">
        <f t="shared" ref="M469:M475" si="337">K469*L469</f>
        <v>0</v>
      </c>
      <c r="N469" s="135">
        <v>0</v>
      </c>
      <c r="O469" s="136">
        <v>4</v>
      </c>
      <c r="P469" s="137">
        <f t="shared" ref="P469:P475" si="338">N469*O469</f>
        <v>0</v>
      </c>
      <c r="Q469" s="135">
        <v>0</v>
      </c>
      <c r="R469" s="136">
        <v>0</v>
      </c>
      <c r="S469" s="137">
        <f t="shared" ref="S469:S475" si="339">Q469*R469</f>
        <v>0</v>
      </c>
      <c r="T469" s="135">
        <v>0</v>
      </c>
      <c r="U469" s="136">
        <v>0</v>
      </c>
      <c r="V469" s="137">
        <f>T469*U469</f>
        <v>0</v>
      </c>
      <c r="W469" s="135">
        <v>0</v>
      </c>
      <c r="X469" s="136">
        <v>0</v>
      </c>
      <c r="Y469" s="148">
        <f t="shared" ref="Y469:Y475" si="340">W469*X469</f>
        <v>0</v>
      </c>
      <c r="Z469" s="153"/>
    </row>
    <row r="470" spans="2:26" s="35" customFormat="1" ht="17.100000000000001" customHeight="1">
      <c r="B470" s="105"/>
      <c r="C470" s="54"/>
      <c r="D470" s="96"/>
      <c r="E470" s="111"/>
      <c r="F470" s="112"/>
      <c r="G470" s="113"/>
      <c r="H470" s="100">
        <v>0</v>
      </c>
      <c r="I470" s="98">
        <v>0</v>
      </c>
      <c r="J470" s="101">
        <f t="shared" si="336"/>
        <v>0</v>
      </c>
      <c r="K470" s="100">
        <v>0</v>
      </c>
      <c r="L470" s="98">
        <v>0</v>
      </c>
      <c r="M470" s="101">
        <f t="shared" si="337"/>
        <v>0</v>
      </c>
      <c r="N470" s="100">
        <v>0</v>
      </c>
      <c r="O470" s="98">
        <v>0</v>
      </c>
      <c r="P470" s="101">
        <f t="shared" si="338"/>
        <v>0</v>
      </c>
      <c r="Q470" s="100">
        <v>0</v>
      </c>
      <c r="R470" s="98">
        <v>0</v>
      </c>
      <c r="S470" s="101">
        <f t="shared" si="339"/>
        <v>0</v>
      </c>
      <c r="T470" s="100">
        <v>0</v>
      </c>
      <c r="U470" s="98">
        <v>0</v>
      </c>
      <c r="V470" s="101">
        <f t="shared" ref="V470:V475" si="341">T470*U470</f>
        <v>0</v>
      </c>
      <c r="W470" s="100">
        <v>0</v>
      </c>
      <c r="X470" s="98">
        <v>0</v>
      </c>
      <c r="Y470" s="147">
        <f t="shared" si="340"/>
        <v>0</v>
      </c>
      <c r="Z470" s="150"/>
    </row>
    <row r="471" spans="2:26" s="35" customFormat="1" ht="17.100000000000001" customHeight="1">
      <c r="B471" s="105"/>
      <c r="C471" s="54"/>
      <c r="D471" s="96"/>
      <c r="E471" s="111"/>
      <c r="F471" s="112"/>
      <c r="G471" s="113"/>
      <c r="H471" s="100">
        <v>0</v>
      </c>
      <c r="I471" s="98">
        <v>0</v>
      </c>
      <c r="J471" s="101">
        <f t="shared" si="336"/>
        <v>0</v>
      </c>
      <c r="K471" s="100">
        <v>0</v>
      </c>
      <c r="L471" s="98">
        <v>0</v>
      </c>
      <c r="M471" s="101">
        <f t="shared" si="337"/>
        <v>0</v>
      </c>
      <c r="N471" s="100">
        <v>0</v>
      </c>
      <c r="O471" s="98">
        <v>0</v>
      </c>
      <c r="P471" s="101">
        <f t="shared" si="338"/>
        <v>0</v>
      </c>
      <c r="Q471" s="100">
        <v>0</v>
      </c>
      <c r="R471" s="98">
        <v>0</v>
      </c>
      <c r="S471" s="101">
        <f t="shared" si="339"/>
        <v>0</v>
      </c>
      <c r="T471" s="100">
        <v>0</v>
      </c>
      <c r="U471" s="98">
        <v>0</v>
      </c>
      <c r="V471" s="101">
        <f t="shared" si="341"/>
        <v>0</v>
      </c>
      <c r="W471" s="100">
        <v>0</v>
      </c>
      <c r="X471" s="98">
        <v>0</v>
      </c>
      <c r="Y471" s="147">
        <f t="shared" si="340"/>
        <v>0</v>
      </c>
      <c r="Z471" s="150"/>
    </row>
    <row r="472" spans="2:26" s="35" customFormat="1" ht="17.100000000000001" customHeight="1">
      <c r="B472" s="105"/>
      <c r="C472" s="54"/>
      <c r="D472" s="96"/>
      <c r="E472" s="111"/>
      <c r="F472" s="112"/>
      <c r="G472" s="113"/>
      <c r="H472" s="100">
        <v>0</v>
      </c>
      <c r="I472" s="98">
        <v>0</v>
      </c>
      <c r="J472" s="101">
        <f t="shared" si="336"/>
        <v>0</v>
      </c>
      <c r="K472" s="100">
        <v>0</v>
      </c>
      <c r="L472" s="98">
        <v>0</v>
      </c>
      <c r="M472" s="101">
        <f t="shared" si="337"/>
        <v>0</v>
      </c>
      <c r="N472" s="100">
        <v>0</v>
      </c>
      <c r="O472" s="98">
        <v>0</v>
      </c>
      <c r="P472" s="101">
        <f t="shared" si="338"/>
        <v>0</v>
      </c>
      <c r="Q472" s="100">
        <v>0</v>
      </c>
      <c r="R472" s="98">
        <v>0</v>
      </c>
      <c r="S472" s="101">
        <f t="shared" si="339"/>
        <v>0</v>
      </c>
      <c r="T472" s="100">
        <v>0</v>
      </c>
      <c r="U472" s="98">
        <v>0</v>
      </c>
      <c r="V472" s="101">
        <f t="shared" si="341"/>
        <v>0</v>
      </c>
      <c r="W472" s="100">
        <v>0</v>
      </c>
      <c r="X472" s="98">
        <v>0</v>
      </c>
      <c r="Y472" s="147">
        <f t="shared" si="340"/>
        <v>0</v>
      </c>
      <c r="Z472" s="150"/>
    </row>
    <row r="473" spans="2:26" s="35" customFormat="1" ht="17.100000000000001" customHeight="1">
      <c r="B473" s="105"/>
      <c r="C473" s="54"/>
      <c r="D473" s="96"/>
      <c r="E473" s="111"/>
      <c r="F473" s="112"/>
      <c r="G473" s="113"/>
      <c r="H473" s="100">
        <v>0</v>
      </c>
      <c r="I473" s="98">
        <v>0</v>
      </c>
      <c r="J473" s="101">
        <f t="shared" si="336"/>
        <v>0</v>
      </c>
      <c r="K473" s="100">
        <v>0</v>
      </c>
      <c r="L473" s="98">
        <v>0</v>
      </c>
      <c r="M473" s="101">
        <f t="shared" si="337"/>
        <v>0</v>
      </c>
      <c r="N473" s="100">
        <v>0</v>
      </c>
      <c r="O473" s="98">
        <v>0</v>
      </c>
      <c r="P473" s="101">
        <f t="shared" si="338"/>
        <v>0</v>
      </c>
      <c r="Q473" s="100">
        <v>0</v>
      </c>
      <c r="R473" s="98">
        <v>0</v>
      </c>
      <c r="S473" s="101">
        <f t="shared" si="339"/>
        <v>0</v>
      </c>
      <c r="T473" s="100">
        <v>0</v>
      </c>
      <c r="U473" s="98">
        <v>0</v>
      </c>
      <c r="V473" s="101">
        <f t="shared" si="341"/>
        <v>0</v>
      </c>
      <c r="W473" s="100">
        <v>0</v>
      </c>
      <c r="X473" s="98">
        <v>0</v>
      </c>
      <c r="Y473" s="147">
        <f t="shared" si="340"/>
        <v>0</v>
      </c>
      <c r="Z473" s="150"/>
    </row>
    <row r="474" spans="2:26" s="35" customFormat="1" ht="17.100000000000001" customHeight="1">
      <c r="B474" s="105"/>
      <c r="C474" s="54"/>
      <c r="D474" s="96"/>
      <c r="E474" s="111"/>
      <c r="F474" s="112"/>
      <c r="G474" s="113"/>
      <c r="H474" s="100">
        <v>0</v>
      </c>
      <c r="I474" s="98">
        <v>0</v>
      </c>
      <c r="J474" s="101">
        <f t="shared" si="336"/>
        <v>0</v>
      </c>
      <c r="K474" s="100">
        <v>0</v>
      </c>
      <c r="L474" s="98">
        <v>0</v>
      </c>
      <c r="M474" s="101">
        <f t="shared" si="337"/>
        <v>0</v>
      </c>
      <c r="N474" s="100">
        <v>0</v>
      </c>
      <c r="O474" s="98">
        <v>0</v>
      </c>
      <c r="P474" s="101">
        <f t="shared" si="338"/>
        <v>0</v>
      </c>
      <c r="Q474" s="100">
        <v>0</v>
      </c>
      <c r="R474" s="98">
        <v>0</v>
      </c>
      <c r="S474" s="101">
        <f t="shared" si="339"/>
        <v>0</v>
      </c>
      <c r="T474" s="100">
        <v>0</v>
      </c>
      <c r="U474" s="98">
        <v>0</v>
      </c>
      <c r="V474" s="101">
        <f t="shared" si="341"/>
        <v>0</v>
      </c>
      <c r="W474" s="100">
        <v>0</v>
      </c>
      <c r="X474" s="98">
        <v>0</v>
      </c>
      <c r="Y474" s="147">
        <f t="shared" si="340"/>
        <v>0</v>
      </c>
      <c r="Z474" s="150"/>
    </row>
    <row r="475" spans="2:26" s="35" customFormat="1" ht="17.100000000000001" customHeight="1">
      <c r="B475" s="105"/>
      <c r="C475" s="54"/>
      <c r="D475" s="96"/>
      <c r="E475" s="111"/>
      <c r="F475" s="112"/>
      <c r="G475" s="113"/>
      <c r="H475" s="100">
        <v>0</v>
      </c>
      <c r="I475" s="98">
        <v>0</v>
      </c>
      <c r="J475" s="101">
        <f t="shared" si="336"/>
        <v>0</v>
      </c>
      <c r="K475" s="100">
        <v>0</v>
      </c>
      <c r="L475" s="98">
        <v>0</v>
      </c>
      <c r="M475" s="101">
        <f t="shared" si="337"/>
        <v>0</v>
      </c>
      <c r="N475" s="100">
        <v>0</v>
      </c>
      <c r="O475" s="98">
        <v>0</v>
      </c>
      <c r="P475" s="101">
        <f t="shared" si="338"/>
        <v>0</v>
      </c>
      <c r="Q475" s="100">
        <v>0</v>
      </c>
      <c r="R475" s="98">
        <v>0</v>
      </c>
      <c r="S475" s="101">
        <f t="shared" si="339"/>
        <v>0</v>
      </c>
      <c r="T475" s="100">
        <v>0</v>
      </c>
      <c r="U475" s="98">
        <v>0</v>
      </c>
      <c r="V475" s="101">
        <f t="shared" si="341"/>
        <v>0</v>
      </c>
      <c r="W475" s="100">
        <v>0</v>
      </c>
      <c r="X475" s="98">
        <v>0</v>
      </c>
      <c r="Y475" s="147">
        <f t="shared" si="340"/>
        <v>0</v>
      </c>
      <c r="Z475" s="150"/>
    </row>
    <row r="476" spans="2:26" s="126" customFormat="1" ht="17.100000000000001" customHeight="1">
      <c r="B476" s="118"/>
      <c r="C476" s="119"/>
      <c r="D476" s="120"/>
      <c r="E476" s="121"/>
      <c r="F476" s="122"/>
      <c r="G476" s="123"/>
      <c r="H476" s="341" t="s">
        <v>201</v>
      </c>
      <c r="I476" s="342"/>
      <c r="J476" s="124">
        <f>SUM(J469:J475)</f>
        <v>0</v>
      </c>
      <c r="K476" s="341" t="s">
        <v>201</v>
      </c>
      <c r="L476" s="342"/>
      <c r="M476" s="124">
        <f>SUM(M469:M475)</f>
        <v>0</v>
      </c>
      <c r="N476" s="341" t="s">
        <v>201</v>
      </c>
      <c r="O476" s="342"/>
      <c r="P476" s="124">
        <f>SUM(P469:P475)</f>
        <v>0</v>
      </c>
      <c r="Q476" s="341" t="s">
        <v>201</v>
      </c>
      <c r="R476" s="342"/>
      <c r="S476" s="124">
        <f>SUM(S469:S475)</f>
        <v>0</v>
      </c>
      <c r="T476" s="341" t="s">
        <v>201</v>
      </c>
      <c r="U476" s="342"/>
      <c r="V476" s="124">
        <f>SUM(V469:V475)</f>
        <v>0</v>
      </c>
      <c r="W476" s="341" t="s">
        <v>201</v>
      </c>
      <c r="X476" s="342"/>
      <c r="Y476" s="127">
        <f>SUM(Y469:Y475)</f>
        <v>0</v>
      </c>
      <c r="Z476" s="151"/>
    </row>
    <row r="477" spans="2:26" s="35" customFormat="1" ht="17.100000000000001" customHeight="1">
      <c r="B477" s="105"/>
      <c r="C477" s="54">
        <f>'2. Rekap Back Up Beton'!C78</f>
        <v>15500</v>
      </c>
      <c r="D477" s="96">
        <f>'2. Rekap Back Up Beton'!D78</f>
        <v>15600</v>
      </c>
      <c r="E477" s="111">
        <f>'2. Rekap Back Up Beton'!E78</f>
        <v>6</v>
      </c>
      <c r="F477" s="112">
        <f>(100/((D477-C477)*E477))*((J484*0.5)+(M484*1)+(P484*2)+(S484*20)+(V484*15)+(Y484*1.5))</f>
        <v>0</v>
      </c>
      <c r="G477" s="113" t="str">
        <f>IF(F477&lt;=25,"B",IF(F477&lt;=75,"S",IF(F477&lt;=100,"RR","RB")))</f>
        <v>B</v>
      </c>
      <c r="H477" s="100">
        <v>0</v>
      </c>
      <c r="I477" s="98">
        <v>0</v>
      </c>
      <c r="J477" s="101">
        <f t="shared" ref="J477:J483" si="342">H477*I477</f>
        <v>0</v>
      </c>
      <c r="K477" s="100">
        <v>0</v>
      </c>
      <c r="L477" s="98">
        <v>0</v>
      </c>
      <c r="M477" s="101">
        <f t="shared" ref="M477:M483" si="343">K477*L477</f>
        <v>0</v>
      </c>
      <c r="N477" s="100">
        <v>0</v>
      </c>
      <c r="O477" s="98">
        <v>4</v>
      </c>
      <c r="P477" s="101">
        <f t="shared" ref="P477:P483" si="344">N477*O477</f>
        <v>0</v>
      </c>
      <c r="Q477" s="100">
        <v>0</v>
      </c>
      <c r="R477" s="98">
        <v>0</v>
      </c>
      <c r="S477" s="101">
        <f t="shared" ref="S477:S483" si="345">Q477*R477</f>
        <v>0</v>
      </c>
      <c r="T477" s="100">
        <v>0</v>
      </c>
      <c r="U477" s="98">
        <v>0</v>
      </c>
      <c r="V477" s="101">
        <f>T477*U477</f>
        <v>0</v>
      </c>
      <c r="W477" s="100">
        <v>0</v>
      </c>
      <c r="X477" s="98">
        <v>0</v>
      </c>
      <c r="Y477" s="147">
        <f t="shared" ref="Y477:Y483" si="346">W477*X477</f>
        <v>0</v>
      </c>
      <c r="Z477" s="150"/>
    </row>
    <row r="478" spans="2:26" s="35" customFormat="1" ht="17.100000000000001" customHeight="1">
      <c r="B478" s="105"/>
      <c r="C478" s="54"/>
      <c r="D478" s="96"/>
      <c r="E478" s="111"/>
      <c r="F478" s="112"/>
      <c r="G478" s="113"/>
      <c r="H478" s="100">
        <v>0</v>
      </c>
      <c r="I478" s="98">
        <v>0</v>
      </c>
      <c r="J478" s="101">
        <f t="shared" si="342"/>
        <v>0</v>
      </c>
      <c r="K478" s="100">
        <v>0</v>
      </c>
      <c r="L478" s="98">
        <v>0</v>
      </c>
      <c r="M478" s="101">
        <f t="shared" si="343"/>
        <v>0</v>
      </c>
      <c r="N478" s="100">
        <v>0</v>
      </c>
      <c r="O478" s="98">
        <v>0</v>
      </c>
      <c r="P478" s="101">
        <f t="shared" si="344"/>
        <v>0</v>
      </c>
      <c r="Q478" s="100">
        <v>0</v>
      </c>
      <c r="R478" s="98">
        <v>0</v>
      </c>
      <c r="S478" s="101">
        <f t="shared" si="345"/>
        <v>0</v>
      </c>
      <c r="T478" s="100">
        <v>0</v>
      </c>
      <c r="U478" s="98">
        <v>0</v>
      </c>
      <c r="V478" s="101">
        <f t="shared" ref="V478:V483" si="347">T478*U478</f>
        <v>0</v>
      </c>
      <c r="W478" s="100">
        <v>0</v>
      </c>
      <c r="X478" s="98">
        <v>0</v>
      </c>
      <c r="Y478" s="147">
        <f t="shared" si="346"/>
        <v>0</v>
      </c>
      <c r="Z478" s="150"/>
    </row>
    <row r="479" spans="2:26" s="35" customFormat="1" ht="17.100000000000001" customHeight="1">
      <c r="B479" s="105"/>
      <c r="C479" s="54"/>
      <c r="D479" s="96"/>
      <c r="E479" s="111"/>
      <c r="F479" s="112"/>
      <c r="G479" s="113"/>
      <c r="H479" s="100">
        <v>0</v>
      </c>
      <c r="I479" s="98">
        <v>0</v>
      </c>
      <c r="J479" s="101">
        <f t="shared" si="342"/>
        <v>0</v>
      </c>
      <c r="K479" s="100">
        <v>0</v>
      </c>
      <c r="L479" s="98">
        <v>0</v>
      </c>
      <c r="M479" s="101">
        <f t="shared" si="343"/>
        <v>0</v>
      </c>
      <c r="N479" s="100">
        <v>0</v>
      </c>
      <c r="O479" s="98">
        <v>0</v>
      </c>
      <c r="P479" s="101">
        <f t="shared" si="344"/>
        <v>0</v>
      </c>
      <c r="Q479" s="100">
        <v>0</v>
      </c>
      <c r="R479" s="98">
        <v>0</v>
      </c>
      <c r="S479" s="101">
        <f t="shared" si="345"/>
        <v>0</v>
      </c>
      <c r="T479" s="100">
        <v>0</v>
      </c>
      <c r="U479" s="98">
        <v>0</v>
      </c>
      <c r="V479" s="101">
        <f t="shared" si="347"/>
        <v>0</v>
      </c>
      <c r="W479" s="100">
        <v>0</v>
      </c>
      <c r="X479" s="98">
        <v>0</v>
      </c>
      <c r="Y479" s="147">
        <f t="shared" si="346"/>
        <v>0</v>
      </c>
      <c r="Z479" s="150"/>
    </row>
    <row r="480" spans="2:26" s="35" customFormat="1" ht="17.100000000000001" customHeight="1">
      <c r="B480" s="105"/>
      <c r="C480" s="54"/>
      <c r="D480" s="96"/>
      <c r="E480" s="111"/>
      <c r="F480" s="112"/>
      <c r="G480" s="113"/>
      <c r="H480" s="100">
        <v>0</v>
      </c>
      <c r="I480" s="98">
        <v>0</v>
      </c>
      <c r="J480" s="101">
        <f t="shared" si="342"/>
        <v>0</v>
      </c>
      <c r="K480" s="100">
        <v>0</v>
      </c>
      <c r="L480" s="98">
        <v>0</v>
      </c>
      <c r="M480" s="101">
        <f t="shared" si="343"/>
        <v>0</v>
      </c>
      <c r="N480" s="100">
        <v>0</v>
      </c>
      <c r="O480" s="98">
        <v>0</v>
      </c>
      <c r="P480" s="101">
        <f t="shared" si="344"/>
        <v>0</v>
      </c>
      <c r="Q480" s="100">
        <v>0</v>
      </c>
      <c r="R480" s="98">
        <v>0</v>
      </c>
      <c r="S480" s="101">
        <f t="shared" si="345"/>
        <v>0</v>
      </c>
      <c r="T480" s="100">
        <v>0</v>
      </c>
      <c r="U480" s="98">
        <v>0</v>
      </c>
      <c r="V480" s="101">
        <f t="shared" si="347"/>
        <v>0</v>
      </c>
      <c r="W480" s="100">
        <v>0</v>
      </c>
      <c r="X480" s="98">
        <v>0</v>
      </c>
      <c r="Y480" s="147">
        <f t="shared" si="346"/>
        <v>0</v>
      </c>
      <c r="Z480" s="150"/>
    </row>
    <row r="481" spans="2:26" s="35" customFormat="1" ht="17.100000000000001" customHeight="1">
      <c r="B481" s="105"/>
      <c r="C481" s="54"/>
      <c r="D481" s="96"/>
      <c r="E481" s="111"/>
      <c r="F481" s="112"/>
      <c r="G481" s="113"/>
      <c r="H481" s="100">
        <v>0</v>
      </c>
      <c r="I481" s="98">
        <v>0</v>
      </c>
      <c r="J481" s="101">
        <f t="shared" si="342"/>
        <v>0</v>
      </c>
      <c r="K481" s="100">
        <v>0</v>
      </c>
      <c r="L481" s="98">
        <v>0</v>
      </c>
      <c r="M481" s="101">
        <f t="shared" si="343"/>
        <v>0</v>
      </c>
      <c r="N481" s="100">
        <v>0</v>
      </c>
      <c r="O481" s="98">
        <v>0</v>
      </c>
      <c r="P481" s="101">
        <f t="shared" si="344"/>
        <v>0</v>
      </c>
      <c r="Q481" s="100">
        <v>0</v>
      </c>
      <c r="R481" s="98">
        <v>0</v>
      </c>
      <c r="S481" s="101">
        <f t="shared" si="345"/>
        <v>0</v>
      </c>
      <c r="T481" s="100">
        <v>0</v>
      </c>
      <c r="U481" s="98">
        <v>0</v>
      </c>
      <c r="V481" s="101">
        <f t="shared" si="347"/>
        <v>0</v>
      </c>
      <c r="W481" s="100">
        <v>0</v>
      </c>
      <c r="X481" s="98">
        <v>0</v>
      </c>
      <c r="Y481" s="147">
        <f t="shared" si="346"/>
        <v>0</v>
      </c>
      <c r="Z481" s="150"/>
    </row>
    <row r="482" spans="2:26" s="35" customFormat="1" ht="17.100000000000001" customHeight="1">
      <c r="B482" s="105"/>
      <c r="C482" s="54"/>
      <c r="D482" s="96"/>
      <c r="E482" s="111"/>
      <c r="F482" s="112"/>
      <c r="G482" s="113"/>
      <c r="H482" s="100">
        <v>0</v>
      </c>
      <c r="I482" s="98">
        <v>0</v>
      </c>
      <c r="J482" s="101">
        <f t="shared" si="342"/>
        <v>0</v>
      </c>
      <c r="K482" s="100">
        <v>0</v>
      </c>
      <c r="L482" s="98">
        <v>0</v>
      </c>
      <c r="M482" s="101">
        <f t="shared" si="343"/>
        <v>0</v>
      </c>
      <c r="N482" s="100">
        <v>0</v>
      </c>
      <c r="O482" s="98">
        <v>0</v>
      </c>
      <c r="P482" s="101">
        <f t="shared" si="344"/>
        <v>0</v>
      </c>
      <c r="Q482" s="100">
        <v>0</v>
      </c>
      <c r="R482" s="98">
        <v>0</v>
      </c>
      <c r="S482" s="101">
        <f t="shared" si="345"/>
        <v>0</v>
      </c>
      <c r="T482" s="100">
        <v>0</v>
      </c>
      <c r="U482" s="98">
        <v>0</v>
      </c>
      <c r="V482" s="101">
        <f t="shared" si="347"/>
        <v>0</v>
      </c>
      <c r="W482" s="100">
        <v>0</v>
      </c>
      <c r="X482" s="98">
        <v>0</v>
      </c>
      <c r="Y482" s="147">
        <f t="shared" si="346"/>
        <v>0</v>
      </c>
      <c r="Z482" s="150"/>
    </row>
    <row r="483" spans="2:26" s="35" customFormat="1" ht="17.100000000000001" customHeight="1">
      <c r="B483" s="105"/>
      <c r="C483" s="54"/>
      <c r="D483" s="96"/>
      <c r="E483" s="111"/>
      <c r="F483" s="112"/>
      <c r="G483" s="113"/>
      <c r="H483" s="100">
        <v>0</v>
      </c>
      <c r="I483" s="98">
        <v>0</v>
      </c>
      <c r="J483" s="101">
        <f t="shared" si="342"/>
        <v>0</v>
      </c>
      <c r="K483" s="100">
        <v>0</v>
      </c>
      <c r="L483" s="98">
        <v>0</v>
      </c>
      <c r="M483" s="101">
        <f t="shared" si="343"/>
        <v>0</v>
      </c>
      <c r="N483" s="100">
        <v>0</v>
      </c>
      <c r="O483" s="98">
        <v>0</v>
      </c>
      <c r="P483" s="101">
        <f t="shared" si="344"/>
        <v>0</v>
      </c>
      <c r="Q483" s="100">
        <v>0</v>
      </c>
      <c r="R483" s="98">
        <v>0</v>
      </c>
      <c r="S483" s="101">
        <f t="shared" si="345"/>
        <v>0</v>
      </c>
      <c r="T483" s="100">
        <v>0</v>
      </c>
      <c r="U483" s="98">
        <v>0</v>
      </c>
      <c r="V483" s="101">
        <f t="shared" si="347"/>
        <v>0</v>
      </c>
      <c r="W483" s="100">
        <v>0</v>
      </c>
      <c r="X483" s="98">
        <v>0</v>
      </c>
      <c r="Y483" s="147">
        <f t="shared" si="346"/>
        <v>0</v>
      </c>
      <c r="Z483" s="150"/>
    </row>
    <row r="484" spans="2:26" s="126" customFormat="1" ht="17.100000000000001" customHeight="1">
      <c r="B484" s="118"/>
      <c r="C484" s="119"/>
      <c r="D484" s="120"/>
      <c r="E484" s="121"/>
      <c r="F484" s="122"/>
      <c r="G484" s="123"/>
      <c r="H484" s="341" t="s">
        <v>201</v>
      </c>
      <c r="I484" s="342"/>
      <c r="J484" s="124">
        <f>SUM(J477:J483)</f>
        <v>0</v>
      </c>
      <c r="K484" s="341" t="s">
        <v>201</v>
      </c>
      <c r="L484" s="342"/>
      <c r="M484" s="124">
        <f>SUM(M477:M483)</f>
        <v>0</v>
      </c>
      <c r="N484" s="341" t="s">
        <v>201</v>
      </c>
      <c r="O484" s="342"/>
      <c r="P484" s="124">
        <f>SUM(P477:P483)</f>
        <v>0</v>
      </c>
      <c r="Q484" s="341" t="s">
        <v>201</v>
      </c>
      <c r="R484" s="342"/>
      <c r="S484" s="124">
        <f>SUM(S477:S483)</f>
        <v>0</v>
      </c>
      <c r="T484" s="341" t="s">
        <v>201</v>
      </c>
      <c r="U484" s="342"/>
      <c r="V484" s="124">
        <f>SUM(V477:V483)</f>
        <v>0</v>
      </c>
      <c r="W484" s="341" t="s">
        <v>201</v>
      </c>
      <c r="X484" s="342"/>
      <c r="Y484" s="127">
        <f>SUM(Y477:Y483)</f>
        <v>0</v>
      </c>
      <c r="Z484" s="151"/>
    </row>
    <row r="485" spans="2:26" s="35" customFormat="1" ht="17.100000000000001" customHeight="1">
      <c r="B485" s="105"/>
      <c r="C485" s="54">
        <f>'2. Rekap Back Up Beton'!C79</f>
        <v>15600</v>
      </c>
      <c r="D485" s="96">
        <f>'2. Rekap Back Up Beton'!D79</f>
        <v>15700</v>
      </c>
      <c r="E485" s="111">
        <f>'2. Rekap Back Up Beton'!E79</f>
        <v>6</v>
      </c>
      <c r="F485" s="112">
        <f>(100/((D485-C485)*E485))*((J492*0.5)+(M492*1)+(P492*2)+(S492*20)+(V492*15)+(Y492*1.5))</f>
        <v>0</v>
      </c>
      <c r="G485" s="113" t="str">
        <f>IF(F485&lt;=25,"B",IF(F485&lt;=75,"S",IF(F485&lt;=100,"RR","RB")))</f>
        <v>B</v>
      </c>
      <c r="H485" s="100">
        <v>0</v>
      </c>
      <c r="I485" s="98">
        <v>0</v>
      </c>
      <c r="J485" s="101">
        <f t="shared" ref="J485:J491" si="348">H485*I485</f>
        <v>0</v>
      </c>
      <c r="K485" s="100">
        <v>0</v>
      </c>
      <c r="L485" s="98">
        <v>0</v>
      </c>
      <c r="M485" s="101">
        <f t="shared" ref="M485:M491" si="349">K485*L485</f>
        <v>0</v>
      </c>
      <c r="N485" s="100">
        <v>0</v>
      </c>
      <c r="O485" s="98">
        <v>4</v>
      </c>
      <c r="P485" s="101">
        <f t="shared" ref="P485:P491" si="350">N485*O485</f>
        <v>0</v>
      </c>
      <c r="Q485" s="100">
        <v>0</v>
      </c>
      <c r="R485" s="98">
        <v>0</v>
      </c>
      <c r="S485" s="101">
        <f t="shared" ref="S485:S491" si="351">Q485*R485</f>
        <v>0</v>
      </c>
      <c r="T485" s="100">
        <v>0</v>
      </c>
      <c r="U485" s="98">
        <v>0</v>
      </c>
      <c r="V485" s="101">
        <f>T485*U485</f>
        <v>0</v>
      </c>
      <c r="W485" s="100">
        <v>0</v>
      </c>
      <c r="X485" s="98">
        <v>0</v>
      </c>
      <c r="Y485" s="147">
        <f t="shared" ref="Y485:Y491" si="352">W485*X485</f>
        <v>0</v>
      </c>
      <c r="Z485" s="150"/>
    </row>
    <row r="486" spans="2:26" s="35" customFormat="1" ht="17.100000000000001" customHeight="1">
      <c r="B486" s="105"/>
      <c r="C486" s="54"/>
      <c r="D486" s="96"/>
      <c r="E486" s="111"/>
      <c r="F486" s="112"/>
      <c r="G486" s="113"/>
      <c r="H486" s="100">
        <v>0</v>
      </c>
      <c r="I486" s="98">
        <v>0</v>
      </c>
      <c r="J486" s="101">
        <f t="shared" si="348"/>
        <v>0</v>
      </c>
      <c r="K486" s="100">
        <v>0</v>
      </c>
      <c r="L486" s="98">
        <v>0</v>
      </c>
      <c r="M486" s="101">
        <f t="shared" si="349"/>
        <v>0</v>
      </c>
      <c r="N486" s="100">
        <v>0</v>
      </c>
      <c r="O486" s="98">
        <v>0</v>
      </c>
      <c r="P486" s="101">
        <f t="shared" si="350"/>
        <v>0</v>
      </c>
      <c r="Q486" s="100">
        <v>0</v>
      </c>
      <c r="R486" s="98">
        <v>0</v>
      </c>
      <c r="S486" s="101">
        <f t="shared" si="351"/>
        <v>0</v>
      </c>
      <c r="T486" s="100">
        <v>0</v>
      </c>
      <c r="U486" s="98">
        <v>0</v>
      </c>
      <c r="V486" s="101">
        <f t="shared" ref="V486:V491" si="353">T486*U486</f>
        <v>0</v>
      </c>
      <c r="W486" s="100">
        <v>0</v>
      </c>
      <c r="X486" s="98">
        <v>0</v>
      </c>
      <c r="Y486" s="147">
        <f t="shared" si="352"/>
        <v>0</v>
      </c>
      <c r="Z486" s="150"/>
    </row>
    <row r="487" spans="2:26" s="35" customFormat="1" ht="17.100000000000001" customHeight="1">
      <c r="B487" s="105"/>
      <c r="C487" s="54"/>
      <c r="D487" s="96"/>
      <c r="E487" s="111"/>
      <c r="F487" s="112"/>
      <c r="G487" s="113"/>
      <c r="H487" s="100">
        <v>0</v>
      </c>
      <c r="I487" s="98">
        <v>0</v>
      </c>
      <c r="J487" s="101">
        <f t="shared" si="348"/>
        <v>0</v>
      </c>
      <c r="K487" s="100">
        <v>0</v>
      </c>
      <c r="L487" s="98">
        <v>0</v>
      </c>
      <c r="M487" s="101">
        <f t="shared" si="349"/>
        <v>0</v>
      </c>
      <c r="N487" s="100">
        <v>0</v>
      </c>
      <c r="O487" s="98">
        <v>0</v>
      </c>
      <c r="P487" s="101">
        <f t="shared" si="350"/>
        <v>0</v>
      </c>
      <c r="Q487" s="100">
        <v>0</v>
      </c>
      <c r="R487" s="98">
        <v>0</v>
      </c>
      <c r="S487" s="101">
        <f t="shared" si="351"/>
        <v>0</v>
      </c>
      <c r="T487" s="100">
        <v>0</v>
      </c>
      <c r="U487" s="98">
        <v>0</v>
      </c>
      <c r="V487" s="101">
        <f t="shared" si="353"/>
        <v>0</v>
      </c>
      <c r="W487" s="100">
        <v>0</v>
      </c>
      <c r="X487" s="98">
        <v>0</v>
      </c>
      <c r="Y487" s="147">
        <f t="shared" si="352"/>
        <v>0</v>
      </c>
      <c r="Z487" s="150"/>
    </row>
    <row r="488" spans="2:26" s="35" customFormat="1" ht="17.100000000000001" customHeight="1">
      <c r="B488" s="105"/>
      <c r="C488" s="54"/>
      <c r="D488" s="96"/>
      <c r="E488" s="111"/>
      <c r="F488" s="112"/>
      <c r="G488" s="113"/>
      <c r="H488" s="100">
        <v>0</v>
      </c>
      <c r="I488" s="98">
        <v>0</v>
      </c>
      <c r="J488" s="101">
        <f t="shared" si="348"/>
        <v>0</v>
      </c>
      <c r="K488" s="100">
        <v>0</v>
      </c>
      <c r="L488" s="98">
        <v>0</v>
      </c>
      <c r="M488" s="101">
        <f t="shared" si="349"/>
        <v>0</v>
      </c>
      <c r="N488" s="100">
        <v>0</v>
      </c>
      <c r="O488" s="98">
        <v>0</v>
      </c>
      <c r="P488" s="101">
        <f t="shared" si="350"/>
        <v>0</v>
      </c>
      <c r="Q488" s="100">
        <v>0</v>
      </c>
      <c r="R488" s="98">
        <v>0</v>
      </c>
      <c r="S488" s="101">
        <f t="shared" si="351"/>
        <v>0</v>
      </c>
      <c r="T488" s="100">
        <v>0</v>
      </c>
      <c r="U488" s="98">
        <v>0</v>
      </c>
      <c r="V488" s="101">
        <f t="shared" si="353"/>
        <v>0</v>
      </c>
      <c r="W488" s="100">
        <v>0</v>
      </c>
      <c r="X488" s="98">
        <v>0</v>
      </c>
      <c r="Y488" s="147">
        <f t="shared" si="352"/>
        <v>0</v>
      </c>
      <c r="Z488" s="150"/>
    </row>
    <row r="489" spans="2:26" s="35" customFormat="1" ht="17.100000000000001" customHeight="1">
      <c r="B489" s="105"/>
      <c r="C489" s="54"/>
      <c r="D489" s="96"/>
      <c r="E489" s="111"/>
      <c r="F489" s="112"/>
      <c r="G489" s="113"/>
      <c r="H489" s="100">
        <v>0</v>
      </c>
      <c r="I489" s="98">
        <v>0</v>
      </c>
      <c r="J489" s="101">
        <f t="shared" si="348"/>
        <v>0</v>
      </c>
      <c r="K489" s="100">
        <v>0</v>
      </c>
      <c r="L489" s="98">
        <v>0</v>
      </c>
      <c r="M489" s="101">
        <f t="shared" si="349"/>
        <v>0</v>
      </c>
      <c r="N489" s="100">
        <v>0</v>
      </c>
      <c r="O489" s="98">
        <v>0</v>
      </c>
      <c r="P489" s="101">
        <f t="shared" si="350"/>
        <v>0</v>
      </c>
      <c r="Q489" s="100">
        <v>0</v>
      </c>
      <c r="R489" s="98">
        <v>0</v>
      </c>
      <c r="S489" s="101">
        <f t="shared" si="351"/>
        <v>0</v>
      </c>
      <c r="T489" s="100">
        <v>0</v>
      </c>
      <c r="U489" s="98">
        <v>0</v>
      </c>
      <c r="V489" s="101">
        <f t="shared" si="353"/>
        <v>0</v>
      </c>
      <c r="W489" s="100">
        <v>0</v>
      </c>
      <c r="X489" s="98">
        <v>0</v>
      </c>
      <c r="Y489" s="147">
        <f t="shared" si="352"/>
        <v>0</v>
      </c>
      <c r="Z489" s="150"/>
    </row>
    <row r="490" spans="2:26" s="35" customFormat="1" ht="17.100000000000001" customHeight="1">
      <c r="B490" s="105"/>
      <c r="C490" s="54"/>
      <c r="D490" s="96"/>
      <c r="E490" s="111"/>
      <c r="F490" s="112"/>
      <c r="G490" s="113"/>
      <c r="H490" s="100">
        <v>0</v>
      </c>
      <c r="I490" s="98">
        <v>0</v>
      </c>
      <c r="J490" s="101">
        <f t="shared" si="348"/>
        <v>0</v>
      </c>
      <c r="K490" s="100">
        <v>0</v>
      </c>
      <c r="L490" s="98">
        <v>0</v>
      </c>
      <c r="M490" s="101">
        <f t="shared" si="349"/>
        <v>0</v>
      </c>
      <c r="N490" s="100">
        <v>0</v>
      </c>
      <c r="O490" s="98">
        <v>0</v>
      </c>
      <c r="P490" s="101">
        <f t="shared" si="350"/>
        <v>0</v>
      </c>
      <c r="Q490" s="100">
        <v>0</v>
      </c>
      <c r="R490" s="98">
        <v>0</v>
      </c>
      <c r="S490" s="101">
        <f t="shared" si="351"/>
        <v>0</v>
      </c>
      <c r="T490" s="100">
        <v>0</v>
      </c>
      <c r="U490" s="98">
        <v>0</v>
      </c>
      <c r="V490" s="101">
        <f t="shared" si="353"/>
        <v>0</v>
      </c>
      <c r="W490" s="100">
        <v>0</v>
      </c>
      <c r="X490" s="98">
        <v>0</v>
      </c>
      <c r="Y490" s="147">
        <f t="shared" si="352"/>
        <v>0</v>
      </c>
      <c r="Z490" s="150"/>
    </row>
    <row r="491" spans="2:26" s="35" customFormat="1" ht="17.100000000000001" customHeight="1">
      <c r="B491" s="105"/>
      <c r="C491" s="54"/>
      <c r="D491" s="96"/>
      <c r="E491" s="111"/>
      <c r="F491" s="112"/>
      <c r="G491" s="113"/>
      <c r="H491" s="100">
        <v>0</v>
      </c>
      <c r="I491" s="98">
        <v>0</v>
      </c>
      <c r="J491" s="101">
        <f t="shared" si="348"/>
        <v>0</v>
      </c>
      <c r="K491" s="100">
        <v>0</v>
      </c>
      <c r="L491" s="98">
        <v>0</v>
      </c>
      <c r="M491" s="101">
        <f t="shared" si="349"/>
        <v>0</v>
      </c>
      <c r="N491" s="100">
        <v>0</v>
      </c>
      <c r="O491" s="98">
        <v>0</v>
      </c>
      <c r="P491" s="101">
        <f t="shared" si="350"/>
        <v>0</v>
      </c>
      <c r="Q491" s="100">
        <v>0</v>
      </c>
      <c r="R491" s="98">
        <v>0</v>
      </c>
      <c r="S491" s="101">
        <f t="shared" si="351"/>
        <v>0</v>
      </c>
      <c r="T491" s="100">
        <v>0</v>
      </c>
      <c r="U491" s="98">
        <v>0</v>
      </c>
      <c r="V491" s="101">
        <f t="shared" si="353"/>
        <v>0</v>
      </c>
      <c r="W491" s="100">
        <v>0</v>
      </c>
      <c r="X491" s="98">
        <v>0</v>
      </c>
      <c r="Y491" s="147">
        <f t="shared" si="352"/>
        <v>0</v>
      </c>
      <c r="Z491" s="150"/>
    </row>
    <row r="492" spans="2:26" s="126" customFormat="1" ht="17.100000000000001" customHeight="1">
      <c r="B492" s="118"/>
      <c r="C492" s="119"/>
      <c r="D492" s="120"/>
      <c r="E492" s="121"/>
      <c r="F492" s="122"/>
      <c r="G492" s="123"/>
      <c r="H492" s="341" t="s">
        <v>201</v>
      </c>
      <c r="I492" s="342"/>
      <c r="J492" s="124">
        <f>SUM(J485:J491)</f>
        <v>0</v>
      </c>
      <c r="K492" s="341" t="s">
        <v>201</v>
      </c>
      <c r="L492" s="342"/>
      <c r="M492" s="124">
        <f>SUM(M485:M491)</f>
        <v>0</v>
      </c>
      <c r="N492" s="341" t="s">
        <v>201</v>
      </c>
      <c r="O492" s="342"/>
      <c r="P492" s="124">
        <f>SUM(P485:P491)</f>
        <v>0</v>
      </c>
      <c r="Q492" s="341" t="s">
        <v>201</v>
      </c>
      <c r="R492" s="342"/>
      <c r="S492" s="124">
        <f>SUM(S485:S491)</f>
        <v>0</v>
      </c>
      <c r="T492" s="341" t="s">
        <v>201</v>
      </c>
      <c r="U492" s="342"/>
      <c r="V492" s="124">
        <f>SUM(V485:V491)</f>
        <v>0</v>
      </c>
      <c r="W492" s="341" t="s">
        <v>201</v>
      </c>
      <c r="X492" s="342"/>
      <c r="Y492" s="127">
        <f>SUM(Y485:Y491)</f>
        <v>0</v>
      </c>
      <c r="Z492" s="151"/>
    </row>
    <row r="493" spans="2:26" s="35" customFormat="1" ht="17.100000000000001" customHeight="1">
      <c r="B493" s="105"/>
      <c r="C493" s="54">
        <f>'2. Rekap Back Up Beton'!C80</f>
        <v>15700</v>
      </c>
      <c r="D493" s="96">
        <f>'2. Rekap Back Up Beton'!D80</f>
        <v>15800</v>
      </c>
      <c r="E493" s="111">
        <f>'2. Rekap Back Up Beton'!E80</f>
        <v>6</v>
      </c>
      <c r="F493" s="112">
        <f>(100/((D493-C493)*E493))*((J500*0.5)+(M500*1)+(P500*2)+(S500*20)+(V500*15)+(Y500*1.5))</f>
        <v>0</v>
      </c>
      <c r="G493" s="113" t="str">
        <f>IF(F493&lt;=25,"B",IF(F493&lt;=75,"S",IF(F493&lt;=100,"RR","RB")))</f>
        <v>B</v>
      </c>
      <c r="H493" s="100">
        <v>0</v>
      </c>
      <c r="I493" s="98">
        <v>0</v>
      </c>
      <c r="J493" s="101">
        <f t="shared" ref="J493:J499" si="354">H493*I493</f>
        <v>0</v>
      </c>
      <c r="K493" s="100">
        <v>0</v>
      </c>
      <c r="L493" s="98">
        <v>0</v>
      </c>
      <c r="M493" s="101">
        <f t="shared" ref="M493:M499" si="355">K493*L493</f>
        <v>0</v>
      </c>
      <c r="N493" s="100">
        <v>0</v>
      </c>
      <c r="O493" s="98">
        <v>4</v>
      </c>
      <c r="P493" s="101">
        <f t="shared" ref="P493:P499" si="356">N493*O493</f>
        <v>0</v>
      </c>
      <c r="Q493" s="100">
        <v>0</v>
      </c>
      <c r="R493" s="98">
        <v>0</v>
      </c>
      <c r="S493" s="101">
        <f t="shared" ref="S493:S499" si="357">Q493*R493</f>
        <v>0</v>
      </c>
      <c r="T493" s="100">
        <v>0</v>
      </c>
      <c r="U493" s="98">
        <v>0</v>
      </c>
      <c r="V493" s="101">
        <f>T493*U493</f>
        <v>0</v>
      </c>
      <c r="W493" s="100">
        <v>0</v>
      </c>
      <c r="X493" s="98">
        <v>0</v>
      </c>
      <c r="Y493" s="147">
        <f t="shared" ref="Y493:Y499" si="358">W493*X493</f>
        <v>0</v>
      </c>
      <c r="Z493" s="150"/>
    </row>
    <row r="494" spans="2:26" s="35" customFormat="1" ht="17.100000000000001" customHeight="1">
      <c r="B494" s="105"/>
      <c r="C494" s="54"/>
      <c r="D494" s="96"/>
      <c r="E494" s="111"/>
      <c r="F494" s="112"/>
      <c r="G494" s="113"/>
      <c r="H494" s="100">
        <v>0</v>
      </c>
      <c r="I494" s="98">
        <v>0</v>
      </c>
      <c r="J494" s="101">
        <f t="shared" si="354"/>
        <v>0</v>
      </c>
      <c r="K494" s="100">
        <v>0</v>
      </c>
      <c r="L494" s="98">
        <v>0</v>
      </c>
      <c r="M494" s="101">
        <f t="shared" si="355"/>
        <v>0</v>
      </c>
      <c r="N494" s="100">
        <v>0</v>
      </c>
      <c r="O494" s="98">
        <v>0</v>
      </c>
      <c r="P494" s="101">
        <f t="shared" si="356"/>
        <v>0</v>
      </c>
      <c r="Q494" s="100">
        <v>0</v>
      </c>
      <c r="R494" s="98">
        <v>0</v>
      </c>
      <c r="S494" s="101">
        <f t="shared" si="357"/>
        <v>0</v>
      </c>
      <c r="T494" s="100">
        <v>0</v>
      </c>
      <c r="U494" s="98">
        <v>0</v>
      </c>
      <c r="V494" s="101">
        <f t="shared" ref="V494:V499" si="359">T494*U494</f>
        <v>0</v>
      </c>
      <c r="W494" s="100">
        <v>0</v>
      </c>
      <c r="X494" s="98">
        <v>0</v>
      </c>
      <c r="Y494" s="147">
        <f t="shared" si="358"/>
        <v>0</v>
      </c>
      <c r="Z494" s="150"/>
    </row>
    <row r="495" spans="2:26" s="35" customFormat="1" ht="17.100000000000001" customHeight="1">
      <c r="B495" s="105"/>
      <c r="C495" s="54"/>
      <c r="D495" s="96"/>
      <c r="E495" s="111"/>
      <c r="F495" s="112"/>
      <c r="G495" s="113"/>
      <c r="H495" s="100">
        <v>0</v>
      </c>
      <c r="I495" s="98">
        <v>0</v>
      </c>
      <c r="J495" s="101">
        <f t="shared" si="354"/>
        <v>0</v>
      </c>
      <c r="K495" s="100">
        <v>0</v>
      </c>
      <c r="L495" s="98">
        <v>0</v>
      </c>
      <c r="M495" s="101">
        <f t="shared" si="355"/>
        <v>0</v>
      </c>
      <c r="N495" s="100">
        <v>0</v>
      </c>
      <c r="O495" s="98">
        <v>0</v>
      </c>
      <c r="P495" s="101">
        <f t="shared" si="356"/>
        <v>0</v>
      </c>
      <c r="Q495" s="100">
        <v>0</v>
      </c>
      <c r="R495" s="98">
        <v>0</v>
      </c>
      <c r="S495" s="101">
        <f t="shared" si="357"/>
        <v>0</v>
      </c>
      <c r="T495" s="100">
        <v>0</v>
      </c>
      <c r="U495" s="98">
        <v>0</v>
      </c>
      <c r="V495" s="101">
        <f t="shared" si="359"/>
        <v>0</v>
      </c>
      <c r="W495" s="100">
        <v>0</v>
      </c>
      <c r="X495" s="98">
        <v>0</v>
      </c>
      <c r="Y495" s="147">
        <f t="shared" si="358"/>
        <v>0</v>
      </c>
      <c r="Z495" s="150"/>
    </row>
    <row r="496" spans="2:26" s="35" customFormat="1" ht="17.100000000000001" customHeight="1">
      <c r="B496" s="105"/>
      <c r="C496" s="54"/>
      <c r="D496" s="96"/>
      <c r="E496" s="111"/>
      <c r="F496" s="112"/>
      <c r="G496" s="113"/>
      <c r="H496" s="100">
        <v>0</v>
      </c>
      <c r="I496" s="98">
        <v>0</v>
      </c>
      <c r="J496" s="101">
        <f t="shared" si="354"/>
        <v>0</v>
      </c>
      <c r="K496" s="100">
        <v>0</v>
      </c>
      <c r="L496" s="98">
        <v>0</v>
      </c>
      <c r="M496" s="101">
        <f t="shared" si="355"/>
        <v>0</v>
      </c>
      <c r="N496" s="100">
        <v>0</v>
      </c>
      <c r="O496" s="98">
        <v>0</v>
      </c>
      <c r="P496" s="101">
        <f t="shared" si="356"/>
        <v>0</v>
      </c>
      <c r="Q496" s="100">
        <v>0</v>
      </c>
      <c r="R496" s="98">
        <v>0</v>
      </c>
      <c r="S496" s="101">
        <f t="shared" si="357"/>
        <v>0</v>
      </c>
      <c r="T496" s="100">
        <v>0</v>
      </c>
      <c r="U496" s="98">
        <v>0</v>
      </c>
      <c r="V496" s="101">
        <f t="shared" si="359"/>
        <v>0</v>
      </c>
      <c r="W496" s="100">
        <v>0</v>
      </c>
      <c r="X496" s="98">
        <v>0</v>
      </c>
      <c r="Y496" s="147">
        <f t="shared" si="358"/>
        <v>0</v>
      </c>
      <c r="Z496" s="150"/>
    </row>
    <row r="497" spans="2:26" s="35" customFormat="1" ht="17.100000000000001" customHeight="1">
      <c r="B497" s="105"/>
      <c r="C497" s="54"/>
      <c r="D497" s="96"/>
      <c r="E497" s="111"/>
      <c r="F497" s="112"/>
      <c r="G497" s="113"/>
      <c r="H497" s="100">
        <v>0</v>
      </c>
      <c r="I497" s="98">
        <v>0</v>
      </c>
      <c r="J497" s="101">
        <f t="shared" si="354"/>
        <v>0</v>
      </c>
      <c r="K497" s="100">
        <v>0</v>
      </c>
      <c r="L497" s="98">
        <v>0</v>
      </c>
      <c r="M497" s="101">
        <f t="shared" si="355"/>
        <v>0</v>
      </c>
      <c r="N497" s="100">
        <v>0</v>
      </c>
      <c r="O497" s="98">
        <v>0</v>
      </c>
      <c r="P497" s="101">
        <f t="shared" si="356"/>
        <v>0</v>
      </c>
      <c r="Q497" s="100">
        <v>0</v>
      </c>
      <c r="R497" s="98">
        <v>0</v>
      </c>
      <c r="S497" s="101">
        <f t="shared" si="357"/>
        <v>0</v>
      </c>
      <c r="T497" s="100">
        <v>0</v>
      </c>
      <c r="U497" s="98">
        <v>0</v>
      </c>
      <c r="V497" s="101">
        <f t="shared" si="359"/>
        <v>0</v>
      </c>
      <c r="W497" s="100">
        <v>0</v>
      </c>
      <c r="X497" s="98">
        <v>0</v>
      </c>
      <c r="Y497" s="147">
        <f t="shared" si="358"/>
        <v>0</v>
      </c>
      <c r="Z497" s="150"/>
    </row>
    <row r="498" spans="2:26" s="35" customFormat="1" ht="17.100000000000001" customHeight="1">
      <c r="B498" s="105"/>
      <c r="C498" s="54"/>
      <c r="D498" s="96"/>
      <c r="E498" s="111"/>
      <c r="F498" s="112"/>
      <c r="G498" s="113"/>
      <c r="H498" s="100">
        <v>0</v>
      </c>
      <c r="I498" s="98">
        <v>0</v>
      </c>
      <c r="J498" s="101">
        <f t="shared" si="354"/>
        <v>0</v>
      </c>
      <c r="K498" s="100">
        <v>0</v>
      </c>
      <c r="L498" s="98">
        <v>0</v>
      </c>
      <c r="M498" s="101">
        <f t="shared" si="355"/>
        <v>0</v>
      </c>
      <c r="N498" s="100">
        <v>0</v>
      </c>
      <c r="O498" s="98">
        <v>0</v>
      </c>
      <c r="P498" s="101">
        <f t="shared" si="356"/>
        <v>0</v>
      </c>
      <c r="Q498" s="100">
        <v>0</v>
      </c>
      <c r="R498" s="98">
        <v>0</v>
      </c>
      <c r="S498" s="101">
        <f t="shared" si="357"/>
        <v>0</v>
      </c>
      <c r="T498" s="100">
        <v>0</v>
      </c>
      <c r="U498" s="98">
        <v>0</v>
      </c>
      <c r="V498" s="101">
        <f t="shared" si="359"/>
        <v>0</v>
      </c>
      <c r="W498" s="100">
        <v>0</v>
      </c>
      <c r="X498" s="98">
        <v>0</v>
      </c>
      <c r="Y498" s="147">
        <f t="shared" si="358"/>
        <v>0</v>
      </c>
      <c r="Z498" s="150"/>
    </row>
    <row r="499" spans="2:26" s="35" customFormat="1" ht="17.100000000000001" customHeight="1">
      <c r="B499" s="105"/>
      <c r="C499" s="54"/>
      <c r="D499" s="96"/>
      <c r="E499" s="111"/>
      <c r="F499" s="112"/>
      <c r="G499" s="113"/>
      <c r="H499" s="100">
        <v>0</v>
      </c>
      <c r="I499" s="98">
        <v>0</v>
      </c>
      <c r="J499" s="101">
        <f t="shared" si="354"/>
        <v>0</v>
      </c>
      <c r="K499" s="100">
        <v>0</v>
      </c>
      <c r="L499" s="98">
        <v>0</v>
      </c>
      <c r="M499" s="101">
        <f t="shared" si="355"/>
        <v>0</v>
      </c>
      <c r="N499" s="100">
        <v>0</v>
      </c>
      <c r="O499" s="98">
        <v>0</v>
      </c>
      <c r="P499" s="101">
        <f t="shared" si="356"/>
        <v>0</v>
      </c>
      <c r="Q499" s="100">
        <v>0</v>
      </c>
      <c r="R499" s="98">
        <v>0</v>
      </c>
      <c r="S499" s="101">
        <f t="shared" si="357"/>
        <v>0</v>
      </c>
      <c r="T499" s="100">
        <v>0</v>
      </c>
      <c r="U499" s="98">
        <v>0</v>
      </c>
      <c r="V499" s="101">
        <f t="shared" si="359"/>
        <v>0</v>
      </c>
      <c r="W499" s="100">
        <v>0</v>
      </c>
      <c r="X499" s="98">
        <v>0</v>
      </c>
      <c r="Y499" s="147">
        <f t="shared" si="358"/>
        <v>0</v>
      </c>
      <c r="Z499" s="150"/>
    </row>
    <row r="500" spans="2:26" s="126" customFormat="1" ht="17.100000000000001" customHeight="1">
      <c r="B500" s="118"/>
      <c r="C500" s="119"/>
      <c r="D500" s="120"/>
      <c r="E500" s="121"/>
      <c r="F500" s="122"/>
      <c r="G500" s="123"/>
      <c r="H500" s="341" t="s">
        <v>201</v>
      </c>
      <c r="I500" s="342"/>
      <c r="J500" s="124">
        <f>SUM(J493:J499)</f>
        <v>0</v>
      </c>
      <c r="K500" s="341" t="s">
        <v>201</v>
      </c>
      <c r="L500" s="342"/>
      <c r="M500" s="124">
        <f>SUM(M493:M499)</f>
        <v>0</v>
      </c>
      <c r="N500" s="341" t="s">
        <v>201</v>
      </c>
      <c r="O500" s="342"/>
      <c r="P500" s="124">
        <f>SUM(P493:P499)</f>
        <v>0</v>
      </c>
      <c r="Q500" s="341" t="s">
        <v>201</v>
      </c>
      <c r="R500" s="342"/>
      <c r="S500" s="124">
        <f>SUM(S493:S499)</f>
        <v>0</v>
      </c>
      <c r="T500" s="341" t="s">
        <v>201</v>
      </c>
      <c r="U500" s="342"/>
      <c r="V500" s="124">
        <f>SUM(V493:V499)</f>
        <v>0</v>
      </c>
      <c r="W500" s="341" t="s">
        <v>201</v>
      </c>
      <c r="X500" s="342"/>
      <c r="Y500" s="127">
        <f>SUM(Y493:Y499)</f>
        <v>0</v>
      </c>
      <c r="Z500" s="151"/>
    </row>
    <row r="501" spans="2:26" s="35" customFormat="1" ht="17.100000000000001" customHeight="1">
      <c r="B501" s="105"/>
      <c r="C501" s="54">
        <f>'2. Rekap Back Up Beton'!C81</f>
        <v>15800</v>
      </c>
      <c r="D501" s="96">
        <f>'2. Rekap Back Up Beton'!D81</f>
        <v>15900</v>
      </c>
      <c r="E501" s="111">
        <f>'2. Rekap Back Up Beton'!E81</f>
        <v>6</v>
      </c>
      <c r="F501" s="112">
        <f>(100/((D501-C501)*E501))*((J508*0.5)+(M508*1)+(P508*2)+(S508*20)+(V508*15)+(Y508*1.5))</f>
        <v>0</v>
      </c>
      <c r="G501" s="113" t="str">
        <f>IF(F501&lt;=25,"B",IF(F501&lt;=75,"S",IF(F501&lt;=100,"RR","RB")))</f>
        <v>B</v>
      </c>
      <c r="H501" s="100">
        <v>0</v>
      </c>
      <c r="I501" s="98">
        <v>0</v>
      </c>
      <c r="J501" s="101">
        <f t="shared" ref="J501:J507" si="360">H501*I501</f>
        <v>0</v>
      </c>
      <c r="K501" s="100">
        <v>0</v>
      </c>
      <c r="L501" s="98">
        <v>0</v>
      </c>
      <c r="M501" s="101">
        <f t="shared" ref="M501:M507" si="361">K501*L501</f>
        <v>0</v>
      </c>
      <c r="N501" s="100">
        <v>0</v>
      </c>
      <c r="O501" s="98">
        <v>4</v>
      </c>
      <c r="P501" s="101">
        <f t="shared" ref="P501:P507" si="362">N501*O501</f>
        <v>0</v>
      </c>
      <c r="Q501" s="100">
        <v>0</v>
      </c>
      <c r="R501" s="98">
        <v>0</v>
      </c>
      <c r="S501" s="101">
        <f t="shared" ref="S501:S507" si="363">Q501*R501</f>
        <v>0</v>
      </c>
      <c r="T501" s="100">
        <v>0</v>
      </c>
      <c r="U501" s="98">
        <v>0</v>
      </c>
      <c r="V501" s="101">
        <f>T501*U501</f>
        <v>0</v>
      </c>
      <c r="W501" s="100">
        <v>0</v>
      </c>
      <c r="X501" s="98">
        <v>0</v>
      </c>
      <c r="Y501" s="147">
        <f t="shared" ref="Y501:Y507" si="364">W501*X501</f>
        <v>0</v>
      </c>
      <c r="Z501" s="150"/>
    </row>
    <row r="502" spans="2:26" s="35" customFormat="1" ht="17.100000000000001" customHeight="1">
      <c r="B502" s="105"/>
      <c r="C502" s="54"/>
      <c r="D502" s="96"/>
      <c r="E502" s="111"/>
      <c r="F502" s="112"/>
      <c r="G502" s="113"/>
      <c r="H502" s="100">
        <v>0</v>
      </c>
      <c r="I502" s="98">
        <v>0</v>
      </c>
      <c r="J502" s="101">
        <f t="shared" si="360"/>
        <v>0</v>
      </c>
      <c r="K502" s="100">
        <v>0</v>
      </c>
      <c r="L502" s="98">
        <v>0</v>
      </c>
      <c r="M502" s="101">
        <f t="shared" si="361"/>
        <v>0</v>
      </c>
      <c r="N502" s="100">
        <v>0</v>
      </c>
      <c r="O502" s="98">
        <v>0</v>
      </c>
      <c r="P502" s="101">
        <f t="shared" si="362"/>
        <v>0</v>
      </c>
      <c r="Q502" s="100">
        <v>0</v>
      </c>
      <c r="R502" s="98">
        <v>0</v>
      </c>
      <c r="S502" s="101">
        <f t="shared" si="363"/>
        <v>0</v>
      </c>
      <c r="T502" s="100">
        <v>0</v>
      </c>
      <c r="U502" s="98">
        <v>0</v>
      </c>
      <c r="V502" s="101">
        <f t="shared" ref="V502:V507" si="365">T502*U502</f>
        <v>0</v>
      </c>
      <c r="W502" s="100">
        <v>0</v>
      </c>
      <c r="X502" s="98">
        <v>0</v>
      </c>
      <c r="Y502" s="147">
        <f t="shared" si="364"/>
        <v>0</v>
      </c>
      <c r="Z502" s="150"/>
    </row>
    <row r="503" spans="2:26" s="35" customFormat="1" ht="17.100000000000001" customHeight="1">
      <c r="B503" s="105"/>
      <c r="C503" s="54"/>
      <c r="D503" s="96"/>
      <c r="E503" s="111"/>
      <c r="F503" s="112"/>
      <c r="G503" s="113"/>
      <c r="H503" s="100">
        <v>0</v>
      </c>
      <c r="I503" s="98">
        <v>0</v>
      </c>
      <c r="J503" s="101">
        <f t="shared" si="360"/>
        <v>0</v>
      </c>
      <c r="K503" s="100">
        <v>0</v>
      </c>
      <c r="L503" s="98">
        <v>0</v>
      </c>
      <c r="M503" s="101">
        <f t="shared" si="361"/>
        <v>0</v>
      </c>
      <c r="N503" s="100">
        <v>0</v>
      </c>
      <c r="O503" s="98">
        <v>0</v>
      </c>
      <c r="P503" s="101">
        <f t="shared" si="362"/>
        <v>0</v>
      </c>
      <c r="Q503" s="100">
        <v>0</v>
      </c>
      <c r="R503" s="98">
        <v>0</v>
      </c>
      <c r="S503" s="101">
        <f t="shared" si="363"/>
        <v>0</v>
      </c>
      <c r="T503" s="100">
        <v>0</v>
      </c>
      <c r="U503" s="98">
        <v>0</v>
      </c>
      <c r="V503" s="101">
        <f t="shared" si="365"/>
        <v>0</v>
      </c>
      <c r="W503" s="100">
        <v>0</v>
      </c>
      <c r="X503" s="98">
        <v>0</v>
      </c>
      <c r="Y503" s="147">
        <f t="shared" si="364"/>
        <v>0</v>
      </c>
      <c r="Z503" s="150"/>
    </row>
    <row r="504" spans="2:26" s="35" customFormat="1" ht="17.100000000000001" customHeight="1">
      <c r="B504" s="105"/>
      <c r="C504" s="54"/>
      <c r="D504" s="96"/>
      <c r="E504" s="111"/>
      <c r="F504" s="112"/>
      <c r="G504" s="113"/>
      <c r="H504" s="100">
        <v>0</v>
      </c>
      <c r="I504" s="98">
        <v>0</v>
      </c>
      <c r="J504" s="101">
        <f t="shared" si="360"/>
        <v>0</v>
      </c>
      <c r="K504" s="100">
        <v>0</v>
      </c>
      <c r="L504" s="98">
        <v>0</v>
      </c>
      <c r="M504" s="101">
        <f t="shared" si="361"/>
        <v>0</v>
      </c>
      <c r="N504" s="100">
        <v>0</v>
      </c>
      <c r="O504" s="98">
        <v>0</v>
      </c>
      <c r="P504" s="101">
        <f t="shared" si="362"/>
        <v>0</v>
      </c>
      <c r="Q504" s="100">
        <v>0</v>
      </c>
      <c r="R504" s="98">
        <v>0</v>
      </c>
      <c r="S504" s="101">
        <f t="shared" si="363"/>
        <v>0</v>
      </c>
      <c r="T504" s="100">
        <v>0</v>
      </c>
      <c r="U504" s="98">
        <v>0</v>
      </c>
      <c r="V504" s="101">
        <f t="shared" si="365"/>
        <v>0</v>
      </c>
      <c r="W504" s="100">
        <v>0</v>
      </c>
      <c r="X504" s="98">
        <v>0</v>
      </c>
      <c r="Y504" s="147">
        <f t="shared" si="364"/>
        <v>0</v>
      </c>
      <c r="Z504" s="150"/>
    </row>
    <row r="505" spans="2:26" s="35" customFormat="1" ht="17.100000000000001" customHeight="1">
      <c r="B505" s="105"/>
      <c r="C505" s="54"/>
      <c r="D505" s="96"/>
      <c r="E505" s="111"/>
      <c r="F505" s="112"/>
      <c r="G505" s="113"/>
      <c r="H505" s="100">
        <v>0</v>
      </c>
      <c r="I505" s="98">
        <v>0</v>
      </c>
      <c r="J505" s="101">
        <f t="shared" si="360"/>
        <v>0</v>
      </c>
      <c r="K505" s="100">
        <v>0</v>
      </c>
      <c r="L505" s="98">
        <v>0</v>
      </c>
      <c r="M505" s="101">
        <f t="shared" si="361"/>
        <v>0</v>
      </c>
      <c r="N505" s="100">
        <v>0</v>
      </c>
      <c r="O505" s="98">
        <v>0</v>
      </c>
      <c r="P505" s="101">
        <f t="shared" si="362"/>
        <v>0</v>
      </c>
      <c r="Q505" s="100">
        <v>0</v>
      </c>
      <c r="R505" s="98">
        <v>0</v>
      </c>
      <c r="S505" s="101">
        <f t="shared" si="363"/>
        <v>0</v>
      </c>
      <c r="T505" s="100">
        <v>0</v>
      </c>
      <c r="U505" s="98">
        <v>0</v>
      </c>
      <c r="V505" s="101">
        <f t="shared" si="365"/>
        <v>0</v>
      </c>
      <c r="W505" s="100">
        <v>0</v>
      </c>
      <c r="X505" s="98">
        <v>0</v>
      </c>
      <c r="Y505" s="147">
        <f t="shared" si="364"/>
        <v>0</v>
      </c>
      <c r="Z505" s="150"/>
    </row>
    <row r="506" spans="2:26" s="35" customFormat="1" ht="17.100000000000001" customHeight="1">
      <c r="B506" s="105"/>
      <c r="C506" s="54"/>
      <c r="D506" s="96"/>
      <c r="E506" s="111"/>
      <c r="F506" s="112"/>
      <c r="G506" s="113"/>
      <c r="H506" s="100">
        <v>0</v>
      </c>
      <c r="I506" s="98">
        <v>0</v>
      </c>
      <c r="J506" s="101">
        <f t="shared" si="360"/>
        <v>0</v>
      </c>
      <c r="K506" s="100">
        <v>0</v>
      </c>
      <c r="L506" s="98">
        <v>0</v>
      </c>
      <c r="M506" s="101">
        <f t="shared" si="361"/>
        <v>0</v>
      </c>
      <c r="N506" s="100">
        <v>0</v>
      </c>
      <c r="O506" s="98">
        <v>0</v>
      </c>
      <c r="P506" s="101">
        <f t="shared" si="362"/>
        <v>0</v>
      </c>
      <c r="Q506" s="100">
        <v>0</v>
      </c>
      <c r="R506" s="98">
        <v>0</v>
      </c>
      <c r="S506" s="101">
        <f t="shared" si="363"/>
        <v>0</v>
      </c>
      <c r="T506" s="100">
        <v>0</v>
      </c>
      <c r="U506" s="98">
        <v>0</v>
      </c>
      <c r="V506" s="101">
        <f t="shared" si="365"/>
        <v>0</v>
      </c>
      <c r="W506" s="100">
        <v>0</v>
      </c>
      <c r="X506" s="98">
        <v>0</v>
      </c>
      <c r="Y506" s="147">
        <f t="shared" si="364"/>
        <v>0</v>
      </c>
      <c r="Z506" s="150"/>
    </row>
    <row r="507" spans="2:26" s="35" customFormat="1" ht="17.100000000000001" customHeight="1">
      <c r="B507" s="105"/>
      <c r="C507" s="54"/>
      <c r="D507" s="96"/>
      <c r="E507" s="111"/>
      <c r="F507" s="112"/>
      <c r="G507" s="113"/>
      <c r="H507" s="100">
        <v>0</v>
      </c>
      <c r="I507" s="98">
        <v>0</v>
      </c>
      <c r="J507" s="101">
        <f t="shared" si="360"/>
        <v>0</v>
      </c>
      <c r="K507" s="100">
        <v>0</v>
      </c>
      <c r="L507" s="98">
        <v>0</v>
      </c>
      <c r="M507" s="101">
        <f t="shared" si="361"/>
        <v>0</v>
      </c>
      <c r="N507" s="100">
        <v>0</v>
      </c>
      <c r="O507" s="98">
        <v>0</v>
      </c>
      <c r="P507" s="101">
        <f t="shared" si="362"/>
        <v>0</v>
      </c>
      <c r="Q507" s="100">
        <v>0</v>
      </c>
      <c r="R507" s="98">
        <v>0</v>
      </c>
      <c r="S507" s="101">
        <f t="shared" si="363"/>
        <v>0</v>
      </c>
      <c r="T507" s="100">
        <v>0</v>
      </c>
      <c r="U507" s="98">
        <v>0</v>
      </c>
      <c r="V507" s="101">
        <f t="shared" si="365"/>
        <v>0</v>
      </c>
      <c r="W507" s="100">
        <v>0</v>
      </c>
      <c r="X507" s="98">
        <v>0</v>
      </c>
      <c r="Y507" s="147">
        <f t="shared" si="364"/>
        <v>0</v>
      </c>
      <c r="Z507" s="150"/>
    </row>
    <row r="508" spans="2:26" s="126" customFormat="1" ht="17.100000000000001" customHeight="1">
      <c r="B508" s="118"/>
      <c r="C508" s="119"/>
      <c r="D508" s="120"/>
      <c r="E508" s="121"/>
      <c r="F508" s="122"/>
      <c r="G508" s="123"/>
      <c r="H508" s="341" t="s">
        <v>201</v>
      </c>
      <c r="I508" s="342"/>
      <c r="J508" s="124">
        <f>SUM(J501:J507)</f>
        <v>0</v>
      </c>
      <c r="K508" s="341" t="s">
        <v>201</v>
      </c>
      <c r="L508" s="342"/>
      <c r="M508" s="124">
        <f>SUM(M501:M507)</f>
        <v>0</v>
      </c>
      <c r="N508" s="341" t="s">
        <v>201</v>
      </c>
      <c r="O508" s="342"/>
      <c r="P508" s="124">
        <f>SUM(P501:P507)</f>
        <v>0</v>
      </c>
      <c r="Q508" s="341" t="s">
        <v>201</v>
      </c>
      <c r="R508" s="342"/>
      <c r="S508" s="124">
        <f>SUM(S501:S507)</f>
        <v>0</v>
      </c>
      <c r="T508" s="341" t="s">
        <v>201</v>
      </c>
      <c r="U508" s="342"/>
      <c r="V508" s="124">
        <f>SUM(V501:V507)</f>
        <v>0</v>
      </c>
      <c r="W508" s="341" t="s">
        <v>201</v>
      </c>
      <c r="X508" s="342"/>
      <c r="Y508" s="127">
        <f>SUM(Y501:Y507)</f>
        <v>0</v>
      </c>
      <c r="Z508" s="151"/>
    </row>
    <row r="509" spans="2:26" s="35" customFormat="1" ht="17.100000000000001" customHeight="1">
      <c r="B509" s="105"/>
      <c r="C509" s="54">
        <f>'2. Rekap Back Up Beton'!C82</f>
        <v>15900</v>
      </c>
      <c r="D509" s="96">
        <f>'2. Rekap Back Up Beton'!D82</f>
        <v>16000</v>
      </c>
      <c r="E509" s="111">
        <f>'2. Rekap Back Up Beton'!E82</f>
        <v>6</v>
      </c>
      <c r="F509" s="112">
        <f>(100/((D509-C509)*E509))*((J516*0.5)+(M516*1)+(P516*2)+(S516*20)+(V516*15)+(Y516*1.5))</f>
        <v>0</v>
      </c>
      <c r="G509" s="113" t="str">
        <f>IF(F509&lt;=25,"B",IF(F509&lt;=75,"S",IF(F509&lt;=100,"RR","RB")))</f>
        <v>B</v>
      </c>
      <c r="H509" s="100">
        <v>0</v>
      </c>
      <c r="I509" s="98">
        <v>0</v>
      </c>
      <c r="J509" s="101">
        <f t="shared" ref="J509:J515" si="366">H509*I509</f>
        <v>0</v>
      </c>
      <c r="K509" s="100">
        <v>0</v>
      </c>
      <c r="L509" s="98">
        <v>0</v>
      </c>
      <c r="M509" s="101">
        <f t="shared" ref="M509:M515" si="367">K509*L509</f>
        <v>0</v>
      </c>
      <c r="N509" s="100">
        <v>0</v>
      </c>
      <c r="O509" s="98">
        <v>4</v>
      </c>
      <c r="P509" s="101">
        <f t="shared" ref="P509:P515" si="368">N509*O509</f>
        <v>0</v>
      </c>
      <c r="Q509" s="100">
        <v>0</v>
      </c>
      <c r="R509" s="98">
        <v>0</v>
      </c>
      <c r="S509" s="101">
        <f t="shared" ref="S509:S515" si="369">Q509*R509</f>
        <v>0</v>
      </c>
      <c r="T509" s="100">
        <v>0</v>
      </c>
      <c r="U509" s="98">
        <v>0</v>
      </c>
      <c r="V509" s="101">
        <f>T509*U509</f>
        <v>0</v>
      </c>
      <c r="W509" s="100">
        <v>0</v>
      </c>
      <c r="X509" s="98">
        <v>0</v>
      </c>
      <c r="Y509" s="147">
        <f t="shared" ref="Y509:Y515" si="370">W509*X509</f>
        <v>0</v>
      </c>
      <c r="Z509" s="150"/>
    </row>
    <row r="510" spans="2:26" s="35" customFormat="1" ht="17.100000000000001" customHeight="1">
      <c r="B510" s="105"/>
      <c r="C510" s="54"/>
      <c r="D510" s="96"/>
      <c r="E510" s="111"/>
      <c r="F510" s="112"/>
      <c r="G510" s="113"/>
      <c r="H510" s="100">
        <v>0</v>
      </c>
      <c r="I510" s="98">
        <v>0</v>
      </c>
      <c r="J510" s="101">
        <f t="shared" si="366"/>
        <v>0</v>
      </c>
      <c r="K510" s="100">
        <v>0</v>
      </c>
      <c r="L510" s="98">
        <v>0</v>
      </c>
      <c r="M510" s="101">
        <f t="shared" si="367"/>
        <v>0</v>
      </c>
      <c r="N510" s="100">
        <v>0</v>
      </c>
      <c r="O510" s="98">
        <v>0</v>
      </c>
      <c r="P510" s="101">
        <f t="shared" si="368"/>
        <v>0</v>
      </c>
      <c r="Q510" s="100">
        <v>0</v>
      </c>
      <c r="R510" s="98">
        <v>0</v>
      </c>
      <c r="S510" s="101">
        <f t="shared" si="369"/>
        <v>0</v>
      </c>
      <c r="T510" s="100">
        <v>0</v>
      </c>
      <c r="U510" s="98">
        <v>0</v>
      </c>
      <c r="V510" s="101">
        <f t="shared" ref="V510:V515" si="371">T510*U510</f>
        <v>0</v>
      </c>
      <c r="W510" s="100">
        <v>0</v>
      </c>
      <c r="X510" s="98">
        <v>0</v>
      </c>
      <c r="Y510" s="147">
        <f t="shared" si="370"/>
        <v>0</v>
      </c>
      <c r="Z510" s="150"/>
    </row>
    <row r="511" spans="2:26" s="35" customFormat="1" ht="17.100000000000001" customHeight="1">
      <c r="B511" s="105"/>
      <c r="C511" s="54"/>
      <c r="D511" s="96"/>
      <c r="E511" s="111"/>
      <c r="F511" s="112"/>
      <c r="G511" s="113"/>
      <c r="H511" s="100">
        <v>0</v>
      </c>
      <c r="I511" s="98">
        <v>0</v>
      </c>
      <c r="J511" s="101">
        <f t="shared" si="366"/>
        <v>0</v>
      </c>
      <c r="K511" s="100">
        <v>0</v>
      </c>
      <c r="L511" s="98">
        <v>0</v>
      </c>
      <c r="M511" s="101">
        <f t="shared" si="367"/>
        <v>0</v>
      </c>
      <c r="N511" s="100">
        <v>0</v>
      </c>
      <c r="O511" s="98">
        <v>0</v>
      </c>
      <c r="P511" s="101">
        <f t="shared" si="368"/>
        <v>0</v>
      </c>
      <c r="Q511" s="100">
        <v>0</v>
      </c>
      <c r="R511" s="98">
        <v>0</v>
      </c>
      <c r="S511" s="101">
        <f t="shared" si="369"/>
        <v>0</v>
      </c>
      <c r="T511" s="100">
        <v>0</v>
      </c>
      <c r="U511" s="98">
        <v>0</v>
      </c>
      <c r="V511" s="101">
        <f t="shared" si="371"/>
        <v>0</v>
      </c>
      <c r="W511" s="100">
        <v>0</v>
      </c>
      <c r="X511" s="98">
        <v>0</v>
      </c>
      <c r="Y511" s="147">
        <f t="shared" si="370"/>
        <v>0</v>
      </c>
      <c r="Z511" s="150"/>
    </row>
    <row r="512" spans="2:26" s="35" customFormat="1" ht="17.100000000000001" customHeight="1">
      <c r="B512" s="105"/>
      <c r="C512" s="54"/>
      <c r="D512" s="96"/>
      <c r="E512" s="111"/>
      <c r="F512" s="112"/>
      <c r="G512" s="113"/>
      <c r="H512" s="100">
        <v>0</v>
      </c>
      <c r="I512" s="98">
        <v>0</v>
      </c>
      <c r="J512" s="101">
        <f t="shared" si="366"/>
        <v>0</v>
      </c>
      <c r="K512" s="100">
        <v>0</v>
      </c>
      <c r="L512" s="98">
        <v>0</v>
      </c>
      <c r="M512" s="101">
        <f t="shared" si="367"/>
        <v>0</v>
      </c>
      <c r="N512" s="100">
        <v>0</v>
      </c>
      <c r="O512" s="98">
        <v>0</v>
      </c>
      <c r="P512" s="101">
        <f t="shared" si="368"/>
        <v>0</v>
      </c>
      <c r="Q512" s="100">
        <v>0</v>
      </c>
      <c r="R512" s="98">
        <v>0</v>
      </c>
      <c r="S512" s="101">
        <f t="shared" si="369"/>
        <v>0</v>
      </c>
      <c r="T512" s="100">
        <v>0</v>
      </c>
      <c r="U512" s="98">
        <v>0</v>
      </c>
      <c r="V512" s="101">
        <f t="shared" si="371"/>
        <v>0</v>
      </c>
      <c r="W512" s="100">
        <v>0</v>
      </c>
      <c r="X512" s="98">
        <v>0</v>
      </c>
      <c r="Y512" s="147">
        <f t="shared" si="370"/>
        <v>0</v>
      </c>
      <c r="Z512" s="150"/>
    </row>
    <row r="513" spans="2:26" s="35" customFormat="1" ht="17.100000000000001" customHeight="1">
      <c r="B513" s="105"/>
      <c r="C513" s="54"/>
      <c r="D513" s="96"/>
      <c r="E513" s="111"/>
      <c r="F513" s="112"/>
      <c r="G513" s="113"/>
      <c r="H513" s="100">
        <v>0</v>
      </c>
      <c r="I513" s="98">
        <v>0</v>
      </c>
      <c r="J513" s="101">
        <f t="shared" si="366"/>
        <v>0</v>
      </c>
      <c r="K513" s="100">
        <v>0</v>
      </c>
      <c r="L513" s="98">
        <v>0</v>
      </c>
      <c r="M513" s="101">
        <f t="shared" si="367"/>
        <v>0</v>
      </c>
      <c r="N513" s="100">
        <v>0</v>
      </c>
      <c r="O513" s="98">
        <v>0</v>
      </c>
      <c r="P513" s="101">
        <f t="shared" si="368"/>
        <v>0</v>
      </c>
      <c r="Q513" s="100">
        <v>0</v>
      </c>
      <c r="R513" s="98">
        <v>0</v>
      </c>
      <c r="S513" s="101">
        <f t="shared" si="369"/>
        <v>0</v>
      </c>
      <c r="T513" s="100">
        <v>0</v>
      </c>
      <c r="U513" s="98">
        <v>0</v>
      </c>
      <c r="V513" s="101">
        <f t="shared" si="371"/>
        <v>0</v>
      </c>
      <c r="W513" s="100">
        <v>0</v>
      </c>
      <c r="X513" s="98">
        <v>0</v>
      </c>
      <c r="Y513" s="147">
        <f t="shared" si="370"/>
        <v>0</v>
      </c>
      <c r="Z513" s="150"/>
    </row>
    <row r="514" spans="2:26" s="35" customFormat="1" ht="17.100000000000001" customHeight="1">
      <c r="B514" s="105"/>
      <c r="C514" s="54"/>
      <c r="D514" s="96"/>
      <c r="E514" s="111"/>
      <c r="F514" s="112"/>
      <c r="G514" s="113"/>
      <c r="H514" s="100">
        <v>0</v>
      </c>
      <c r="I514" s="98">
        <v>0</v>
      </c>
      <c r="J514" s="101">
        <f t="shared" si="366"/>
        <v>0</v>
      </c>
      <c r="K514" s="100">
        <v>0</v>
      </c>
      <c r="L514" s="98">
        <v>0</v>
      </c>
      <c r="M514" s="101">
        <f t="shared" si="367"/>
        <v>0</v>
      </c>
      <c r="N514" s="100">
        <v>0</v>
      </c>
      <c r="O514" s="98">
        <v>0</v>
      </c>
      <c r="P514" s="101">
        <f t="shared" si="368"/>
        <v>0</v>
      </c>
      <c r="Q514" s="100">
        <v>0</v>
      </c>
      <c r="R514" s="98">
        <v>0</v>
      </c>
      <c r="S514" s="101">
        <f t="shared" si="369"/>
        <v>0</v>
      </c>
      <c r="T514" s="100">
        <v>0</v>
      </c>
      <c r="U514" s="98">
        <v>0</v>
      </c>
      <c r="V514" s="101">
        <f t="shared" si="371"/>
        <v>0</v>
      </c>
      <c r="W514" s="100">
        <v>0</v>
      </c>
      <c r="X514" s="98">
        <v>0</v>
      </c>
      <c r="Y514" s="147">
        <f t="shared" si="370"/>
        <v>0</v>
      </c>
      <c r="Z514" s="150"/>
    </row>
    <row r="515" spans="2:26" s="35" customFormat="1" ht="17.100000000000001" customHeight="1">
      <c r="B515" s="105"/>
      <c r="C515" s="54"/>
      <c r="D515" s="96"/>
      <c r="E515" s="111"/>
      <c r="F515" s="112"/>
      <c r="G515" s="113"/>
      <c r="H515" s="100">
        <v>0</v>
      </c>
      <c r="I515" s="98">
        <v>0</v>
      </c>
      <c r="J515" s="101">
        <f t="shared" si="366"/>
        <v>0</v>
      </c>
      <c r="K515" s="100">
        <v>0</v>
      </c>
      <c r="L515" s="98">
        <v>0</v>
      </c>
      <c r="M515" s="101">
        <f t="shared" si="367"/>
        <v>0</v>
      </c>
      <c r="N515" s="100">
        <v>0</v>
      </c>
      <c r="O515" s="98">
        <v>0</v>
      </c>
      <c r="P515" s="101">
        <f t="shared" si="368"/>
        <v>0</v>
      </c>
      <c r="Q515" s="100">
        <v>0</v>
      </c>
      <c r="R515" s="98">
        <v>0</v>
      </c>
      <c r="S515" s="101">
        <f t="shared" si="369"/>
        <v>0</v>
      </c>
      <c r="T515" s="100">
        <v>0</v>
      </c>
      <c r="U515" s="98">
        <v>0</v>
      </c>
      <c r="V515" s="101">
        <f t="shared" si="371"/>
        <v>0</v>
      </c>
      <c r="W515" s="100">
        <v>0</v>
      </c>
      <c r="X515" s="98">
        <v>0</v>
      </c>
      <c r="Y515" s="147">
        <f t="shared" si="370"/>
        <v>0</v>
      </c>
      <c r="Z515" s="150"/>
    </row>
    <row r="516" spans="2:26" s="126" customFormat="1" ht="17.100000000000001" customHeight="1">
      <c r="B516" s="118"/>
      <c r="C516" s="119"/>
      <c r="D516" s="120"/>
      <c r="E516" s="121"/>
      <c r="F516" s="122"/>
      <c r="G516" s="123"/>
      <c r="H516" s="341" t="s">
        <v>201</v>
      </c>
      <c r="I516" s="342"/>
      <c r="J516" s="124">
        <f>SUM(J509:J515)</f>
        <v>0</v>
      </c>
      <c r="K516" s="341" t="s">
        <v>201</v>
      </c>
      <c r="L516" s="342"/>
      <c r="M516" s="124">
        <f>SUM(M509:M515)</f>
        <v>0</v>
      </c>
      <c r="N516" s="341" t="s">
        <v>201</v>
      </c>
      <c r="O516" s="342"/>
      <c r="P516" s="124">
        <f>SUM(P509:P515)</f>
        <v>0</v>
      </c>
      <c r="Q516" s="341" t="s">
        <v>201</v>
      </c>
      <c r="R516" s="342"/>
      <c r="S516" s="124">
        <f>SUM(S509:S515)</f>
        <v>0</v>
      </c>
      <c r="T516" s="341" t="s">
        <v>201</v>
      </c>
      <c r="U516" s="342"/>
      <c r="V516" s="124">
        <f>SUM(V509:V515)</f>
        <v>0</v>
      </c>
      <c r="W516" s="341" t="s">
        <v>201</v>
      </c>
      <c r="X516" s="342"/>
      <c r="Y516" s="127">
        <f>SUM(Y509:Y515)</f>
        <v>0</v>
      </c>
      <c r="Z516" s="151"/>
    </row>
    <row r="517" spans="2:26" s="35" customFormat="1" ht="17.100000000000001" customHeight="1">
      <c r="B517" s="105"/>
      <c r="C517" s="54">
        <f>'2. Rekap Back Up Beton'!C83</f>
        <v>16000</v>
      </c>
      <c r="D517" s="96">
        <f>'2. Rekap Back Up Beton'!D83</f>
        <v>16100</v>
      </c>
      <c r="E517" s="111">
        <f>'2. Rekap Back Up Beton'!E83</f>
        <v>6</v>
      </c>
      <c r="F517" s="112">
        <f>(100/((D517-C517)*E517))*((J524*0.5)+(M524*1)+(P524*2)+(S524*20)+(V524*15)+(Y524*1.5))</f>
        <v>0</v>
      </c>
      <c r="G517" s="113" t="str">
        <f>IF(F517&lt;=25,"B",IF(F517&lt;=75,"S",IF(F517&lt;=100,"RR","RB")))</f>
        <v>B</v>
      </c>
      <c r="H517" s="100">
        <v>0</v>
      </c>
      <c r="I517" s="98">
        <v>0</v>
      </c>
      <c r="J517" s="101">
        <f t="shared" ref="J517:J523" si="372">H517*I517</f>
        <v>0</v>
      </c>
      <c r="K517" s="100">
        <v>0</v>
      </c>
      <c r="L517" s="98">
        <v>0</v>
      </c>
      <c r="M517" s="101">
        <f t="shared" ref="M517:M523" si="373">K517*L517</f>
        <v>0</v>
      </c>
      <c r="N517" s="100">
        <v>0</v>
      </c>
      <c r="O517" s="98">
        <v>4</v>
      </c>
      <c r="P517" s="101">
        <f t="shared" ref="P517:P523" si="374">N517*O517</f>
        <v>0</v>
      </c>
      <c r="Q517" s="100">
        <v>0</v>
      </c>
      <c r="R517" s="98">
        <v>0</v>
      </c>
      <c r="S517" s="101">
        <f t="shared" ref="S517:S523" si="375">Q517*R517</f>
        <v>0</v>
      </c>
      <c r="T517" s="100">
        <v>0</v>
      </c>
      <c r="U517" s="98">
        <v>0</v>
      </c>
      <c r="V517" s="101">
        <f>T517*U517</f>
        <v>0</v>
      </c>
      <c r="W517" s="100">
        <v>0</v>
      </c>
      <c r="X517" s="98">
        <v>0</v>
      </c>
      <c r="Y517" s="147">
        <f t="shared" ref="Y517:Y523" si="376">W517*X517</f>
        <v>0</v>
      </c>
      <c r="Z517" s="150"/>
    </row>
    <row r="518" spans="2:26" s="35" customFormat="1" ht="17.100000000000001" customHeight="1">
      <c r="B518" s="105"/>
      <c r="C518" s="54"/>
      <c r="D518" s="96"/>
      <c r="E518" s="111"/>
      <c r="F518" s="112"/>
      <c r="G518" s="113"/>
      <c r="H518" s="100">
        <v>0</v>
      </c>
      <c r="I518" s="98">
        <v>0</v>
      </c>
      <c r="J518" s="101">
        <f t="shared" si="372"/>
        <v>0</v>
      </c>
      <c r="K518" s="100">
        <v>0</v>
      </c>
      <c r="L518" s="98">
        <v>0</v>
      </c>
      <c r="M518" s="101">
        <f t="shared" si="373"/>
        <v>0</v>
      </c>
      <c r="N518" s="100">
        <v>0</v>
      </c>
      <c r="O518" s="98">
        <v>0</v>
      </c>
      <c r="P518" s="101">
        <f t="shared" si="374"/>
        <v>0</v>
      </c>
      <c r="Q518" s="100">
        <v>0</v>
      </c>
      <c r="R518" s="98">
        <v>0</v>
      </c>
      <c r="S518" s="101">
        <f t="shared" si="375"/>
        <v>0</v>
      </c>
      <c r="T518" s="100">
        <v>0</v>
      </c>
      <c r="U518" s="98">
        <v>0</v>
      </c>
      <c r="V518" s="101">
        <f t="shared" ref="V518:V523" si="377">T518*U518</f>
        <v>0</v>
      </c>
      <c r="W518" s="100">
        <v>0</v>
      </c>
      <c r="X518" s="98">
        <v>0</v>
      </c>
      <c r="Y518" s="147">
        <f t="shared" si="376"/>
        <v>0</v>
      </c>
      <c r="Z518" s="150"/>
    </row>
    <row r="519" spans="2:26" s="35" customFormat="1" ht="17.100000000000001" customHeight="1">
      <c r="B519" s="105"/>
      <c r="C519" s="54"/>
      <c r="D519" s="96"/>
      <c r="E519" s="111"/>
      <c r="F519" s="112"/>
      <c r="G519" s="113"/>
      <c r="H519" s="100">
        <v>0</v>
      </c>
      <c r="I519" s="98">
        <v>0</v>
      </c>
      <c r="J519" s="101">
        <f t="shared" si="372"/>
        <v>0</v>
      </c>
      <c r="K519" s="100">
        <v>0</v>
      </c>
      <c r="L519" s="98">
        <v>0</v>
      </c>
      <c r="M519" s="101">
        <f t="shared" si="373"/>
        <v>0</v>
      </c>
      <c r="N519" s="100">
        <v>0</v>
      </c>
      <c r="O519" s="98">
        <v>0</v>
      </c>
      <c r="P519" s="101">
        <f t="shared" si="374"/>
        <v>0</v>
      </c>
      <c r="Q519" s="100">
        <v>0</v>
      </c>
      <c r="R519" s="98">
        <v>0</v>
      </c>
      <c r="S519" s="101">
        <f t="shared" si="375"/>
        <v>0</v>
      </c>
      <c r="T519" s="100">
        <v>0</v>
      </c>
      <c r="U519" s="98">
        <v>0</v>
      </c>
      <c r="V519" s="101">
        <f t="shared" si="377"/>
        <v>0</v>
      </c>
      <c r="W519" s="100">
        <v>0</v>
      </c>
      <c r="X519" s="98">
        <v>0</v>
      </c>
      <c r="Y519" s="147">
        <f t="shared" si="376"/>
        <v>0</v>
      </c>
      <c r="Z519" s="150"/>
    </row>
    <row r="520" spans="2:26" s="35" customFormat="1" ht="17.100000000000001" customHeight="1">
      <c r="B520" s="105"/>
      <c r="C520" s="54"/>
      <c r="D520" s="96"/>
      <c r="E520" s="111"/>
      <c r="F520" s="112"/>
      <c r="G520" s="113"/>
      <c r="H520" s="100">
        <v>0</v>
      </c>
      <c r="I520" s="98">
        <v>0</v>
      </c>
      <c r="J520" s="101">
        <f t="shared" si="372"/>
        <v>0</v>
      </c>
      <c r="K520" s="100">
        <v>0</v>
      </c>
      <c r="L520" s="98">
        <v>0</v>
      </c>
      <c r="M520" s="101">
        <f t="shared" si="373"/>
        <v>0</v>
      </c>
      <c r="N520" s="100">
        <v>0</v>
      </c>
      <c r="O520" s="98">
        <v>0</v>
      </c>
      <c r="P520" s="101">
        <f t="shared" si="374"/>
        <v>0</v>
      </c>
      <c r="Q520" s="100">
        <v>0</v>
      </c>
      <c r="R520" s="98">
        <v>0</v>
      </c>
      <c r="S520" s="101">
        <f t="shared" si="375"/>
        <v>0</v>
      </c>
      <c r="T520" s="100">
        <v>0</v>
      </c>
      <c r="U520" s="98">
        <v>0</v>
      </c>
      <c r="V520" s="101">
        <f t="shared" si="377"/>
        <v>0</v>
      </c>
      <c r="W520" s="100">
        <v>0</v>
      </c>
      <c r="X520" s="98">
        <v>0</v>
      </c>
      <c r="Y520" s="147">
        <f t="shared" si="376"/>
        <v>0</v>
      </c>
      <c r="Z520" s="150"/>
    </row>
    <row r="521" spans="2:26" s="35" customFormat="1" ht="17.100000000000001" customHeight="1">
      <c r="B521" s="105"/>
      <c r="C521" s="54"/>
      <c r="D521" s="96"/>
      <c r="E521" s="111"/>
      <c r="F521" s="112"/>
      <c r="G521" s="113"/>
      <c r="H521" s="100">
        <v>0</v>
      </c>
      <c r="I521" s="98">
        <v>0</v>
      </c>
      <c r="J521" s="101">
        <f t="shared" si="372"/>
        <v>0</v>
      </c>
      <c r="K521" s="100">
        <v>0</v>
      </c>
      <c r="L521" s="98">
        <v>0</v>
      </c>
      <c r="M521" s="101">
        <f t="shared" si="373"/>
        <v>0</v>
      </c>
      <c r="N521" s="100">
        <v>0</v>
      </c>
      <c r="O521" s="98">
        <v>0</v>
      </c>
      <c r="P521" s="101">
        <f t="shared" si="374"/>
        <v>0</v>
      </c>
      <c r="Q521" s="100">
        <v>0</v>
      </c>
      <c r="R521" s="98">
        <v>0</v>
      </c>
      <c r="S521" s="101">
        <f t="shared" si="375"/>
        <v>0</v>
      </c>
      <c r="T521" s="100">
        <v>0</v>
      </c>
      <c r="U521" s="98">
        <v>0</v>
      </c>
      <c r="V521" s="101">
        <f t="shared" si="377"/>
        <v>0</v>
      </c>
      <c r="W521" s="100">
        <v>0</v>
      </c>
      <c r="X521" s="98">
        <v>0</v>
      </c>
      <c r="Y521" s="147">
        <f t="shared" si="376"/>
        <v>0</v>
      </c>
      <c r="Z521" s="150"/>
    </row>
    <row r="522" spans="2:26" s="35" customFormat="1" ht="17.100000000000001" customHeight="1">
      <c r="B522" s="105"/>
      <c r="C522" s="54"/>
      <c r="D522" s="96"/>
      <c r="E522" s="111"/>
      <c r="F522" s="112"/>
      <c r="G522" s="113"/>
      <c r="H522" s="100">
        <v>0</v>
      </c>
      <c r="I522" s="98">
        <v>0</v>
      </c>
      <c r="J522" s="101">
        <f t="shared" si="372"/>
        <v>0</v>
      </c>
      <c r="K522" s="100">
        <v>0</v>
      </c>
      <c r="L522" s="98">
        <v>0</v>
      </c>
      <c r="M522" s="101">
        <f t="shared" si="373"/>
        <v>0</v>
      </c>
      <c r="N522" s="100">
        <v>0</v>
      </c>
      <c r="O522" s="98">
        <v>0</v>
      </c>
      <c r="P522" s="101">
        <f t="shared" si="374"/>
        <v>0</v>
      </c>
      <c r="Q522" s="100">
        <v>0</v>
      </c>
      <c r="R522" s="98">
        <v>0</v>
      </c>
      <c r="S522" s="101">
        <f t="shared" si="375"/>
        <v>0</v>
      </c>
      <c r="T522" s="100">
        <v>0</v>
      </c>
      <c r="U522" s="98">
        <v>0</v>
      </c>
      <c r="V522" s="101">
        <f t="shared" si="377"/>
        <v>0</v>
      </c>
      <c r="W522" s="100">
        <v>0</v>
      </c>
      <c r="X522" s="98">
        <v>0</v>
      </c>
      <c r="Y522" s="147">
        <f t="shared" si="376"/>
        <v>0</v>
      </c>
      <c r="Z522" s="150"/>
    </row>
    <row r="523" spans="2:26" s="35" customFormat="1" ht="17.100000000000001" customHeight="1">
      <c r="B523" s="105"/>
      <c r="C523" s="54"/>
      <c r="D523" s="96"/>
      <c r="E523" s="111"/>
      <c r="F523" s="112"/>
      <c r="G523" s="113"/>
      <c r="H523" s="100">
        <v>0</v>
      </c>
      <c r="I523" s="98">
        <v>0</v>
      </c>
      <c r="J523" s="101">
        <f t="shared" si="372"/>
        <v>0</v>
      </c>
      <c r="K523" s="100">
        <v>0</v>
      </c>
      <c r="L523" s="98">
        <v>0</v>
      </c>
      <c r="M523" s="101">
        <f t="shared" si="373"/>
        <v>0</v>
      </c>
      <c r="N523" s="100">
        <v>0</v>
      </c>
      <c r="O523" s="98">
        <v>0</v>
      </c>
      <c r="P523" s="101">
        <f t="shared" si="374"/>
        <v>0</v>
      </c>
      <c r="Q523" s="100">
        <v>0</v>
      </c>
      <c r="R523" s="98">
        <v>0</v>
      </c>
      <c r="S523" s="101">
        <f t="shared" si="375"/>
        <v>0</v>
      </c>
      <c r="T523" s="100">
        <v>0</v>
      </c>
      <c r="U523" s="98">
        <v>0</v>
      </c>
      <c r="V523" s="101">
        <f t="shared" si="377"/>
        <v>0</v>
      </c>
      <c r="W523" s="100">
        <v>0</v>
      </c>
      <c r="X523" s="98">
        <v>0</v>
      </c>
      <c r="Y523" s="147">
        <f t="shared" si="376"/>
        <v>0</v>
      </c>
      <c r="Z523" s="150"/>
    </row>
    <row r="524" spans="2:26" s="126" customFormat="1" ht="17.100000000000001" customHeight="1" thickBot="1">
      <c r="B524" s="128"/>
      <c r="C524" s="154"/>
      <c r="D524" s="155"/>
      <c r="E524" s="156"/>
      <c r="F524" s="129"/>
      <c r="G524" s="130"/>
      <c r="H524" s="344" t="s">
        <v>201</v>
      </c>
      <c r="I524" s="345"/>
      <c r="J524" s="131">
        <f>SUM(J517:J523)</f>
        <v>0</v>
      </c>
      <c r="K524" s="344" t="s">
        <v>201</v>
      </c>
      <c r="L524" s="345"/>
      <c r="M524" s="131">
        <f>SUM(M517:M523)</f>
        <v>0</v>
      </c>
      <c r="N524" s="344" t="s">
        <v>201</v>
      </c>
      <c r="O524" s="345"/>
      <c r="P524" s="131">
        <f>SUM(P517:P523)</f>
        <v>0</v>
      </c>
      <c r="Q524" s="344" t="s">
        <v>201</v>
      </c>
      <c r="R524" s="345"/>
      <c r="S524" s="131">
        <f>SUM(S517:S523)</f>
        <v>0</v>
      </c>
      <c r="T524" s="344" t="s">
        <v>201</v>
      </c>
      <c r="U524" s="345"/>
      <c r="V524" s="131">
        <f>SUM(V517:V523)</f>
        <v>0</v>
      </c>
      <c r="W524" s="344" t="s">
        <v>201</v>
      </c>
      <c r="X524" s="345"/>
      <c r="Y524" s="132">
        <f>SUM(Y517:Y523)</f>
        <v>0</v>
      </c>
      <c r="Z524" s="152"/>
    </row>
    <row r="525" spans="2:26" s="35" customFormat="1" ht="17.100000000000001" customHeight="1">
      <c r="B525" s="114"/>
      <c r="C525" s="157">
        <f>'2. Rekap Back Up Beton'!C84</f>
        <v>16100</v>
      </c>
      <c r="D525" s="158">
        <f>'2. Rekap Back Up Beton'!D84</f>
        <v>16200</v>
      </c>
      <c r="E525" s="159">
        <f>'2. Rekap Back Up Beton'!E84</f>
        <v>6</v>
      </c>
      <c r="F525" s="115">
        <f>(100/((D525-C525)*E525))*((J532*0.5)+(M532*1)+(P532*2)+(S532*20)+(V532*15)+(Y532*1.5))</f>
        <v>0</v>
      </c>
      <c r="G525" s="116" t="str">
        <f>IF(F525&lt;=25,"B",IF(F525&lt;=75,"S",IF(F525&lt;=100,"RR","RB")))</f>
        <v>B</v>
      </c>
      <c r="H525" s="135">
        <v>0</v>
      </c>
      <c r="I525" s="136">
        <v>0</v>
      </c>
      <c r="J525" s="137">
        <f t="shared" ref="J525:J531" si="378">H525*I525</f>
        <v>0</v>
      </c>
      <c r="K525" s="135">
        <v>0</v>
      </c>
      <c r="L525" s="136">
        <v>0</v>
      </c>
      <c r="M525" s="137">
        <f t="shared" ref="M525:M531" si="379">K525*L525</f>
        <v>0</v>
      </c>
      <c r="N525" s="135">
        <v>0</v>
      </c>
      <c r="O525" s="136">
        <v>4</v>
      </c>
      <c r="P525" s="137">
        <f t="shared" ref="P525:P531" si="380">N525*O525</f>
        <v>0</v>
      </c>
      <c r="Q525" s="135">
        <v>0</v>
      </c>
      <c r="R525" s="136">
        <v>0</v>
      </c>
      <c r="S525" s="137">
        <f t="shared" ref="S525:S531" si="381">Q525*R525</f>
        <v>0</v>
      </c>
      <c r="T525" s="135">
        <v>0</v>
      </c>
      <c r="U525" s="136">
        <v>0</v>
      </c>
      <c r="V525" s="137">
        <f>T525*U525</f>
        <v>0</v>
      </c>
      <c r="W525" s="135">
        <v>0</v>
      </c>
      <c r="X525" s="136">
        <v>0</v>
      </c>
      <c r="Y525" s="148">
        <f t="shared" ref="Y525:Y531" si="382">W525*X525</f>
        <v>0</v>
      </c>
      <c r="Z525" s="153"/>
    </row>
    <row r="526" spans="2:26" s="35" customFormat="1" ht="17.100000000000001" customHeight="1">
      <c r="B526" s="105"/>
      <c r="C526" s="54"/>
      <c r="D526" s="96"/>
      <c r="E526" s="111"/>
      <c r="F526" s="112"/>
      <c r="G526" s="113"/>
      <c r="H526" s="100">
        <v>0</v>
      </c>
      <c r="I526" s="98">
        <v>0</v>
      </c>
      <c r="J526" s="101">
        <f t="shared" si="378"/>
        <v>0</v>
      </c>
      <c r="K526" s="100">
        <v>0</v>
      </c>
      <c r="L526" s="98">
        <v>0</v>
      </c>
      <c r="M526" s="101">
        <f t="shared" si="379"/>
        <v>0</v>
      </c>
      <c r="N526" s="100">
        <v>0</v>
      </c>
      <c r="O526" s="98">
        <v>0</v>
      </c>
      <c r="P526" s="101">
        <f t="shared" si="380"/>
        <v>0</v>
      </c>
      <c r="Q526" s="100">
        <v>0</v>
      </c>
      <c r="R526" s="98">
        <v>0</v>
      </c>
      <c r="S526" s="101">
        <f t="shared" si="381"/>
        <v>0</v>
      </c>
      <c r="T526" s="100">
        <v>0</v>
      </c>
      <c r="U526" s="98">
        <v>0</v>
      </c>
      <c r="V526" s="101">
        <f t="shared" ref="V526:V531" si="383">T526*U526</f>
        <v>0</v>
      </c>
      <c r="W526" s="100">
        <v>0</v>
      </c>
      <c r="X526" s="98">
        <v>0</v>
      </c>
      <c r="Y526" s="147">
        <f t="shared" si="382"/>
        <v>0</v>
      </c>
      <c r="Z526" s="150"/>
    </row>
    <row r="527" spans="2:26" s="35" customFormat="1" ht="17.100000000000001" customHeight="1">
      <c r="B527" s="105"/>
      <c r="C527" s="54"/>
      <c r="D527" s="96"/>
      <c r="E527" s="111"/>
      <c r="F527" s="112"/>
      <c r="G527" s="113"/>
      <c r="H527" s="100">
        <v>0</v>
      </c>
      <c r="I527" s="98">
        <v>0</v>
      </c>
      <c r="J527" s="101">
        <f t="shared" si="378"/>
        <v>0</v>
      </c>
      <c r="K527" s="100">
        <v>0</v>
      </c>
      <c r="L527" s="98">
        <v>0</v>
      </c>
      <c r="M527" s="101">
        <f t="shared" si="379"/>
        <v>0</v>
      </c>
      <c r="N527" s="100">
        <v>0</v>
      </c>
      <c r="O527" s="98">
        <v>0</v>
      </c>
      <c r="P527" s="101">
        <f t="shared" si="380"/>
        <v>0</v>
      </c>
      <c r="Q527" s="100">
        <v>0</v>
      </c>
      <c r="R527" s="98">
        <v>0</v>
      </c>
      <c r="S527" s="101">
        <f t="shared" si="381"/>
        <v>0</v>
      </c>
      <c r="T527" s="100">
        <v>0</v>
      </c>
      <c r="U527" s="98">
        <v>0</v>
      </c>
      <c r="V527" s="101">
        <f t="shared" si="383"/>
        <v>0</v>
      </c>
      <c r="W527" s="100">
        <v>0</v>
      </c>
      <c r="X527" s="98">
        <v>0</v>
      </c>
      <c r="Y527" s="147">
        <f t="shared" si="382"/>
        <v>0</v>
      </c>
      <c r="Z527" s="150"/>
    </row>
    <row r="528" spans="2:26" s="35" customFormat="1" ht="17.100000000000001" customHeight="1">
      <c r="B528" s="105"/>
      <c r="C528" s="54"/>
      <c r="D528" s="96"/>
      <c r="E528" s="111"/>
      <c r="F528" s="112"/>
      <c r="G528" s="113"/>
      <c r="H528" s="100">
        <v>0</v>
      </c>
      <c r="I528" s="98">
        <v>0</v>
      </c>
      <c r="J528" s="101">
        <f t="shared" si="378"/>
        <v>0</v>
      </c>
      <c r="K528" s="100">
        <v>0</v>
      </c>
      <c r="L528" s="98">
        <v>0</v>
      </c>
      <c r="M528" s="101">
        <f t="shared" si="379"/>
        <v>0</v>
      </c>
      <c r="N528" s="100">
        <v>0</v>
      </c>
      <c r="O528" s="98">
        <v>0</v>
      </c>
      <c r="P528" s="101">
        <f t="shared" si="380"/>
        <v>0</v>
      </c>
      <c r="Q528" s="100">
        <v>0</v>
      </c>
      <c r="R528" s="98">
        <v>0</v>
      </c>
      <c r="S528" s="101">
        <f t="shared" si="381"/>
        <v>0</v>
      </c>
      <c r="T528" s="100">
        <v>0</v>
      </c>
      <c r="U528" s="98">
        <v>0</v>
      </c>
      <c r="V528" s="101">
        <f t="shared" si="383"/>
        <v>0</v>
      </c>
      <c r="W528" s="100">
        <v>0</v>
      </c>
      <c r="X528" s="98">
        <v>0</v>
      </c>
      <c r="Y528" s="147">
        <f t="shared" si="382"/>
        <v>0</v>
      </c>
      <c r="Z528" s="150"/>
    </row>
    <row r="529" spans="2:26" s="35" customFormat="1" ht="17.100000000000001" customHeight="1">
      <c r="B529" s="105"/>
      <c r="C529" s="54"/>
      <c r="D529" s="96"/>
      <c r="E529" s="111"/>
      <c r="F529" s="112"/>
      <c r="G529" s="113"/>
      <c r="H529" s="100">
        <v>0</v>
      </c>
      <c r="I529" s="98">
        <v>0</v>
      </c>
      <c r="J529" s="101">
        <f t="shared" si="378"/>
        <v>0</v>
      </c>
      <c r="K529" s="100">
        <v>0</v>
      </c>
      <c r="L529" s="98">
        <v>0</v>
      </c>
      <c r="M529" s="101">
        <f t="shared" si="379"/>
        <v>0</v>
      </c>
      <c r="N529" s="100">
        <v>0</v>
      </c>
      <c r="O529" s="98">
        <v>0</v>
      </c>
      <c r="P529" s="101">
        <f t="shared" si="380"/>
        <v>0</v>
      </c>
      <c r="Q529" s="100">
        <v>0</v>
      </c>
      <c r="R529" s="98">
        <v>0</v>
      </c>
      <c r="S529" s="101">
        <f t="shared" si="381"/>
        <v>0</v>
      </c>
      <c r="T529" s="100">
        <v>0</v>
      </c>
      <c r="U529" s="98">
        <v>0</v>
      </c>
      <c r="V529" s="101">
        <f t="shared" si="383"/>
        <v>0</v>
      </c>
      <c r="W529" s="100">
        <v>0</v>
      </c>
      <c r="X529" s="98">
        <v>0</v>
      </c>
      <c r="Y529" s="147">
        <f t="shared" si="382"/>
        <v>0</v>
      </c>
      <c r="Z529" s="150"/>
    </row>
    <row r="530" spans="2:26" s="35" customFormat="1" ht="17.100000000000001" customHeight="1">
      <c r="B530" s="105"/>
      <c r="C530" s="54"/>
      <c r="D530" s="96"/>
      <c r="E530" s="111"/>
      <c r="F530" s="112"/>
      <c r="G530" s="113"/>
      <c r="H530" s="100">
        <v>0</v>
      </c>
      <c r="I530" s="98">
        <v>0</v>
      </c>
      <c r="J530" s="101">
        <f t="shared" si="378"/>
        <v>0</v>
      </c>
      <c r="K530" s="100">
        <v>0</v>
      </c>
      <c r="L530" s="98">
        <v>0</v>
      </c>
      <c r="M530" s="101">
        <f t="shared" si="379"/>
        <v>0</v>
      </c>
      <c r="N530" s="100">
        <v>0</v>
      </c>
      <c r="O530" s="98">
        <v>0</v>
      </c>
      <c r="P530" s="101">
        <f t="shared" si="380"/>
        <v>0</v>
      </c>
      <c r="Q530" s="100">
        <v>0</v>
      </c>
      <c r="R530" s="98">
        <v>0</v>
      </c>
      <c r="S530" s="101">
        <f t="shared" si="381"/>
        <v>0</v>
      </c>
      <c r="T530" s="100">
        <v>0</v>
      </c>
      <c r="U530" s="98">
        <v>0</v>
      </c>
      <c r="V530" s="101">
        <f t="shared" si="383"/>
        <v>0</v>
      </c>
      <c r="W530" s="100">
        <v>0</v>
      </c>
      <c r="X530" s="98">
        <v>0</v>
      </c>
      <c r="Y530" s="147">
        <f t="shared" si="382"/>
        <v>0</v>
      </c>
      <c r="Z530" s="150"/>
    </row>
    <row r="531" spans="2:26" s="35" customFormat="1" ht="17.100000000000001" customHeight="1">
      <c r="B531" s="105"/>
      <c r="C531" s="54"/>
      <c r="D531" s="96"/>
      <c r="E531" s="111"/>
      <c r="F531" s="112"/>
      <c r="G531" s="113"/>
      <c r="H531" s="100">
        <v>0</v>
      </c>
      <c r="I531" s="98">
        <v>0</v>
      </c>
      <c r="J531" s="101">
        <f t="shared" si="378"/>
        <v>0</v>
      </c>
      <c r="K531" s="100">
        <v>0</v>
      </c>
      <c r="L531" s="98">
        <v>0</v>
      </c>
      <c r="M531" s="101">
        <f t="shared" si="379"/>
        <v>0</v>
      </c>
      <c r="N531" s="100">
        <v>0</v>
      </c>
      <c r="O531" s="98">
        <v>0</v>
      </c>
      <c r="P531" s="101">
        <f t="shared" si="380"/>
        <v>0</v>
      </c>
      <c r="Q531" s="100">
        <v>0</v>
      </c>
      <c r="R531" s="98">
        <v>0</v>
      </c>
      <c r="S531" s="101">
        <f t="shared" si="381"/>
        <v>0</v>
      </c>
      <c r="T531" s="100">
        <v>0</v>
      </c>
      <c r="U531" s="98">
        <v>0</v>
      </c>
      <c r="V531" s="101">
        <f t="shared" si="383"/>
        <v>0</v>
      </c>
      <c r="W531" s="100">
        <v>0</v>
      </c>
      <c r="X531" s="98">
        <v>0</v>
      </c>
      <c r="Y531" s="147">
        <f t="shared" si="382"/>
        <v>0</v>
      </c>
      <c r="Z531" s="150"/>
    </row>
    <row r="532" spans="2:26" s="126" customFormat="1" ht="17.100000000000001" customHeight="1">
      <c r="B532" s="118"/>
      <c r="C532" s="119"/>
      <c r="D532" s="120"/>
      <c r="E532" s="121"/>
      <c r="F532" s="122"/>
      <c r="G532" s="123"/>
      <c r="H532" s="341" t="s">
        <v>201</v>
      </c>
      <c r="I532" s="342"/>
      <c r="J532" s="124">
        <f>SUM(J525:J531)</f>
        <v>0</v>
      </c>
      <c r="K532" s="341" t="s">
        <v>201</v>
      </c>
      <c r="L532" s="342"/>
      <c r="M532" s="124">
        <f>SUM(M525:M531)</f>
        <v>0</v>
      </c>
      <c r="N532" s="341" t="s">
        <v>201</v>
      </c>
      <c r="O532" s="342"/>
      <c r="P532" s="124">
        <f>SUM(P525:P531)</f>
        <v>0</v>
      </c>
      <c r="Q532" s="341" t="s">
        <v>201</v>
      </c>
      <c r="R532" s="342"/>
      <c r="S532" s="124">
        <f>SUM(S525:S531)</f>
        <v>0</v>
      </c>
      <c r="T532" s="341" t="s">
        <v>201</v>
      </c>
      <c r="U532" s="342"/>
      <c r="V532" s="124">
        <f>SUM(V525:V531)</f>
        <v>0</v>
      </c>
      <c r="W532" s="341" t="s">
        <v>201</v>
      </c>
      <c r="X532" s="342"/>
      <c r="Y532" s="127">
        <f>SUM(Y525:Y531)</f>
        <v>0</v>
      </c>
      <c r="Z532" s="151"/>
    </row>
    <row r="533" spans="2:26" s="35" customFormat="1" ht="17.100000000000001" customHeight="1">
      <c r="B533" s="105"/>
      <c r="C533" s="54">
        <f>'2. Rekap Back Up Beton'!C85</f>
        <v>16200</v>
      </c>
      <c r="D533" s="96">
        <f>'2. Rekap Back Up Beton'!D85</f>
        <v>16300</v>
      </c>
      <c r="E533" s="111">
        <f>'2. Rekap Back Up Beton'!E85</f>
        <v>6</v>
      </c>
      <c r="F533" s="112">
        <f>(100/((D533-C533)*E533))*((J540*0.5)+(M540*1)+(P540*2)+(S540*20)+(V540*15)+(Y540*1.5))</f>
        <v>0</v>
      </c>
      <c r="G533" s="113" t="str">
        <f>IF(F533&lt;=25,"B",IF(F533&lt;=75,"S",IF(F533&lt;=100,"RR","RB")))</f>
        <v>B</v>
      </c>
      <c r="H533" s="100">
        <v>0</v>
      </c>
      <c r="I533" s="98">
        <v>0</v>
      </c>
      <c r="J533" s="101">
        <f t="shared" ref="J533:J539" si="384">H533*I533</f>
        <v>0</v>
      </c>
      <c r="K533" s="100">
        <v>0</v>
      </c>
      <c r="L533" s="98">
        <v>0</v>
      </c>
      <c r="M533" s="101">
        <f t="shared" ref="M533:M539" si="385">K533*L533</f>
        <v>0</v>
      </c>
      <c r="N533" s="100">
        <v>0</v>
      </c>
      <c r="O533" s="98">
        <v>4</v>
      </c>
      <c r="P533" s="101">
        <f t="shared" ref="P533:P539" si="386">N533*O533</f>
        <v>0</v>
      </c>
      <c r="Q533" s="100">
        <v>0</v>
      </c>
      <c r="R533" s="98">
        <v>0</v>
      </c>
      <c r="S533" s="101">
        <f t="shared" ref="S533:S539" si="387">Q533*R533</f>
        <v>0</v>
      </c>
      <c r="T533" s="100">
        <v>0</v>
      </c>
      <c r="U533" s="98">
        <v>0</v>
      </c>
      <c r="V533" s="101">
        <f>T533*U533</f>
        <v>0</v>
      </c>
      <c r="W533" s="100">
        <v>0</v>
      </c>
      <c r="X533" s="98">
        <v>0</v>
      </c>
      <c r="Y533" s="147">
        <f t="shared" ref="Y533:Y539" si="388">W533*X533</f>
        <v>0</v>
      </c>
      <c r="Z533" s="150"/>
    </row>
    <row r="534" spans="2:26" s="35" customFormat="1" ht="17.100000000000001" customHeight="1">
      <c r="B534" s="105"/>
      <c r="C534" s="54"/>
      <c r="D534" s="96"/>
      <c r="E534" s="111"/>
      <c r="F534" s="112"/>
      <c r="G534" s="113"/>
      <c r="H534" s="100">
        <v>0</v>
      </c>
      <c r="I534" s="98">
        <v>0</v>
      </c>
      <c r="J534" s="101">
        <f t="shared" si="384"/>
        <v>0</v>
      </c>
      <c r="K534" s="100">
        <v>0</v>
      </c>
      <c r="L534" s="98">
        <v>0</v>
      </c>
      <c r="M534" s="101">
        <f t="shared" si="385"/>
        <v>0</v>
      </c>
      <c r="N534" s="100">
        <v>0</v>
      </c>
      <c r="O534" s="98">
        <v>0</v>
      </c>
      <c r="P534" s="101">
        <f t="shared" si="386"/>
        <v>0</v>
      </c>
      <c r="Q534" s="100">
        <v>0</v>
      </c>
      <c r="R534" s="98">
        <v>0</v>
      </c>
      <c r="S534" s="101">
        <f t="shared" si="387"/>
        <v>0</v>
      </c>
      <c r="T534" s="100">
        <v>0</v>
      </c>
      <c r="U534" s="98">
        <v>0</v>
      </c>
      <c r="V534" s="101">
        <f t="shared" ref="V534:V539" si="389">T534*U534</f>
        <v>0</v>
      </c>
      <c r="W534" s="100">
        <v>0</v>
      </c>
      <c r="X534" s="98">
        <v>0</v>
      </c>
      <c r="Y534" s="147">
        <f t="shared" si="388"/>
        <v>0</v>
      </c>
      <c r="Z534" s="150"/>
    </row>
    <row r="535" spans="2:26" s="35" customFormat="1" ht="17.100000000000001" customHeight="1">
      <c r="B535" s="105"/>
      <c r="C535" s="54"/>
      <c r="D535" s="96"/>
      <c r="E535" s="111"/>
      <c r="F535" s="112"/>
      <c r="G535" s="113"/>
      <c r="H535" s="100">
        <v>0</v>
      </c>
      <c r="I535" s="98">
        <v>0</v>
      </c>
      <c r="J535" s="101">
        <f t="shared" si="384"/>
        <v>0</v>
      </c>
      <c r="K535" s="100">
        <v>0</v>
      </c>
      <c r="L535" s="98">
        <v>0</v>
      </c>
      <c r="M535" s="101">
        <f t="shared" si="385"/>
        <v>0</v>
      </c>
      <c r="N535" s="100">
        <v>0</v>
      </c>
      <c r="O535" s="98">
        <v>0</v>
      </c>
      <c r="P535" s="101">
        <f t="shared" si="386"/>
        <v>0</v>
      </c>
      <c r="Q535" s="100">
        <v>0</v>
      </c>
      <c r="R535" s="98">
        <v>0</v>
      </c>
      <c r="S535" s="101">
        <f t="shared" si="387"/>
        <v>0</v>
      </c>
      <c r="T535" s="100">
        <v>0</v>
      </c>
      <c r="U535" s="98">
        <v>0</v>
      </c>
      <c r="V535" s="101">
        <f t="shared" si="389"/>
        <v>0</v>
      </c>
      <c r="W535" s="100">
        <v>0</v>
      </c>
      <c r="X535" s="98">
        <v>0</v>
      </c>
      <c r="Y535" s="147">
        <f t="shared" si="388"/>
        <v>0</v>
      </c>
      <c r="Z535" s="150"/>
    </row>
    <row r="536" spans="2:26" s="35" customFormat="1" ht="17.100000000000001" customHeight="1">
      <c r="B536" s="105"/>
      <c r="C536" s="54"/>
      <c r="D536" s="96"/>
      <c r="E536" s="111"/>
      <c r="F536" s="112"/>
      <c r="G536" s="113"/>
      <c r="H536" s="100">
        <v>0</v>
      </c>
      <c r="I536" s="98">
        <v>0</v>
      </c>
      <c r="J536" s="101">
        <f t="shared" si="384"/>
        <v>0</v>
      </c>
      <c r="K536" s="100">
        <v>0</v>
      </c>
      <c r="L536" s="98">
        <v>0</v>
      </c>
      <c r="M536" s="101">
        <f t="shared" si="385"/>
        <v>0</v>
      </c>
      <c r="N536" s="100">
        <v>0</v>
      </c>
      <c r="O536" s="98">
        <v>0</v>
      </c>
      <c r="P536" s="101">
        <f t="shared" si="386"/>
        <v>0</v>
      </c>
      <c r="Q536" s="100">
        <v>0</v>
      </c>
      <c r="R536" s="98">
        <v>0</v>
      </c>
      <c r="S536" s="101">
        <f t="shared" si="387"/>
        <v>0</v>
      </c>
      <c r="T536" s="100">
        <v>0</v>
      </c>
      <c r="U536" s="98">
        <v>0</v>
      </c>
      <c r="V536" s="101">
        <f t="shared" si="389"/>
        <v>0</v>
      </c>
      <c r="W536" s="100">
        <v>0</v>
      </c>
      <c r="X536" s="98">
        <v>0</v>
      </c>
      <c r="Y536" s="147">
        <f t="shared" si="388"/>
        <v>0</v>
      </c>
      <c r="Z536" s="150"/>
    </row>
    <row r="537" spans="2:26" s="35" customFormat="1" ht="17.100000000000001" customHeight="1">
      <c r="B537" s="105"/>
      <c r="C537" s="54"/>
      <c r="D537" s="96"/>
      <c r="E537" s="111"/>
      <c r="F537" s="112"/>
      <c r="G537" s="113"/>
      <c r="H537" s="100">
        <v>0</v>
      </c>
      <c r="I537" s="98">
        <v>0</v>
      </c>
      <c r="J537" s="101">
        <f t="shared" si="384"/>
        <v>0</v>
      </c>
      <c r="K537" s="100">
        <v>0</v>
      </c>
      <c r="L537" s="98">
        <v>0</v>
      </c>
      <c r="M537" s="101">
        <f t="shared" si="385"/>
        <v>0</v>
      </c>
      <c r="N537" s="100">
        <v>0</v>
      </c>
      <c r="O537" s="98">
        <v>0</v>
      </c>
      <c r="P537" s="101">
        <f t="shared" si="386"/>
        <v>0</v>
      </c>
      <c r="Q537" s="100">
        <v>0</v>
      </c>
      <c r="R537" s="98">
        <v>0</v>
      </c>
      <c r="S537" s="101">
        <f t="shared" si="387"/>
        <v>0</v>
      </c>
      <c r="T537" s="100">
        <v>0</v>
      </c>
      <c r="U537" s="98">
        <v>0</v>
      </c>
      <c r="V537" s="101">
        <f t="shared" si="389"/>
        <v>0</v>
      </c>
      <c r="W537" s="100">
        <v>0</v>
      </c>
      <c r="X537" s="98">
        <v>0</v>
      </c>
      <c r="Y537" s="147">
        <f t="shared" si="388"/>
        <v>0</v>
      </c>
      <c r="Z537" s="150"/>
    </row>
    <row r="538" spans="2:26" s="35" customFormat="1" ht="17.100000000000001" customHeight="1">
      <c r="B538" s="105"/>
      <c r="C538" s="54"/>
      <c r="D538" s="96"/>
      <c r="E538" s="111"/>
      <c r="F538" s="112"/>
      <c r="G538" s="113"/>
      <c r="H538" s="100">
        <v>0</v>
      </c>
      <c r="I538" s="98">
        <v>0</v>
      </c>
      <c r="J538" s="101">
        <f t="shared" si="384"/>
        <v>0</v>
      </c>
      <c r="K538" s="100">
        <v>0</v>
      </c>
      <c r="L538" s="98">
        <v>0</v>
      </c>
      <c r="M538" s="101">
        <f t="shared" si="385"/>
        <v>0</v>
      </c>
      <c r="N538" s="100">
        <v>0</v>
      </c>
      <c r="O538" s="98">
        <v>0</v>
      </c>
      <c r="P538" s="101">
        <f t="shared" si="386"/>
        <v>0</v>
      </c>
      <c r="Q538" s="100">
        <v>0</v>
      </c>
      <c r="R538" s="98">
        <v>0</v>
      </c>
      <c r="S538" s="101">
        <f t="shared" si="387"/>
        <v>0</v>
      </c>
      <c r="T538" s="100">
        <v>0</v>
      </c>
      <c r="U538" s="98">
        <v>0</v>
      </c>
      <c r="V538" s="101">
        <f t="shared" si="389"/>
        <v>0</v>
      </c>
      <c r="W538" s="100">
        <v>0</v>
      </c>
      <c r="X538" s="98">
        <v>0</v>
      </c>
      <c r="Y538" s="147">
        <f t="shared" si="388"/>
        <v>0</v>
      </c>
      <c r="Z538" s="150"/>
    </row>
    <row r="539" spans="2:26" s="35" customFormat="1" ht="17.100000000000001" customHeight="1">
      <c r="B539" s="105"/>
      <c r="C539" s="54"/>
      <c r="D539" s="96"/>
      <c r="E539" s="111"/>
      <c r="F539" s="112"/>
      <c r="G539" s="113"/>
      <c r="H539" s="100">
        <v>0</v>
      </c>
      <c r="I539" s="98">
        <v>0</v>
      </c>
      <c r="J539" s="101">
        <f t="shared" si="384"/>
        <v>0</v>
      </c>
      <c r="K539" s="100">
        <v>0</v>
      </c>
      <c r="L539" s="98">
        <v>0</v>
      </c>
      <c r="M539" s="101">
        <f t="shared" si="385"/>
        <v>0</v>
      </c>
      <c r="N539" s="100">
        <v>0</v>
      </c>
      <c r="O539" s="98">
        <v>0</v>
      </c>
      <c r="P539" s="101">
        <f t="shared" si="386"/>
        <v>0</v>
      </c>
      <c r="Q539" s="100">
        <v>0</v>
      </c>
      <c r="R539" s="98">
        <v>0</v>
      </c>
      <c r="S539" s="101">
        <f t="shared" si="387"/>
        <v>0</v>
      </c>
      <c r="T539" s="100">
        <v>0</v>
      </c>
      <c r="U539" s="98">
        <v>0</v>
      </c>
      <c r="V539" s="101">
        <f t="shared" si="389"/>
        <v>0</v>
      </c>
      <c r="W539" s="100">
        <v>0</v>
      </c>
      <c r="X539" s="98">
        <v>0</v>
      </c>
      <c r="Y539" s="147">
        <f t="shared" si="388"/>
        <v>0</v>
      </c>
      <c r="Z539" s="150"/>
    </row>
    <row r="540" spans="2:26" s="126" customFormat="1" ht="17.100000000000001" customHeight="1">
      <c r="B540" s="118"/>
      <c r="C540" s="119"/>
      <c r="D540" s="120"/>
      <c r="E540" s="121"/>
      <c r="F540" s="122"/>
      <c r="G540" s="123"/>
      <c r="H540" s="341" t="s">
        <v>201</v>
      </c>
      <c r="I540" s="342"/>
      <c r="J540" s="124">
        <f>SUM(J533:J539)</f>
        <v>0</v>
      </c>
      <c r="K540" s="341" t="s">
        <v>201</v>
      </c>
      <c r="L540" s="342"/>
      <c r="M540" s="124">
        <f>SUM(M533:M539)</f>
        <v>0</v>
      </c>
      <c r="N540" s="341" t="s">
        <v>201</v>
      </c>
      <c r="O540" s="342"/>
      <c r="P540" s="124">
        <f>SUM(P533:P539)</f>
        <v>0</v>
      </c>
      <c r="Q540" s="341" t="s">
        <v>201</v>
      </c>
      <c r="R540" s="342"/>
      <c r="S540" s="124">
        <f>SUM(S533:S539)</f>
        <v>0</v>
      </c>
      <c r="T540" s="341" t="s">
        <v>201</v>
      </c>
      <c r="U540" s="342"/>
      <c r="V540" s="124">
        <f>SUM(V533:V539)</f>
        <v>0</v>
      </c>
      <c r="W540" s="341" t="s">
        <v>201</v>
      </c>
      <c r="X540" s="342"/>
      <c r="Y540" s="127">
        <f>SUM(Y533:Y539)</f>
        <v>0</v>
      </c>
      <c r="Z540" s="151"/>
    </row>
    <row r="541" spans="2:26" s="35" customFormat="1" ht="17.100000000000001" customHeight="1">
      <c r="B541" s="105"/>
      <c r="C541" s="54">
        <f>'2. Rekap Back Up Beton'!C86</f>
        <v>16300</v>
      </c>
      <c r="D541" s="96">
        <f>'2. Rekap Back Up Beton'!D86</f>
        <v>16400</v>
      </c>
      <c r="E541" s="111">
        <f>'2. Rekap Back Up Beton'!E86</f>
        <v>6</v>
      </c>
      <c r="F541" s="112">
        <f>(100/((D541-C541)*E541))*((J548*0.5)+(M548*1)+(P548*2)+(S548*20)+(V548*15)+(Y548*1.5))</f>
        <v>0</v>
      </c>
      <c r="G541" s="113" t="str">
        <f>IF(F541&lt;=25,"B",IF(F541&lt;=75,"S",IF(F541&lt;=100,"RR","RB")))</f>
        <v>B</v>
      </c>
      <c r="H541" s="100">
        <v>0</v>
      </c>
      <c r="I541" s="98">
        <v>0</v>
      </c>
      <c r="J541" s="101">
        <f t="shared" ref="J541:J547" si="390">H541*I541</f>
        <v>0</v>
      </c>
      <c r="K541" s="100">
        <v>0</v>
      </c>
      <c r="L541" s="98">
        <v>0</v>
      </c>
      <c r="M541" s="101">
        <f t="shared" ref="M541:M547" si="391">K541*L541</f>
        <v>0</v>
      </c>
      <c r="N541" s="100">
        <v>0</v>
      </c>
      <c r="O541" s="98">
        <v>4</v>
      </c>
      <c r="P541" s="101">
        <f t="shared" ref="P541:P547" si="392">N541*O541</f>
        <v>0</v>
      </c>
      <c r="Q541" s="100">
        <v>0</v>
      </c>
      <c r="R541" s="98">
        <v>0</v>
      </c>
      <c r="S541" s="101">
        <f t="shared" ref="S541:S547" si="393">Q541*R541</f>
        <v>0</v>
      </c>
      <c r="T541" s="100">
        <v>0</v>
      </c>
      <c r="U541" s="98">
        <v>0</v>
      </c>
      <c r="V541" s="101">
        <f>T541*U541</f>
        <v>0</v>
      </c>
      <c r="W541" s="100">
        <v>0</v>
      </c>
      <c r="X541" s="98">
        <v>0</v>
      </c>
      <c r="Y541" s="147">
        <f t="shared" ref="Y541:Y547" si="394">W541*X541</f>
        <v>0</v>
      </c>
      <c r="Z541" s="150"/>
    </row>
    <row r="542" spans="2:26" s="35" customFormat="1" ht="17.100000000000001" customHeight="1">
      <c r="B542" s="105"/>
      <c r="C542" s="54"/>
      <c r="D542" s="96"/>
      <c r="E542" s="111"/>
      <c r="F542" s="112"/>
      <c r="G542" s="113"/>
      <c r="H542" s="100">
        <v>0</v>
      </c>
      <c r="I542" s="98">
        <v>0</v>
      </c>
      <c r="J542" s="101">
        <f t="shared" si="390"/>
        <v>0</v>
      </c>
      <c r="K542" s="100">
        <v>0</v>
      </c>
      <c r="L542" s="98">
        <v>0</v>
      </c>
      <c r="M542" s="101">
        <f t="shared" si="391"/>
        <v>0</v>
      </c>
      <c r="N542" s="100">
        <v>0</v>
      </c>
      <c r="O542" s="98">
        <v>0</v>
      </c>
      <c r="P542" s="101">
        <f t="shared" si="392"/>
        <v>0</v>
      </c>
      <c r="Q542" s="100">
        <v>0</v>
      </c>
      <c r="R542" s="98">
        <v>0</v>
      </c>
      <c r="S542" s="101">
        <f t="shared" si="393"/>
        <v>0</v>
      </c>
      <c r="T542" s="100">
        <v>0</v>
      </c>
      <c r="U542" s="98">
        <v>0</v>
      </c>
      <c r="V542" s="101">
        <f t="shared" ref="V542:V547" si="395">T542*U542</f>
        <v>0</v>
      </c>
      <c r="W542" s="100">
        <v>0</v>
      </c>
      <c r="X542" s="98">
        <v>0</v>
      </c>
      <c r="Y542" s="147">
        <f t="shared" si="394"/>
        <v>0</v>
      </c>
      <c r="Z542" s="150"/>
    </row>
    <row r="543" spans="2:26" s="35" customFormat="1" ht="17.100000000000001" customHeight="1">
      <c r="B543" s="105"/>
      <c r="C543" s="54"/>
      <c r="D543" s="96"/>
      <c r="E543" s="111"/>
      <c r="F543" s="112"/>
      <c r="G543" s="113"/>
      <c r="H543" s="100">
        <v>0</v>
      </c>
      <c r="I543" s="98">
        <v>0</v>
      </c>
      <c r="J543" s="101">
        <f t="shared" si="390"/>
        <v>0</v>
      </c>
      <c r="K543" s="100">
        <v>0</v>
      </c>
      <c r="L543" s="98">
        <v>0</v>
      </c>
      <c r="M543" s="101">
        <f t="shared" si="391"/>
        <v>0</v>
      </c>
      <c r="N543" s="100">
        <v>0</v>
      </c>
      <c r="O543" s="98">
        <v>0</v>
      </c>
      <c r="P543" s="101">
        <f t="shared" si="392"/>
        <v>0</v>
      </c>
      <c r="Q543" s="100">
        <v>0</v>
      </c>
      <c r="R543" s="98">
        <v>0</v>
      </c>
      <c r="S543" s="101">
        <f t="shared" si="393"/>
        <v>0</v>
      </c>
      <c r="T543" s="100">
        <v>0</v>
      </c>
      <c r="U543" s="98">
        <v>0</v>
      </c>
      <c r="V543" s="101">
        <f t="shared" si="395"/>
        <v>0</v>
      </c>
      <c r="W543" s="100">
        <v>0</v>
      </c>
      <c r="X543" s="98">
        <v>0</v>
      </c>
      <c r="Y543" s="147">
        <f t="shared" si="394"/>
        <v>0</v>
      </c>
      <c r="Z543" s="150"/>
    </row>
    <row r="544" spans="2:26" s="35" customFormat="1" ht="17.100000000000001" customHeight="1">
      <c r="B544" s="105"/>
      <c r="C544" s="54"/>
      <c r="D544" s="96"/>
      <c r="E544" s="111"/>
      <c r="F544" s="112"/>
      <c r="G544" s="113"/>
      <c r="H544" s="100">
        <v>0</v>
      </c>
      <c r="I544" s="98">
        <v>0</v>
      </c>
      <c r="J544" s="101">
        <f t="shared" si="390"/>
        <v>0</v>
      </c>
      <c r="K544" s="100">
        <v>0</v>
      </c>
      <c r="L544" s="98">
        <v>0</v>
      </c>
      <c r="M544" s="101">
        <f t="shared" si="391"/>
        <v>0</v>
      </c>
      <c r="N544" s="100">
        <v>0</v>
      </c>
      <c r="O544" s="98">
        <v>0</v>
      </c>
      <c r="P544" s="101">
        <f t="shared" si="392"/>
        <v>0</v>
      </c>
      <c r="Q544" s="100">
        <v>0</v>
      </c>
      <c r="R544" s="98">
        <v>0</v>
      </c>
      <c r="S544" s="101">
        <f t="shared" si="393"/>
        <v>0</v>
      </c>
      <c r="T544" s="100">
        <v>0</v>
      </c>
      <c r="U544" s="98">
        <v>0</v>
      </c>
      <c r="V544" s="101">
        <f t="shared" si="395"/>
        <v>0</v>
      </c>
      <c r="W544" s="100">
        <v>0</v>
      </c>
      <c r="X544" s="98">
        <v>0</v>
      </c>
      <c r="Y544" s="147">
        <f t="shared" si="394"/>
        <v>0</v>
      </c>
      <c r="Z544" s="150"/>
    </row>
    <row r="545" spans="2:26" s="35" customFormat="1" ht="17.100000000000001" customHeight="1">
      <c r="B545" s="105"/>
      <c r="C545" s="54"/>
      <c r="D545" s="96"/>
      <c r="E545" s="111"/>
      <c r="F545" s="112"/>
      <c r="G545" s="113"/>
      <c r="H545" s="100">
        <v>0</v>
      </c>
      <c r="I545" s="98">
        <v>0</v>
      </c>
      <c r="J545" s="101">
        <f t="shared" si="390"/>
        <v>0</v>
      </c>
      <c r="K545" s="100">
        <v>0</v>
      </c>
      <c r="L545" s="98">
        <v>0</v>
      </c>
      <c r="M545" s="101">
        <f t="shared" si="391"/>
        <v>0</v>
      </c>
      <c r="N545" s="100">
        <v>0</v>
      </c>
      <c r="O545" s="98">
        <v>0</v>
      </c>
      <c r="P545" s="101">
        <f t="shared" si="392"/>
        <v>0</v>
      </c>
      <c r="Q545" s="100">
        <v>0</v>
      </c>
      <c r="R545" s="98">
        <v>0</v>
      </c>
      <c r="S545" s="101">
        <f t="shared" si="393"/>
        <v>0</v>
      </c>
      <c r="T545" s="100">
        <v>0</v>
      </c>
      <c r="U545" s="98">
        <v>0</v>
      </c>
      <c r="V545" s="101">
        <f t="shared" si="395"/>
        <v>0</v>
      </c>
      <c r="W545" s="100">
        <v>0</v>
      </c>
      <c r="X545" s="98">
        <v>0</v>
      </c>
      <c r="Y545" s="147">
        <f t="shared" si="394"/>
        <v>0</v>
      </c>
      <c r="Z545" s="150"/>
    </row>
    <row r="546" spans="2:26" s="35" customFormat="1" ht="17.100000000000001" customHeight="1">
      <c r="B546" s="105"/>
      <c r="C546" s="54"/>
      <c r="D546" s="96"/>
      <c r="E546" s="111"/>
      <c r="F546" s="112"/>
      <c r="G546" s="113"/>
      <c r="H546" s="100">
        <v>0</v>
      </c>
      <c r="I546" s="98">
        <v>0</v>
      </c>
      <c r="J546" s="101">
        <f t="shared" si="390"/>
        <v>0</v>
      </c>
      <c r="K546" s="100">
        <v>0</v>
      </c>
      <c r="L546" s="98">
        <v>0</v>
      </c>
      <c r="M546" s="101">
        <f t="shared" si="391"/>
        <v>0</v>
      </c>
      <c r="N546" s="100">
        <v>0</v>
      </c>
      <c r="O546" s="98">
        <v>0</v>
      </c>
      <c r="P546" s="101">
        <f t="shared" si="392"/>
        <v>0</v>
      </c>
      <c r="Q546" s="100">
        <v>0</v>
      </c>
      <c r="R546" s="98">
        <v>0</v>
      </c>
      <c r="S546" s="101">
        <f t="shared" si="393"/>
        <v>0</v>
      </c>
      <c r="T546" s="100">
        <v>0</v>
      </c>
      <c r="U546" s="98">
        <v>0</v>
      </c>
      <c r="V546" s="101">
        <f t="shared" si="395"/>
        <v>0</v>
      </c>
      <c r="W546" s="100">
        <v>0</v>
      </c>
      <c r="X546" s="98">
        <v>0</v>
      </c>
      <c r="Y546" s="147">
        <f t="shared" si="394"/>
        <v>0</v>
      </c>
      <c r="Z546" s="150"/>
    </row>
    <row r="547" spans="2:26" s="35" customFormat="1" ht="17.100000000000001" customHeight="1">
      <c r="B547" s="105"/>
      <c r="C547" s="54"/>
      <c r="D547" s="96"/>
      <c r="E547" s="111"/>
      <c r="F547" s="112"/>
      <c r="G547" s="113"/>
      <c r="H547" s="100">
        <v>0</v>
      </c>
      <c r="I547" s="98">
        <v>0</v>
      </c>
      <c r="J547" s="101">
        <f t="shared" si="390"/>
        <v>0</v>
      </c>
      <c r="K547" s="100">
        <v>0</v>
      </c>
      <c r="L547" s="98">
        <v>0</v>
      </c>
      <c r="M547" s="101">
        <f t="shared" si="391"/>
        <v>0</v>
      </c>
      <c r="N547" s="100">
        <v>0</v>
      </c>
      <c r="O547" s="98">
        <v>0</v>
      </c>
      <c r="P547" s="101">
        <f t="shared" si="392"/>
        <v>0</v>
      </c>
      <c r="Q547" s="100">
        <v>0</v>
      </c>
      <c r="R547" s="98">
        <v>0</v>
      </c>
      <c r="S547" s="101">
        <f t="shared" si="393"/>
        <v>0</v>
      </c>
      <c r="T547" s="100">
        <v>0</v>
      </c>
      <c r="U547" s="98">
        <v>0</v>
      </c>
      <c r="V547" s="101">
        <f t="shared" si="395"/>
        <v>0</v>
      </c>
      <c r="W547" s="100">
        <v>0</v>
      </c>
      <c r="X547" s="98">
        <v>0</v>
      </c>
      <c r="Y547" s="147">
        <f t="shared" si="394"/>
        <v>0</v>
      </c>
      <c r="Z547" s="150"/>
    </row>
    <row r="548" spans="2:26" s="126" customFormat="1" ht="17.100000000000001" customHeight="1">
      <c r="B548" s="118"/>
      <c r="C548" s="119"/>
      <c r="D548" s="120"/>
      <c r="E548" s="121"/>
      <c r="F548" s="122"/>
      <c r="G548" s="123"/>
      <c r="H548" s="341" t="s">
        <v>201</v>
      </c>
      <c r="I548" s="342"/>
      <c r="J548" s="124">
        <f>SUM(J541:J547)</f>
        <v>0</v>
      </c>
      <c r="K548" s="341" t="s">
        <v>201</v>
      </c>
      <c r="L548" s="342"/>
      <c r="M548" s="124">
        <f>SUM(M541:M547)</f>
        <v>0</v>
      </c>
      <c r="N548" s="341" t="s">
        <v>201</v>
      </c>
      <c r="O548" s="342"/>
      <c r="P548" s="124">
        <f>SUM(P541:P547)</f>
        <v>0</v>
      </c>
      <c r="Q548" s="341" t="s">
        <v>201</v>
      </c>
      <c r="R548" s="342"/>
      <c r="S548" s="124">
        <f>SUM(S541:S547)</f>
        <v>0</v>
      </c>
      <c r="T548" s="341" t="s">
        <v>201</v>
      </c>
      <c r="U548" s="342"/>
      <c r="V548" s="124">
        <f>SUM(V541:V547)</f>
        <v>0</v>
      </c>
      <c r="W548" s="341" t="s">
        <v>201</v>
      </c>
      <c r="X548" s="342"/>
      <c r="Y548" s="127">
        <f>SUM(Y541:Y547)</f>
        <v>0</v>
      </c>
      <c r="Z548" s="151"/>
    </row>
    <row r="549" spans="2:26" s="35" customFormat="1" ht="17.100000000000001" customHeight="1">
      <c r="B549" s="105"/>
      <c r="C549" s="54">
        <f>'2. Rekap Back Up Beton'!C87</f>
        <v>16400</v>
      </c>
      <c r="D549" s="96">
        <f>'2. Rekap Back Up Beton'!D87</f>
        <v>16500</v>
      </c>
      <c r="E549" s="111">
        <f>'2. Rekap Back Up Beton'!E87</f>
        <v>6</v>
      </c>
      <c r="F549" s="112">
        <f>(100/((D549-C549)*E549))*((J556*0.5)+(M556*1)+(P556*2)+(S556*20)+(V556*15)+(Y556*1.5))</f>
        <v>0</v>
      </c>
      <c r="G549" s="113" t="str">
        <f>IF(F549&lt;=25,"B",IF(F549&lt;=75,"S",IF(F549&lt;=100,"RR","RB")))</f>
        <v>B</v>
      </c>
      <c r="H549" s="100">
        <v>0</v>
      </c>
      <c r="I549" s="98">
        <v>0</v>
      </c>
      <c r="J549" s="101">
        <f t="shared" ref="J549:J555" si="396">H549*I549</f>
        <v>0</v>
      </c>
      <c r="K549" s="100">
        <v>0</v>
      </c>
      <c r="L549" s="98">
        <v>0</v>
      </c>
      <c r="M549" s="101">
        <f t="shared" ref="M549:M555" si="397">K549*L549</f>
        <v>0</v>
      </c>
      <c r="N549" s="100">
        <v>0</v>
      </c>
      <c r="O549" s="98">
        <v>4</v>
      </c>
      <c r="P549" s="101">
        <f t="shared" ref="P549:P555" si="398">N549*O549</f>
        <v>0</v>
      </c>
      <c r="Q549" s="100">
        <v>0</v>
      </c>
      <c r="R549" s="98">
        <v>0</v>
      </c>
      <c r="S549" s="101">
        <f t="shared" ref="S549:S555" si="399">Q549*R549</f>
        <v>0</v>
      </c>
      <c r="T549" s="100">
        <v>0</v>
      </c>
      <c r="U549" s="98">
        <v>0</v>
      </c>
      <c r="V549" s="101">
        <f>T549*U549</f>
        <v>0</v>
      </c>
      <c r="W549" s="100">
        <v>0</v>
      </c>
      <c r="X549" s="98">
        <v>0</v>
      </c>
      <c r="Y549" s="147">
        <f t="shared" ref="Y549:Y555" si="400">W549*X549</f>
        <v>0</v>
      </c>
      <c r="Z549" s="150"/>
    </row>
    <row r="550" spans="2:26" s="35" customFormat="1" ht="17.100000000000001" customHeight="1">
      <c r="B550" s="105"/>
      <c r="C550" s="54"/>
      <c r="D550" s="96"/>
      <c r="E550" s="111"/>
      <c r="F550" s="112"/>
      <c r="G550" s="113"/>
      <c r="H550" s="100">
        <v>0</v>
      </c>
      <c r="I550" s="98">
        <v>0</v>
      </c>
      <c r="J550" s="101">
        <f t="shared" si="396"/>
        <v>0</v>
      </c>
      <c r="K550" s="100">
        <v>0</v>
      </c>
      <c r="L550" s="98">
        <v>0</v>
      </c>
      <c r="M550" s="101">
        <f t="shared" si="397"/>
        <v>0</v>
      </c>
      <c r="N550" s="100">
        <v>0</v>
      </c>
      <c r="O550" s="98">
        <v>0</v>
      </c>
      <c r="P550" s="101">
        <f t="shared" si="398"/>
        <v>0</v>
      </c>
      <c r="Q550" s="100">
        <v>0</v>
      </c>
      <c r="R550" s="98">
        <v>0</v>
      </c>
      <c r="S550" s="101">
        <f t="shared" si="399"/>
        <v>0</v>
      </c>
      <c r="T550" s="100">
        <v>0</v>
      </c>
      <c r="U550" s="98">
        <v>0</v>
      </c>
      <c r="V550" s="101">
        <f t="shared" ref="V550:V555" si="401">T550*U550</f>
        <v>0</v>
      </c>
      <c r="W550" s="100">
        <v>0</v>
      </c>
      <c r="X550" s="98">
        <v>0</v>
      </c>
      <c r="Y550" s="147">
        <f t="shared" si="400"/>
        <v>0</v>
      </c>
      <c r="Z550" s="150"/>
    </row>
    <row r="551" spans="2:26" s="35" customFormat="1" ht="17.100000000000001" customHeight="1">
      <c r="B551" s="105"/>
      <c r="C551" s="54"/>
      <c r="D551" s="96"/>
      <c r="E551" s="111"/>
      <c r="F551" s="112"/>
      <c r="G551" s="113"/>
      <c r="H551" s="100">
        <v>0</v>
      </c>
      <c r="I551" s="98">
        <v>0</v>
      </c>
      <c r="J551" s="101">
        <f t="shared" si="396"/>
        <v>0</v>
      </c>
      <c r="K551" s="100">
        <v>0</v>
      </c>
      <c r="L551" s="98">
        <v>0</v>
      </c>
      <c r="M551" s="101">
        <f t="shared" si="397"/>
        <v>0</v>
      </c>
      <c r="N551" s="100">
        <v>0</v>
      </c>
      <c r="O551" s="98">
        <v>0</v>
      </c>
      <c r="P551" s="101">
        <f t="shared" si="398"/>
        <v>0</v>
      </c>
      <c r="Q551" s="100">
        <v>0</v>
      </c>
      <c r="R551" s="98">
        <v>0</v>
      </c>
      <c r="S551" s="101">
        <f t="shared" si="399"/>
        <v>0</v>
      </c>
      <c r="T551" s="100">
        <v>0</v>
      </c>
      <c r="U551" s="98">
        <v>0</v>
      </c>
      <c r="V551" s="101">
        <f t="shared" si="401"/>
        <v>0</v>
      </c>
      <c r="W551" s="100">
        <v>0</v>
      </c>
      <c r="X551" s="98">
        <v>0</v>
      </c>
      <c r="Y551" s="147">
        <f t="shared" si="400"/>
        <v>0</v>
      </c>
      <c r="Z551" s="150"/>
    </row>
    <row r="552" spans="2:26" s="35" customFormat="1" ht="17.100000000000001" customHeight="1">
      <c r="B552" s="105"/>
      <c r="C552" s="54"/>
      <c r="D552" s="96"/>
      <c r="E552" s="111"/>
      <c r="F552" s="112"/>
      <c r="G552" s="113"/>
      <c r="H552" s="100">
        <v>0</v>
      </c>
      <c r="I552" s="98">
        <v>0</v>
      </c>
      <c r="J552" s="101">
        <f t="shared" si="396"/>
        <v>0</v>
      </c>
      <c r="K552" s="100">
        <v>0</v>
      </c>
      <c r="L552" s="98">
        <v>0</v>
      </c>
      <c r="M552" s="101">
        <f t="shared" si="397"/>
        <v>0</v>
      </c>
      <c r="N552" s="100">
        <v>0</v>
      </c>
      <c r="O552" s="98">
        <v>0</v>
      </c>
      <c r="P552" s="101">
        <f t="shared" si="398"/>
        <v>0</v>
      </c>
      <c r="Q552" s="100">
        <v>0</v>
      </c>
      <c r="R552" s="98">
        <v>0</v>
      </c>
      <c r="S552" s="101">
        <f t="shared" si="399"/>
        <v>0</v>
      </c>
      <c r="T552" s="100">
        <v>0</v>
      </c>
      <c r="U552" s="98">
        <v>0</v>
      </c>
      <c r="V552" s="101">
        <f t="shared" si="401"/>
        <v>0</v>
      </c>
      <c r="W552" s="100">
        <v>0</v>
      </c>
      <c r="X552" s="98">
        <v>0</v>
      </c>
      <c r="Y552" s="147">
        <f t="shared" si="400"/>
        <v>0</v>
      </c>
      <c r="Z552" s="150"/>
    </row>
    <row r="553" spans="2:26" s="35" customFormat="1" ht="17.100000000000001" customHeight="1">
      <c r="B553" s="105"/>
      <c r="C553" s="54"/>
      <c r="D553" s="96"/>
      <c r="E553" s="111"/>
      <c r="F553" s="112"/>
      <c r="G553" s="113"/>
      <c r="H553" s="100">
        <v>0</v>
      </c>
      <c r="I553" s="98">
        <v>0</v>
      </c>
      <c r="J553" s="101">
        <f t="shared" si="396"/>
        <v>0</v>
      </c>
      <c r="K553" s="100">
        <v>0</v>
      </c>
      <c r="L553" s="98">
        <v>0</v>
      </c>
      <c r="M553" s="101">
        <f t="shared" si="397"/>
        <v>0</v>
      </c>
      <c r="N553" s="100">
        <v>0</v>
      </c>
      <c r="O553" s="98">
        <v>0</v>
      </c>
      <c r="P553" s="101">
        <f t="shared" si="398"/>
        <v>0</v>
      </c>
      <c r="Q553" s="100">
        <v>0</v>
      </c>
      <c r="R553" s="98">
        <v>0</v>
      </c>
      <c r="S553" s="101">
        <f t="shared" si="399"/>
        <v>0</v>
      </c>
      <c r="T553" s="100">
        <v>0</v>
      </c>
      <c r="U553" s="98">
        <v>0</v>
      </c>
      <c r="V553" s="101">
        <f t="shared" si="401"/>
        <v>0</v>
      </c>
      <c r="W553" s="100">
        <v>0</v>
      </c>
      <c r="X553" s="98">
        <v>0</v>
      </c>
      <c r="Y553" s="147">
        <f t="shared" si="400"/>
        <v>0</v>
      </c>
      <c r="Z553" s="150"/>
    </row>
    <row r="554" spans="2:26" s="35" customFormat="1" ht="17.100000000000001" customHeight="1">
      <c r="B554" s="105"/>
      <c r="C554" s="54"/>
      <c r="D554" s="96"/>
      <c r="E554" s="111"/>
      <c r="F554" s="112"/>
      <c r="G554" s="113"/>
      <c r="H554" s="100">
        <v>0</v>
      </c>
      <c r="I554" s="98">
        <v>0</v>
      </c>
      <c r="J554" s="101">
        <f t="shared" si="396"/>
        <v>0</v>
      </c>
      <c r="K554" s="100">
        <v>0</v>
      </c>
      <c r="L554" s="98">
        <v>0</v>
      </c>
      <c r="M554" s="101">
        <f t="shared" si="397"/>
        <v>0</v>
      </c>
      <c r="N554" s="100">
        <v>0</v>
      </c>
      <c r="O554" s="98">
        <v>0</v>
      </c>
      <c r="P554" s="101">
        <f t="shared" si="398"/>
        <v>0</v>
      </c>
      <c r="Q554" s="100">
        <v>0</v>
      </c>
      <c r="R554" s="98">
        <v>0</v>
      </c>
      <c r="S554" s="101">
        <f t="shared" si="399"/>
        <v>0</v>
      </c>
      <c r="T554" s="100">
        <v>0</v>
      </c>
      <c r="U554" s="98">
        <v>0</v>
      </c>
      <c r="V554" s="101">
        <f t="shared" si="401"/>
        <v>0</v>
      </c>
      <c r="W554" s="100">
        <v>0</v>
      </c>
      <c r="X554" s="98">
        <v>0</v>
      </c>
      <c r="Y554" s="147">
        <f t="shared" si="400"/>
        <v>0</v>
      </c>
      <c r="Z554" s="150"/>
    </row>
    <row r="555" spans="2:26" s="35" customFormat="1" ht="17.100000000000001" customHeight="1">
      <c r="B555" s="105"/>
      <c r="C555" s="54"/>
      <c r="D555" s="96"/>
      <c r="E555" s="111"/>
      <c r="F555" s="112"/>
      <c r="G555" s="113"/>
      <c r="H555" s="100">
        <v>0</v>
      </c>
      <c r="I555" s="98">
        <v>0</v>
      </c>
      <c r="J555" s="101">
        <f t="shared" si="396"/>
        <v>0</v>
      </c>
      <c r="K555" s="100">
        <v>0</v>
      </c>
      <c r="L555" s="98">
        <v>0</v>
      </c>
      <c r="M555" s="101">
        <f t="shared" si="397"/>
        <v>0</v>
      </c>
      <c r="N555" s="100">
        <v>0</v>
      </c>
      <c r="O555" s="98">
        <v>0</v>
      </c>
      <c r="P555" s="101">
        <f t="shared" si="398"/>
        <v>0</v>
      </c>
      <c r="Q555" s="100">
        <v>0</v>
      </c>
      <c r="R555" s="98">
        <v>0</v>
      </c>
      <c r="S555" s="101">
        <f t="shared" si="399"/>
        <v>0</v>
      </c>
      <c r="T555" s="100">
        <v>0</v>
      </c>
      <c r="U555" s="98">
        <v>0</v>
      </c>
      <c r="V555" s="101">
        <f t="shared" si="401"/>
        <v>0</v>
      </c>
      <c r="W555" s="100">
        <v>0</v>
      </c>
      <c r="X555" s="98">
        <v>0</v>
      </c>
      <c r="Y555" s="147">
        <f t="shared" si="400"/>
        <v>0</v>
      </c>
      <c r="Z555" s="150"/>
    </row>
    <row r="556" spans="2:26" s="126" customFormat="1" ht="17.100000000000001" customHeight="1">
      <c r="B556" s="118"/>
      <c r="C556" s="119"/>
      <c r="D556" s="120"/>
      <c r="E556" s="121"/>
      <c r="F556" s="122"/>
      <c r="G556" s="123"/>
      <c r="H556" s="341" t="s">
        <v>201</v>
      </c>
      <c r="I556" s="342"/>
      <c r="J556" s="124">
        <f>SUM(J549:J555)</f>
        <v>0</v>
      </c>
      <c r="K556" s="341" t="s">
        <v>201</v>
      </c>
      <c r="L556" s="342"/>
      <c r="M556" s="124">
        <f>SUM(M549:M555)</f>
        <v>0</v>
      </c>
      <c r="N556" s="341" t="s">
        <v>201</v>
      </c>
      <c r="O556" s="342"/>
      <c r="P556" s="124">
        <f>SUM(P549:P555)</f>
        <v>0</v>
      </c>
      <c r="Q556" s="341" t="s">
        <v>201</v>
      </c>
      <c r="R556" s="342"/>
      <c r="S556" s="124">
        <f>SUM(S549:S555)</f>
        <v>0</v>
      </c>
      <c r="T556" s="341" t="s">
        <v>201</v>
      </c>
      <c r="U556" s="342"/>
      <c r="V556" s="124">
        <f>SUM(V549:V555)</f>
        <v>0</v>
      </c>
      <c r="W556" s="341" t="s">
        <v>201</v>
      </c>
      <c r="X556" s="342"/>
      <c r="Y556" s="127">
        <f>SUM(Y549:Y555)</f>
        <v>0</v>
      </c>
      <c r="Z556" s="151"/>
    </row>
    <row r="557" spans="2:26" s="35" customFormat="1" ht="17.100000000000001" customHeight="1">
      <c r="B557" s="105"/>
      <c r="C557" s="54">
        <f>'2. Rekap Back Up Beton'!C88</f>
        <v>16500</v>
      </c>
      <c r="D557" s="96">
        <f>'2. Rekap Back Up Beton'!D88</f>
        <v>16600</v>
      </c>
      <c r="E557" s="111">
        <f>'2. Rekap Back Up Beton'!E88</f>
        <v>6</v>
      </c>
      <c r="F557" s="112">
        <f>(100/((D557-C557)*E557))*((J564*0.5)+(M564*1)+(P564*2)+(S564*20)+(V564*15)+(Y564*1.5))</f>
        <v>0</v>
      </c>
      <c r="G557" s="113" t="str">
        <f>IF(F557&lt;=25,"B",IF(F557&lt;=75,"S",IF(F557&lt;=100,"RR","RB")))</f>
        <v>B</v>
      </c>
      <c r="H557" s="100">
        <v>0</v>
      </c>
      <c r="I557" s="98">
        <v>0</v>
      </c>
      <c r="J557" s="101">
        <f t="shared" ref="J557:J563" si="402">H557*I557</f>
        <v>0</v>
      </c>
      <c r="K557" s="100">
        <v>0</v>
      </c>
      <c r="L557" s="98">
        <v>0</v>
      </c>
      <c r="M557" s="101">
        <f t="shared" ref="M557:M563" si="403">K557*L557</f>
        <v>0</v>
      </c>
      <c r="N557" s="100">
        <v>0</v>
      </c>
      <c r="O557" s="98">
        <v>4</v>
      </c>
      <c r="P557" s="101">
        <f t="shared" ref="P557:P563" si="404">N557*O557</f>
        <v>0</v>
      </c>
      <c r="Q557" s="100">
        <v>0</v>
      </c>
      <c r="R557" s="98">
        <v>0</v>
      </c>
      <c r="S557" s="101">
        <f t="shared" ref="S557:S563" si="405">Q557*R557</f>
        <v>0</v>
      </c>
      <c r="T557" s="100">
        <v>0</v>
      </c>
      <c r="U557" s="98">
        <v>0</v>
      </c>
      <c r="V557" s="101">
        <f>T557*U557</f>
        <v>0</v>
      </c>
      <c r="W557" s="100">
        <v>0</v>
      </c>
      <c r="X557" s="98">
        <v>0</v>
      </c>
      <c r="Y557" s="147">
        <f t="shared" ref="Y557:Y563" si="406">W557*X557</f>
        <v>0</v>
      </c>
      <c r="Z557" s="150"/>
    </row>
    <row r="558" spans="2:26" s="35" customFormat="1" ht="17.100000000000001" customHeight="1">
      <c r="B558" s="105"/>
      <c r="C558" s="54"/>
      <c r="D558" s="96"/>
      <c r="E558" s="111"/>
      <c r="F558" s="112"/>
      <c r="G558" s="113"/>
      <c r="H558" s="100">
        <v>0</v>
      </c>
      <c r="I558" s="98">
        <v>0</v>
      </c>
      <c r="J558" s="101">
        <f t="shared" si="402"/>
        <v>0</v>
      </c>
      <c r="K558" s="100">
        <v>0</v>
      </c>
      <c r="L558" s="98">
        <v>0</v>
      </c>
      <c r="M558" s="101">
        <f t="shared" si="403"/>
        <v>0</v>
      </c>
      <c r="N558" s="100">
        <v>0</v>
      </c>
      <c r="O558" s="98">
        <v>0</v>
      </c>
      <c r="P558" s="101">
        <f t="shared" si="404"/>
        <v>0</v>
      </c>
      <c r="Q558" s="100">
        <v>0</v>
      </c>
      <c r="R558" s="98">
        <v>0</v>
      </c>
      <c r="S558" s="101">
        <f t="shared" si="405"/>
        <v>0</v>
      </c>
      <c r="T558" s="100">
        <v>0</v>
      </c>
      <c r="U558" s="98">
        <v>0</v>
      </c>
      <c r="V558" s="101">
        <f t="shared" ref="V558:V563" si="407">T558*U558</f>
        <v>0</v>
      </c>
      <c r="W558" s="100">
        <v>0</v>
      </c>
      <c r="X558" s="98">
        <v>0</v>
      </c>
      <c r="Y558" s="147">
        <f t="shared" si="406"/>
        <v>0</v>
      </c>
      <c r="Z558" s="150"/>
    </row>
    <row r="559" spans="2:26" s="35" customFormat="1" ht="17.100000000000001" customHeight="1">
      <c r="B559" s="105"/>
      <c r="C559" s="54"/>
      <c r="D559" s="96"/>
      <c r="E559" s="111"/>
      <c r="F559" s="112"/>
      <c r="G559" s="113"/>
      <c r="H559" s="100">
        <v>0</v>
      </c>
      <c r="I559" s="98">
        <v>0</v>
      </c>
      <c r="J559" s="101">
        <f t="shared" si="402"/>
        <v>0</v>
      </c>
      <c r="K559" s="100">
        <v>0</v>
      </c>
      <c r="L559" s="98">
        <v>0</v>
      </c>
      <c r="M559" s="101">
        <f t="shared" si="403"/>
        <v>0</v>
      </c>
      <c r="N559" s="100">
        <v>0</v>
      </c>
      <c r="O559" s="98">
        <v>0</v>
      </c>
      <c r="P559" s="101">
        <f t="shared" si="404"/>
        <v>0</v>
      </c>
      <c r="Q559" s="100">
        <v>0</v>
      </c>
      <c r="R559" s="98">
        <v>0</v>
      </c>
      <c r="S559" s="101">
        <f t="shared" si="405"/>
        <v>0</v>
      </c>
      <c r="T559" s="100">
        <v>0</v>
      </c>
      <c r="U559" s="98">
        <v>0</v>
      </c>
      <c r="V559" s="101">
        <f t="shared" si="407"/>
        <v>0</v>
      </c>
      <c r="W559" s="100">
        <v>0</v>
      </c>
      <c r="X559" s="98">
        <v>0</v>
      </c>
      <c r="Y559" s="147">
        <f t="shared" si="406"/>
        <v>0</v>
      </c>
      <c r="Z559" s="150"/>
    </row>
    <row r="560" spans="2:26" s="35" customFormat="1" ht="17.100000000000001" customHeight="1">
      <c r="B560" s="105"/>
      <c r="C560" s="54"/>
      <c r="D560" s="96"/>
      <c r="E560" s="111"/>
      <c r="F560" s="112"/>
      <c r="G560" s="113"/>
      <c r="H560" s="100">
        <v>0</v>
      </c>
      <c r="I560" s="98">
        <v>0</v>
      </c>
      <c r="J560" s="101">
        <f t="shared" si="402"/>
        <v>0</v>
      </c>
      <c r="K560" s="100">
        <v>0</v>
      </c>
      <c r="L560" s="98">
        <v>0</v>
      </c>
      <c r="M560" s="101">
        <f t="shared" si="403"/>
        <v>0</v>
      </c>
      <c r="N560" s="100">
        <v>0</v>
      </c>
      <c r="O560" s="98">
        <v>0</v>
      </c>
      <c r="P560" s="101">
        <f t="shared" si="404"/>
        <v>0</v>
      </c>
      <c r="Q560" s="100">
        <v>0</v>
      </c>
      <c r="R560" s="98">
        <v>0</v>
      </c>
      <c r="S560" s="101">
        <f t="shared" si="405"/>
        <v>0</v>
      </c>
      <c r="T560" s="100">
        <v>0</v>
      </c>
      <c r="U560" s="98">
        <v>0</v>
      </c>
      <c r="V560" s="101">
        <f t="shared" si="407"/>
        <v>0</v>
      </c>
      <c r="W560" s="100">
        <v>0</v>
      </c>
      <c r="X560" s="98">
        <v>0</v>
      </c>
      <c r="Y560" s="147">
        <f t="shared" si="406"/>
        <v>0</v>
      </c>
      <c r="Z560" s="150"/>
    </row>
    <row r="561" spans="2:26" s="35" customFormat="1" ht="17.100000000000001" customHeight="1">
      <c r="B561" s="105"/>
      <c r="C561" s="54"/>
      <c r="D561" s="96"/>
      <c r="E561" s="111"/>
      <c r="F561" s="112"/>
      <c r="G561" s="113"/>
      <c r="H561" s="100">
        <v>0</v>
      </c>
      <c r="I561" s="98">
        <v>0</v>
      </c>
      <c r="J561" s="101">
        <f t="shared" si="402"/>
        <v>0</v>
      </c>
      <c r="K561" s="100">
        <v>0</v>
      </c>
      <c r="L561" s="98">
        <v>0</v>
      </c>
      <c r="M561" s="101">
        <f t="shared" si="403"/>
        <v>0</v>
      </c>
      <c r="N561" s="100">
        <v>0</v>
      </c>
      <c r="O561" s="98">
        <v>0</v>
      </c>
      <c r="P561" s="101">
        <f t="shared" si="404"/>
        <v>0</v>
      </c>
      <c r="Q561" s="100">
        <v>0</v>
      </c>
      <c r="R561" s="98">
        <v>0</v>
      </c>
      <c r="S561" s="101">
        <f t="shared" si="405"/>
        <v>0</v>
      </c>
      <c r="T561" s="100">
        <v>0</v>
      </c>
      <c r="U561" s="98">
        <v>0</v>
      </c>
      <c r="V561" s="101">
        <f t="shared" si="407"/>
        <v>0</v>
      </c>
      <c r="W561" s="100">
        <v>0</v>
      </c>
      <c r="X561" s="98">
        <v>0</v>
      </c>
      <c r="Y561" s="147">
        <f t="shared" si="406"/>
        <v>0</v>
      </c>
      <c r="Z561" s="150"/>
    </row>
    <row r="562" spans="2:26" s="35" customFormat="1" ht="17.100000000000001" customHeight="1">
      <c r="B562" s="105"/>
      <c r="C562" s="54"/>
      <c r="D562" s="96"/>
      <c r="E562" s="111"/>
      <c r="F562" s="112"/>
      <c r="G562" s="113"/>
      <c r="H562" s="100">
        <v>0</v>
      </c>
      <c r="I562" s="98">
        <v>0</v>
      </c>
      <c r="J562" s="101">
        <f t="shared" si="402"/>
        <v>0</v>
      </c>
      <c r="K562" s="100">
        <v>0</v>
      </c>
      <c r="L562" s="98">
        <v>0</v>
      </c>
      <c r="M562" s="101">
        <f t="shared" si="403"/>
        <v>0</v>
      </c>
      <c r="N562" s="100">
        <v>0</v>
      </c>
      <c r="O562" s="98">
        <v>0</v>
      </c>
      <c r="P562" s="101">
        <f t="shared" si="404"/>
        <v>0</v>
      </c>
      <c r="Q562" s="100">
        <v>0</v>
      </c>
      <c r="R562" s="98">
        <v>0</v>
      </c>
      <c r="S562" s="101">
        <f t="shared" si="405"/>
        <v>0</v>
      </c>
      <c r="T562" s="100">
        <v>0</v>
      </c>
      <c r="U562" s="98">
        <v>0</v>
      </c>
      <c r="V562" s="101">
        <f t="shared" si="407"/>
        <v>0</v>
      </c>
      <c r="W562" s="100">
        <v>0</v>
      </c>
      <c r="X562" s="98">
        <v>0</v>
      </c>
      <c r="Y562" s="147">
        <f t="shared" si="406"/>
        <v>0</v>
      </c>
      <c r="Z562" s="150"/>
    </row>
    <row r="563" spans="2:26" s="35" customFormat="1" ht="17.100000000000001" customHeight="1">
      <c r="B563" s="105"/>
      <c r="C563" s="54"/>
      <c r="D563" s="96"/>
      <c r="E563" s="111"/>
      <c r="F563" s="112"/>
      <c r="G563" s="113"/>
      <c r="H563" s="100">
        <v>0</v>
      </c>
      <c r="I563" s="98">
        <v>0</v>
      </c>
      <c r="J563" s="101">
        <f t="shared" si="402"/>
        <v>0</v>
      </c>
      <c r="K563" s="100">
        <v>0</v>
      </c>
      <c r="L563" s="98">
        <v>0</v>
      </c>
      <c r="M563" s="101">
        <f t="shared" si="403"/>
        <v>0</v>
      </c>
      <c r="N563" s="100">
        <v>0</v>
      </c>
      <c r="O563" s="98">
        <v>0</v>
      </c>
      <c r="P563" s="101">
        <f t="shared" si="404"/>
        <v>0</v>
      </c>
      <c r="Q563" s="100">
        <v>0</v>
      </c>
      <c r="R563" s="98">
        <v>0</v>
      </c>
      <c r="S563" s="101">
        <f t="shared" si="405"/>
        <v>0</v>
      </c>
      <c r="T563" s="100">
        <v>0</v>
      </c>
      <c r="U563" s="98">
        <v>0</v>
      </c>
      <c r="V563" s="101">
        <f t="shared" si="407"/>
        <v>0</v>
      </c>
      <c r="W563" s="100">
        <v>0</v>
      </c>
      <c r="X563" s="98">
        <v>0</v>
      </c>
      <c r="Y563" s="147">
        <f t="shared" si="406"/>
        <v>0</v>
      </c>
      <c r="Z563" s="150"/>
    </row>
    <row r="564" spans="2:26" s="126" customFormat="1" ht="17.100000000000001" customHeight="1">
      <c r="B564" s="118"/>
      <c r="C564" s="119"/>
      <c r="D564" s="120"/>
      <c r="E564" s="121"/>
      <c r="F564" s="122"/>
      <c r="G564" s="123"/>
      <c r="H564" s="341" t="s">
        <v>201</v>
      </c>
      <c r="I564" s="342"/>
      <c r="J564" s="124">
        <f>SUM(J557:J563)</f>
        <v>0</v>
      </c>
      <c r="K564" s="341" t="s">
        <v>201</v>
      </c>
      <c r="L564" s="342"/>
      <c r="M564" s="124">
        <f>SUM(M557:M563)</f>
        <v>0</v>
      </c>
      <c r="N564" s="341" t="s">
        <v>201</v>
      </c>
      <c r="O564" s="342"/>
      <c r="P564" s="124">
        <f>SUM(P557:P563)</f>
        <v>0</v>
      </c>
      <c r="Q564" s="341" t="s">
        <v>201</v>
      </c>
      <c r="R564" s="342"/>
      <c r="S564" s="124">
        <f>SUM(S557:S563)</f>
        <v>0</v>
      </c>
      <c r="T564" s="341" t="s">
        <v>201</v>
      </c>
      <c r="U564" s="342"/>
      <c r="V564" s="124">
        <f>SUM(V557:V563)</f>
        <v>0</v>
      </c>
      <c r="W564" s="341" t="s">
        <v>201</v>
      </c>
      <c r="X564" s="342"/>
      <c r="Y564" s="127">
        <f>SUM(Y557:Y563)</f>
        <v>0</v>
      </c>
      <c r="Z564" s="151"/>
    </row>
    <row r="565" spans="2:26" s="35" customFormat="1" ht="17.100000000000001" customHeight="1">
      <c r="B565" s="105"/>
      <c r="C565" s="54">
        <f>'2. Rekap Back Up Beton'!C89</f>
        <v>16600</v>
      </c>
      <c r="D565" s="96">
        <f>'2. Rekap Back Up Beton'!D89</f>
        <v>16700</v>
      </c>
      <c r="E565" s="111">
        <f>'2. Rekap Back Up Beton'!E89</f>
        <v>6</v>
      </c>
      <c r="F565" s="112">
        <f>(100/((D565-C565)*E565))*((J572*0.5)+(M572*1)+(P572*2)+(S572*20)+(V572*15)+(Y572*1.5))</f>
        <v>0</v>
      </c>
      <c r="G565" s="113" t="str">
        <f>IF(F565&lt;=25,"B",IF(F565&lt;=75,"S",IF(F565&lt;=100,"RR","RB")))</f>
        <v>B</v>
      </c>
      <c r="H565" s="100">
        <v>0</v>
      </c>
      <c r="I565" s="98">
        <v>0</v>
      </c>
      <c r="J565" s="101">
        <f t="shared" ref="J565:J571" si="408">H565*I565</f>
        <v>0</v>
      </c>
      <c r="K565" s="100">
        <v>0</v>
      </c>
      <c r="L565" s="98">
        <v>0</v>
      </c>
      <c r="M565" s="101">
        <f t="shared" ref="M565:M571" si="409">K565*L565</f>
        <v>0</v>
      </c>
      <c r="N565" s="100">
        <v>0</v>
      </c>
      <c r="O565" s="98">
        <v>4</v>
      </c>
      <c r="P565" s="101">
        <f t="shared" ref="P565:P571" si="410">N565*O565</f>
        <v>0</v>
      </c>
      <c r="Q565" s="100">
        <v>0</v>
      </c>
      <c r="R565" s="98">
        <v>0</v>
      </c>
      <c r="S565" s="101">
        <f t="shared" ref="S565:S571" si="411">Q565*R565</f>
        <v>0</v>
      </c>
      <c r="T565" s="100">
        <v>0</v>
      </c>
      <c r="U565" s="98">
        <v>0</v>
      </c>
      <c r="V565" s="101">
        <f>T565*U565</f>
        <v>0</v>
      </c>
      <c r="W565" s="100">
        <v>0</v>
      </c>
      <c r="X565" s="98">
        <v>0</v>
      </c>
      <c r="Y565" s="147">
        <f t="shared" ref="Y565:Y571" si="412">W565*X565</f>
        <v>0</v>
      </c>
      <c r="Z565" s="150"/>
    </row>
    <row r="566" spans="2:26" s="35" customFormat="1" ht="17.100000000000001" customHeight="1">
      <c r="B566" s="105"/>
      <c r="C566" s="54"/>
      <c r="D566" s="96"/>
      <c r="E566" s="111"/>
      <c r="F566" s="112"/>
      <c r="G566" s="113"/>
      <c r="H566" s="100">
        <v>0</v>
      </c>
      <c r="I566" s="98">
        <v>0</v>
      </c>
      <c r="J566" s="101">
        <f t="shared" si="408"/>
        <v>0</v>
      </c>
      <c r="K566" s="100">
        <v>0</v>
      </c>
      <c r="L566" s="98">
        <v>0</v>
      </c>
      <c r="M566" s="101">
        <f t="shared" si="409"/>
        <v>0</v>
      </c>
      <c r="N566" s="100">
        <v>0</v>
      </c>
      <c r="O566" s="98">
        <v>0</v>
      </c>
      <c r="P566" s="101">
        <f t="shared" si="410"/>
        <v>0</v>
      </c>
      <c r="Q566" s="100">
        <v>0</v>
      </c>
      <c r="R566" s="98">
        <v>0</v>
      </c>
      <c r="S566" s="101">
        <f t="shared" si="411"/>
        <v>0</v>
      </c>
      <c r="T566" s="100">
        <v>0</v>
      </c>
      <c r="U566" s="98">
        <v>0</v>
      </c>
      <c r="V566" s="101">
        <f t="shared" ref="V566:V571" si="413">T566*U566</f>
        <v>0</v>
      </c>
      <c r="W566" s="100">
        <v>0</v>
      </c>
      <c r="X566" s="98">
        <v>0</v>
      </c>
      <c r="Y566" s="147">
        <f t="shared" si="412"/>
        <v>0</v>
      </c>
      <c r="Z566" s="150"/>
    </row>
    <row r="567" spans="2:26" s="35" customFormat="1" ht="17.100000000000001" customHeight="1">
      <c r="B567" s="105"/>
      <c r="C567" s="54"/>
      <c r="D567" s="96"/>
      <c r="E567" s="111"/>
      <c r="F567" s="112"/>
      <c r="G567" s="113"/>
      <c r="H567" s="100">
        <v>0</v>
      </c>
      <c r="I567" s="98">
        <v>0</v>
      </c>
      <c r="J567" s="101">
        <f t="shared" si="408"/>
        <v>0</v>
      </c>
      <c r="K567" s="100">
        <v>0</v>
      </c>
      <c r="L567" s="98">
        <v>0</v>
      </c>
      <c r="M567" s="101">
        <f t="shared" si="409"/>
        <v>0</v>
      </c>
      <c r="N567" s="100">
        <v>0</v>
      </c>
      <c r="O567" s="98">
        <v>0</v>
      </c>
      <c r="P567" s="101">
        <f t="shared" si="410"/>
        <v>0</v>
      </c>
      <c r="Q567" s="100">
        <v>0</v>
      </c>
      <c r="R567" s="98">
        <v>0</v>
      </c>
      <c r="S567" s="101">
        <f t="shared" si="411"/>
        <v>0</v>
      </c>
      <c r="T567" s="100">
        <v>0</v>
      </c>
      <c r="U567" s="98">
        <v>0</v>
      </c>
      <c r="V567" s="101">
        <f t="shared" si="413"/>
        <v>0</v>
      </c>
      <c r="W567" s="100">
        <v>0</v>
      </c>
      <c r="X567" s="98">
        <v>0</v>
      </c>
      <c r="Y567" s="147">
        <f t="shared" si="412"/>
        <v>0</v>
      </c>
      <c r="Z567" s="150"/>
    </row>
    <row r="568" spans="2:26" s="35" customFormat="1" ht="17.100000000000001" customHeight="1">
      <c r="B568" s="105"/>
      <c r="C568" s="54"/>
      <c r="D568" s="96"/>
      <c r="E568" s="111"/>
      <c r="F568" s="112"/>
      <c r="G568" s="113"/>
      <c r="H568" s="100">
        <v>0</v>
      </c>
      <c r="I568" s="98">
        <v>0</v>
      </c>
      <c r="J568" s="101">
        <f t="shared" si="408"/>
        <v>0</v>
      </c>
      <c r="K568" s="100">
        <v>0</v>
      </c>
      <c r="L568" s="98">
        <v>0</v>
      </c>
      <c r="M568" s="101">
        <f t="shared" si="409"/>
        <v>0</v>
      </c>
      <c r="N568" s="100">
        <v>0</v>
      </c>
      <c r="O568" s="98">
        <v>0</v>
      </c>
      <c r="P568" s="101">
        <f t="shared" si="410"/>
        <v>0</v>
      </c>
      <c r="Q568" s="100">
        <v>0</v>
      </c>
      <c r="R568" s="98">
        <v>0</v>
      </c>
      <c r="S568" s="101">
        <f t="shared" si="411"/>
        <v>0</v>
      </c>
      <c r="T568" s="100">
        <v>0</v>
      </c>
      <c r="U568" s="98">
        <v>0</v>
      </c>
      <c r="V568" s="101">
        <f t="shared" si="413"/>
        <v>0</v>
      </c>
      <c r="W568" s="100">
        <v>0</v>
      </c>
      <c r="X568" s="98">
        <v>0</v>
      </c>
      <c r="Y568" s="147">
        <f t="shared" si="412"/>
        <v>0</v>
      </c>
      <c r="Z568" s="150"/>
    </row>
    <row r="569" spans="2:26" s="35" customFormat="1" ht="17.100000000000001" customHeight="1">
      <c r="B569" s="105"/>
      <c r="C569" s="54"/>
      <c r="D569" s="96"/>
      <c r="E569" s="111"/>
      <c r="F569" s="112"/>
      <c r="G569" s="113"/>
      <c r="H569" s="100">
        <v>0</v>
      </c>
      <c r="I569" s="98">
        <v>0</v>
      </c>
      <c r="J569" s="101">
        <f t="shared" si="408"/>
        <v>0</v>
      </c>
      <c r="K569" s="100">
        <v>0</v>
      </c>
      <c r="L569" s="98">
        <v>0</v>
      </c>
      <c r="M569" s="101">
        <f t="shared" si="409"/>
        <v>0</v>
      </c>
      <c r="N569" s="100">
        <v>0</v>
      </c>
      <c r="O569" s="98">
        <v>0</v>
      </c>
      <c r="P569" s="101">
        <f t="shared" si="410"/>
        <v>0</v>
      </c>
      <c r="Q569" s="100">
        <v>0</v>
      </c>
      <c r="R569" s="98">
        <v>0</v>
      </c>
      <c r="S569" s="101">
        <f t="shared" si="411"/>
        <v>0</v>
      </c>
      <c r="T569" s="100">
        <v>0</v>
      </c>
      <c r="U569" s="98">
        <v>0</v>
      </c>
      <c r="V569" s="101">
        <f t="shared" si="413"/>
        <v>0</v>
      </c>
      <c r="W569" s="100">
        <v>0</v>
      </c>
      <c r="X569" s="98">
        <v>0</v>
      </c>
      <c r="Y569" s="147">
        <f t="shared" si="412"/>
        <v>0</v>
      </c>
      <c r="Z569" s="150"/>
    </row>
    <row r="570" spans="2:26" s="35" customFormat="1" ht="17.100000000000001" customHeight="1">
      <c r="B570" s="105"/>
      <c r="C570" s="54"/>
      <c r="D570" s="96"/>
      <c r="E570" s="111"/>
      <c r="F570" s="112"/>
      <c r="G570" s="113"/>
      <c r="H570" s="100">
        <v>0</v>
      </c>
      <c r="I570" s="98">
        <v>0</v>
      </c>
      <c r="J570" s="101">
        <f t="shared" si="408"/>
        <v>0</v>
      </c>
      <c r="K570" s="100">
        <v>0</v>
      </c>
      <c r="L570" s="98">
        <v>0</v>
      </c>
      <c r="M570" s="101">
        <f t="shared" si="409"/>
        <v>0</v>
      </c>
      <c r="N570" s="100">
        <v>0</v>
      </c>
      <c r="O570" s="98">
        <v>0</v>
      </c>
      <c r="P570" s="101">
        <f t="shared" si="410"/>
        <v>0</v>
      </c>
      <c r="Q570" s="100">
        <v>0</v>
      </c>
      <c r="R570" s="98">
        <v>0</v>
      </c>
      <c r="S570" s="101">
        <f t="shared" si="411"/>
        <v>0</v>
      </c>
      <c r="T570" s="100">
        <v>0</v>
      </c>
      <c r="U570" s="98">
        <v>0</v>
      </c>
      <c r="V570" s="101">
        <f t="shared" si="413"/>
        <v>0</v>
      </c>
      <c r="W570" s="100">
        <v>0</v>
      </c>
      <c r="X570" s="98">
        <v>0</v>
      </c>
      <c r="Y570" s="147">
        <f t="shared" si="412"/>
        <v>0</v>
      </c>
      <c r="Z570" s="150"/>
    </row>
    <row r="571" spans="2:26" s="35" customFormat="1" ht="17.100000000000001" customHeight="1">
      <c r="B571" s="105"/>
      <c r="C571" s="54"/>
      <c r="D571" s="96"/>
      <c r="E571" s="111"/>
      <c r="F571" s="112"/>
      <c r="G571" s="113"/>
      <c r="H571" s="100">
        <v>0</v>
      </c>
      <c r="I571" s="98">
        <v>0</v>
      </c>
      <c r="J571" s="101">
        <f t="shared" si="408"/>
        <v>0</v>
      </c>
      <c r="K571" s="100">
        <v>0</v>
      </c>
      <c r="L571" s="98">
        <v>0</v>
      </c>
      <c r="M571" s="101">
        <f t="shared" si="409"/>
        <v>0</v>
      </c>
      <c r="N571" s="100">
        <v>0</v>
      </c>
      <c r="O571" s="98">
        <v>0</v>
      </c>
      <c r="P571" s="101">
        <f t="shared" si="410"/>
        <v>0</v>
      </c>
      <c r="Q571" s="100">
        <v>0</v>
      </c>
      <c r="R571" s="98">
        <v>0</v>
      </c>
      <c r="S571" s="101">
        <f t="shared" si="411"/>
        <v>0</v>
      </c>
      <c r="T571" s="100">
        <v>0</v>
      </c>
      <c r="U571" s="98">
        <v>0</v>
      </c>
      <c r="V571" s="101">
        <f t="shared" si="413"/>
        <v>0</v>
      </c>
      <c r="W571" s="100">
        <v>0</v>
      </c>
      <c r="X571" s="98">
        <v>0</v>
      </c>
      <c r="Y571" s="147">
        <f t="shared" si="412"/>
        <v>0</v>
      </c>
      <c r="Z571" s="150"/>
    </row>
    <row r="572" spans="2:26" s="126" customFormat="1" ht="17.100000000000001" customHeight="1">
      <c r="B572" s="118"/>
      <c r="C572" s="119"/>
      <c r="D572" s="120"/>
      <c r="E572" s="121"/>
      <c r="F572" s="122"/>
      <c r="G572" s="123"/>
      <c r="H572" s="341" t="s">
        <v>201</v>
      </c>
      <c r="I572" s="342"/>
      <c r="J572" s="124">
        <f>SUM(J565:J571)</f>
        <v>0</v>
      </c>
      <c r="K572" s="341" t="s">
        <v>201</v>
      </c>
      <c r="L572" s="342"/>
      <c r="M572" s="124">
        <f>SUM(M565:M571)</f>
        <v>0</v>
      </c>
      <c r="N572" s="341" t="s">
        <v>201</v>
      </c>
      <c r="O572" s="342"/>
      <c r="P572" s="124">
        <f>SUM(P565:P571)</f>
        <v>0</v>
      </c>
      <c r="Q572" s="341" t="s">
        <v>201</v>
      </c>
      <c r="R572" s="342"/>
      <c r="S572" s="124">
        <f>SUM(S565:S571)</f>
        <v>0</v>
      </c>
      <c r="T572" s="341" t="s">
        <v>201</v>
      </c>
      <c r="U572" s="342"/>
      <c r="V572" s="124">
        <f>SUM(V565:V571)</f>
        <v>0</v>
      </c>
      <c r="W572" s="341" t="s">
        <v>201</v>
      </c>
      <c r="X572" s="342"/>
      <c r="Y572" s="127">
        <f>SUM(Y565:Y571)</f>
        <v>0</v>
      </c>
      <c r="Z572" s="151"/>
    </row>
    <row r="573" spans="2:26" s="35" customFormat="1" ht="17.100000000000001" customHeight="1">
      <c r="B573" s="105"/>
      <c r="C573" s="54">
        <f>'2. Rekap Back Up Beton'!C90</f>
        <v>16700</v>
      </c>
      <c r="D573" s="96">
        <f>'2. Rekap Back Up Beton'!D90</f>
        <v>16800</v>
      </c>
      <c r="E573" s="111">
        <f>'2. Rekap Back Up Beton'!E90</f>
        <v>6</v>
      </c>
      <c r="F573" s="112">
        <f>(100/((D573-C573)*E573))*((J580*0.5)+(M580*1)+(P580*2)+(S580*20)+(V580*15)+(Y580*1.5))</f>
        <v>0</v>
      </c>
      <c r="G573" s="113" t="str">
        <f>IF(F573&lt;=25,"B",IF(F573&lt;=75,"S",IF(F573&lt;=100,"RR","RB")))</f>
        <v>B</v>
      </c>
      <c r="H573" s="100">
        <v>0</v>
      </c>
      <c r="I573" s="98">
        <v>0</v>
      </c>
      <c r="J573" s="101">
        <f t="shared" ref="J573:J579" si="414">H573*I573</f>
        <v>0</v>
      </c>
      <c r="K573" s="100">
        <v>0</v>
      </c>
      <c r="L573" s="98">
        <v>0</v>
      </c>
      <c r="M573" s="101">
        <f t="shared" ref="M573:M579" si="415">K573*L573</f>
        <v>0</v>
      </c>
      <c r="N573" s="100">
        <v>0</v>
      </c>
      <c r="O573" s="98">
        <v>4</v>
      </c>
      <c r="P573" s="101">
        <f t="shared" ref="P573:P579" si="416">N573*O573</f>
        <v>0</v>
      </c>
      <c r="Q573" s="100">
        <v>0</v>
      </c>
      <c r="R573" s="98">
        <v>0</v>
      </c>
      <c r="S573" s="101">
        <f t="shared" ref="S573:S579" si="417">Q573*R573</f>
        <v>0</v>
      </c>
      <c r="T573" s="100">
        <v>0</v>
      </c>
      <c r="U573" s="98">
        <v>0</v>
      </c>
      <c r="V573" s="101">
        <f>T573*U573</f>
        <v>0</v>
      </c>
      <c r="W573" s="100">
        <v>0</v>
      </c>
      <c r="X573" s="98">
        <v>0</v>
      </c>
      <c r="Y573" s="147">
        <f t="shared" ref="Y573:Y579" si="418">W573*X573</f>
        <v>0</v>
      </c>
      <c r="Z573" s="150"/>
    </row>
    <row r="574" spans="2:26" s="35" customFormat="1" ht="17.100000000000001" customHeight="1">
      <c r="B574" s="105"/>
      <c r="C574" s="54"/>
      <c r="D574" s="96"/>
      <c r="E574" s="111"/>
      <c r="F574" s="112"/>
      <c r="G574" s="113"/>
      <c r="H574" s="100">
        <v>0</v>
      </c>
      <c r="I574" s="98">
        <v>0</v>
      </c>
      <c r="J574" s="101">
        <f t="shared" si="414"/>
        <v>0</v>
      </c>
      <c r="K574" s="100">
        <v>0</v>
      </c>
      <c r="L574" s="98">
        <v>0</v>
      </c>
      <c r="M574" s="101">
        <f t="shared" si="415"/>
        <v>0</v>
      </c>
      <c r="N574" s="100">
        <v>0</v>
      </c>
      <c r="O574" s="98">
        <v>0</v>
      </c>
      <c r="P574" s="101">
        <f t="shared" si="416"/>
        <v>0</v>
      </c>
      <c r="Q574" s="100">
        <v>0</v>
      </c>
      <c r="R574" s="98">
        <v>0</v>
      </c>
      <c r="S574" s="101">
        <f t="shared" si="417"/>
        <v>0</v>
      </c>
      <c r="T574" s="100">
        <v>0</v>
      </c>
      <c r="U574" s="98">
        <v>0</v>
      </c>
      <c r="V574" s="101">
        <f t="shared" ref="V574:V579" si="419">T574*U574</f>
        <v>0</v>
      </c>
      <c r="W574" s="100">
        <v>0</v>
      </c>
      <c r="X574" s="98">
        <v>0</v>
      </c>
      <c r="Y574" s="147">
        <f t="shared" si="418"/>
        <v>0</v>
      </c>
      <c r="Z574" s="150"/>
    </row>
    <row r="575" spans="2:26" s="35" customFormat="1" ht="17.100000000000001" customHeight="1">
      <c r="B575" s="105"/>
      <c r="C575" s="54"/>
      <c r="D575" s="96"/>
      <c r="E575" s="111"/>
      <c r="F575" s="112"/>
      <c r="G575" s="113"/>
      <c r="H575" s="100">
        <v>0</v>
      </c>
      <c r="I575" s="98">
        <v>0</v>
      </c>
      <c r="J575" s="101">
        <f t="shared" si="414"/>
        <v>0</v>
      </c>
      <c r="K575" s="100">
        <v>0</v>
      </c>
      <c r="L575" s="98">
        <v>0</v>
      </c>
      <c r="M575" s="101">
        <f t="shared" si="415"/>
        <v>0</v>
      </c>
      <c r="N575" s="100">
        <v>0</v>
      </c>
      <c r="O575" s="98">
        <v>0</v>
      </c>
      <c r="P575" s="101">
        <f t="shared" si="416"/>
        <v>0</v>
      </c>
      <c r="Q575" s="100">
        <v>0</v>
      </c>
      <c r="R575" s="98">
        <v>0</v>
      </c>
      <c r="S575" s="101">
        <f t="shared" si="417"/>
        <v>0</v>
      </c>
      <c r="T575" s="100">
        <v>0</v>
      </c>
      <c r="U575" s="98">
        <v>0</v>
      </c>
      <c r="V575" s="101">
        <f t="shared" si="419"/>
        <v>0</v>
      </c>
      <c r="W575" s="100">
        <v>0</v>
      </c>
      <c r="X575" s="98">
        <v>0</v>
      </c>
      <c r="Y575" s="147">
        <f t="shared" si="418"/>
        <v>0</v>
      </c>
      <c r="Z575" s="150"/>
    </row>
    <row r="576" spans="2:26" s="35" customFormat="1" ht="17.100000000000001" customHeight="1">
      <c r="B576" s="105"/>
      <c r="C576" s="54"/>
      <c r="D576" s="96"/>
      <c r="E576" s="111"/>
      <c r="F576" s="112"/>
      <c r="G576" s="113"/>
      <c r="H576" s="100">
        <v>0</v>
      </c>
      <c r="I576" s="98">
        <v>0</v>
      </c>
      <c r="J576" s="101">
        <f t="shared" si="414"/>
        <v>0</v>
      </c>
      <c r="K576" s="100">
        <v>0</v>
      </c>
      <c r="L576" s="98">
        <v>0</v>
      </c>
      <c r="M576" s="101">
        <f t="shared" si="415"/>
        <v>0</v>
      </c>
      <c r="N576" s="100">
        <v>0</v>
      </c>
      <c r="O576" s="98">
        <v>0</v>
      </c>
      <c r="P576" s="101">
        <f t="shared" si="416"/>
        <v>0</v>
      </c>
      <c r="Q576" s="100">
        <v>0</v>
      </c>
      <c r="R576" s="98">
        <v>0</v>
      </c>
      <c r="S576" s="101">
        <f t="shared" si="417"/>
        <v>0</v>
      </c>
      <c r="T576" s="100">
        <v>0</v>
      </c>
      <c r="U576" s="98">
        <v>0</v>
      </c>
      <c r="V576" s="101">
        <f t="shared" si="419"/>
        <v>0</v>
      </c>
      <c r="W576" s="100">
        <v>0</v>
      </c>
      <c r="X576" s="98">
        <v>0</v>
      </c>
      <c r="Y576" s="147">
        <f t="shared" si="418"/>
        <v>0</v>
      </c>
      <c r="Z576" s="150"/>
    </row>
    <row r="577" spans="2:26" s="35" customFormat="1" ht="17.100000000000001" customHeight="1">
      <c r="B577" s="105"/>
      <c r="C577" s="54"/>
      <c r="D577" s="96"/>
      <c r="E577" s="111"/>
      <c r="F577" s="112"/>
      <c r="G577" s="113"/>
      <c r="H577" s="100">
        <v>0</v>
      </c>
      <c r="I577" s="98">
        <v>0</v>
      </c>
      <c r="J577" s="101">
        <f t="shared" si="414"/>
        <v>0</v>
      </c>
      <c r="K577" s="100">
        <v>0</v>
      </c>
      <c r="L577" s="98">
        <v>0</v>
      </c>
      <c r="M577" s="101">
        <f t="shared" si="415"/>
        <v>0</v>
      </c>
      <c r="N577" s="100">
        <v>0</v>
      </c>
      <c r="O577" s="98">
        <v>0</v>
      </c>
      <c r="P577" s="101">
        <f t="shared" si="416"/>
        <v>0</v>
      </c>
      <c r="Q577" s="100">
        <v>0</v>
      </c>
      <c r="R577" s="98">
        <v>0</v>
      </c>
      <c r="S577" s="101">
        <f t="shared" si="417"/>
        <v>0</v>
      </c>
      <c r="T577" s="100">
        <v>0</v>
      </c>
      <c r="U577" s="98">
        <v>0</v>
      </c>
      <c r="V577" s="101">
        <f t="shared" si="419"/>
        <v>0</v>
      </c>
      <c r="W577" s="100">
        <v>0</v>
      </c>
      <c r="X577" s="98">
        <v>0</v>
      </c>
      <c r="Y577" s="147">
        <f t="shared" si="418"/>
        <v>0</v>
      </c>
      <c r="Z577" s="150"/>
    </row>
    <row r="578" spans="2:26" s="35" customFormat="1" ht="17.100000000000001" customHeight="1">
      <c r="B578" s="105"/>
      <c r="C578" s="54"/>
      <c r="D578" s="96"/>
      <c r="E578" s="111"/>
      <c r="F578" s="112"/>
      <c r="G578" s="113"/>
      <c r="H578" s="100">
        <v>0</v>
      </c>
      <c r="I578" s="98">
        <v>0</v>
      </c>
      <c r="J578" s="101">
        <f t="shared" si="414"/>
        <v>0</v>
      </c>
      <c r="K578" s="100">
        <v>0</v>
      </c>
      <c r="L578" s="98">
        <v>0</v>
      </c>
      <c r="M578" s="101">
        <f t="shared" si="415"/>
        <v>0</v>
      </c>
      <c r="N578" s="100">
        <v>0</v>
      </c>
      <c r="O578" s="98">
        <v>0</v>
      </c>
      <c r="P578" s="101">
        <f t="shared" si="416"/>
        <v>0</v>
      </c>
      <c r="Q578" s="100">
        <v>0</v>
      </c>
      <c r="R578" s="98">
        <v>0</v>
      </c>
      <c r="S578" s="101">
        <f t="shared" si="417"/>
        <v>0</v>
      </c>
      <c r="T578" s="100">
        <v>0</v>
      </c>
      <c r="U578" s="98">
        <v>0</v>
      </c>
      <c r="V578" s="101">
        <f t="shared" si="419"/>
        <v>0</v>
      </c>
      <c r="W578" s="100">
        <v>0</v>
      </c>
      <c r="X578" s="98">
        <v>0</v>
      </c>
      <c r="Y578" s="147">
        <f t="shared" si="418"/>
        <v>0</v>
      </c>
      <c r="Z578" s="150"/>
    </row>
    <row r="579" spans="2:26" s="35" customFormat="1" ht="17.100000000000001" customHeight="1">
      <c r="B579" s="105"/>
      <c r="C579" s="54"/>
      <c r="D579" s="96"/>
      <c r="E579" s="111"/>
      <c r="F579" s="112"/>
      <c r="G579" s="113"/>
      <c r="H579" s="100">
        <v>0</v>
      </c>
      <c r="I579" s="98">
        <v>0</v>
      </c>
      <c r="J579" s="101">
        <f t="shared" si="414"/>
        <v>0</v>
      </c>
      <c r="K579" s="100">
        <v>0</v>
      </c>
      <c r="L579" s="98">
        <v>0</v>
      </c>
      <c r="M579" s="101">
        <f t="shared" si="415"/>
        <v>0</v>
      </c>
      <c r="N579" s="100">
        <v>0</v>
      </c>
      <c r="O579" s="98">
        <v>0</v>
      </c>
      <c r="P579" s="101">
        <f t="shared" si="416"/>
        <v>0</v>
      </c>
      <c r="Q579" s="100">
        <v>0</v>
      </c>
      <c r="R579" s="98">
        <v>0</v>
      </c>
      <c r="S579" s="101">
        <f t="shared" si="417"/>
        <v>0</v>
      </c>
      <c r="T579" s="100">
        <v>0</v>
      </c>
      <c r="U579" s="98">
        <v>0</v>
      </c>
      <c r="V579" s="101">
        <f t="shared" si="419"/>
        <v>0</v>
      </c>
      <c r="W579" s="100">
        <v>0</v>
      </c>
      <c r="X579" s="98">
        <v>0</v>
      </c>
      <c r="Y579" s="147">
        <f t="shared" si="418"/>
        <v>0</v>
      </c>
      <c r="Z579" s="150"/>
    </row>
    <row r="580" spans="2:26" s="126" customFormat="1" ht="17.100000000000001" customHeight="1">
      <c r="B580" s="118"/>
      <c r="C580" s="119"/>
      <c r="D580" s="120"/>
      <c r="E580" s="121"/>
      <c r="F580" s="122"/>
      <c r="G580" s="123"/>
      <c r="H580" s="341" t="s">
        <v>201</v>
      </c>
      <c r="I580" s="342"/>
      <c r="J580" s="124">
        <f>SUM(J573:J579)</f>
        <v>0</v>
      </c>
      <c r="K580" s="341" t="s">
        <v>201</v>
      </c>
      <c r="L580" s="342"/>
      <c r="M580" s="124">
        <f>SUM(M573:M579)</f>
        <v>0</v>
      </c>
      <c r="N580" s="341" t="s">
        <v>201</v>
      </c>
      <c r="O580" s="342"/>
      <c r="P580" s="124">
        <f>SUM(P573:P579)</f>
        <v>0</v>
      </c>
      <c r="Q580" s="341" t="s">
        <v>201</v>
      </c>
      <c r="R580" s="342"/>
      <c r="S580" s="124">
        <f>SUM(S573:S579)</f>
        <v>0</v>
      </c>
      <c r="T580" s="341" t="s">
        <v>201</v>
      </c>
      <c r="U580" s="342"/>
      <c r="V580" s="124">
        <f>SUM(V573:V579)</f>
        <v>0</v>
      </c>
      <c r="W580" s="341" t="s">
        <v>201</v>
      </c>
      <c r="X580" s="342"/>
      <c r="Y580" s="127">
        <f>SUM(Y573:Y579)</f>
        <v>0</v>
      </c>
      <c r="Z580" s="151"/>
    </row>
    <row r="581" spans="2:26" s="35" customFormat="1" ht="17.100000000000001" customHeight="1">
      <c r="B581" s="105"/>
      <c r="C581" s="54">
        <f>'2. Rekap Back Up Beton'!C91</f>
        <v>16800</v>
      </c>
      <c r="D581" s="96">
        <f>'2. Rekap Back Up Beton'!D91</f>
        <v>16900</v>
      </c>
      <c r="E581" s="111">
        <f>'2. Rekap Back Up Beton'!E91</f>
        <v>6</v>
      </c>
      <c r="F581" s="112">
        <f>(100/((D581-C581)*E581))*((J588*0.5)+(M588*1)+(P588*2)+(S588*20)+(V588*15)+(Y588*1.5))</f>
        <v>0</v>
      </c>
      <c r="G581" s="113" t="str">
        <f>IF(F581&lt;=25,"B",IF(F581&lt;=75,"S",IF(F581&lt;=100,"RR","RB")))</f>
        <v>B</v>
      </c>
      <c r="H581" s="100">
        <v>0</v>
      </c>
      <c r="I581" s="98">
        <v>0</v>
      </c>
      <c r="J581" s="101">
        <f t="shared" ref="J581:J587" si="420">H581*I581</f>
        <v>0</v>
      </c>
      <c r="K581" s="100">
        <v>0</v>
      </c>
      <c r="L581" s="98">
        <v>0</v>
      </c>
      <c r="M581" s="101">
        <f t="shared" ref="M581:M587" si="421">K581*L581</f>
        <v>0</v>
      </c>
      <c r="N581" s="100">
        <v>0</v>
      </c>
      <c r="O581" s="98">
        <v>4</v>
      </c>
      <c r="P581" s="101">
        <f t="shared" ref="P581:P587" si="422">N581*O581</f>
        <v>0</v>
      </c>
      <c r="Q581" s="100">
        <v>0</v>
      </c>
      <c r="R581" s="98">
        <v>0</v>
      </c>
      <c r="S581" s="101">
        <f t="shared" ref="S581:S587" si="423">Q581*R581</f>
        <v>0</v>
      </c>
      <c r="T581" s="100">
        <v>0</v>
      </c>
      <c r="U581" s="98">
        <v>0</v>
      </c>
      <c r="V581" s="101">
        <f>T581*U581</f>
        <v>0</v>
      </c>
      <c r="W581" s="100">
        <v>0</v>
      </c>
      <c r="X581" s="98">
        <v>0</v>
      </c>
      <c r="Y581" s="147">
        <f t="shared" ref="Y581:Y587" si="424">W581*X581</f>
        <v>0</v>
      </c>
      <c r="Z581" s="150"/>
    </row>
    <row r="582" spans="2:26" s="35" customFormat="1" ht="17.100000000000001" customHeight="1">
      <c r="B582" s="105"/>
      <c r="C582" s="54"/>
      <c r="D582" s="96"/>
      <c r="E582" s="111"/>
      <c r="F582" s="112"/>
      <c r="G582" s="113"/>
      <c r="H582" s="100">
        <v>0</v>
      </c>
      <c r="I582" s="98">
        <v>0</v>
      </c>
      <c r="J582" s="101">
        <f t="shared" si="420"/>
        <v>0</v>
      </c>
      <c r="K582" s="100">
        <v>0</v>
      </c>
      <c r="L582" s="98">
        <v>0</v>
      </c>
      <c r="M582" s="101">
        <f t="shared" si="421"/>
        <v>0</v>
      </c>
      <c r="N582" s="100">
        <v>0</v>
      </c>
      <c r="O582" s="98">
        <v>0</v>
      </c>
      <c r="P582" s="101">
        <f t="shared" si="422"/>
        <v>0</v>
      </c>
      <c r="Q582" s="100">
        <v>0</v>
      </c>
      <c r="R582" s="98">
        <v>0</v>
      </c>
      <c r="S582" s="101">
        <f t="shared" si="423"/>
        <v>0</v>
      </c>
      <c r="T582" s="100">
        <v>0</v>
      </c>
      <c r="U582" s="98">
        <v>0</v>
      </c>
      <c r="V582" s="101">
        <f t="shared" ref="V582:V587" si="425">T582*U582</f>
        <v>0</v>
      </c>
      <c r="W582" s="100">
        <v>0</v>
      </c>
      <c r="X582" s="98">
        <v>0</v>
      </c>
      <c r="Y582" s="147">
        <f t="shared" si="424"/>
        <v>0</v>
      </c>
      <c r="Z582" s="150"/>
    </row>
    <row r="583" spans="2:26" s="35" customFormat="1" ht="17.100000000000001" customHeight="1">
      <c r="B583" s="105"/>
      <c r="C583" s="54"/>
      <c r="D583" s="96"/>
      <c r="E583" s="111"/>
      <c r="F583" s="112"/>
      <c r="G583" s="113"/>
      <c r="H583" s="100">
        <v>0</v>
      </c>
      <c r="I583" s="98">
        <v>0</v>
      </c>
      <c r="J583" s="101">
        <f t="shared" si="420"/>
        <v>0</v>
      </c>
      <c r="K583" s="100">
        <v>0</v>
      </c>
      <c r="L583" s="98">
        <v>0</v>
      </c>
      <c r="M583" s="101">
        <f t="shared" si="421"/>
        <v>0</v>
      </c>
      <c r="N583" s="100">
        <v>0</v>
      </c>
      <c r="O583" s="98">
        <v>0</v>
      </c>
      <c r="P583" s="101">
        <f t="shared" si="422"/>
        <v>0</v>
      </c>
      <c r="Q583" s="100">
        <v>0</v>
      </c>
      <c r="R583" s="98">
        <v>0</v>
      </c>
      <c r="S583" s="101">
        <f t="shared" si="423"/>
        <v>0</v>
      </c>
      <c r="T583" s="100">
        <v>0</v>
      </c>
      <c r="U583" s="98">
        <v>0</v>
      </c>
      <c r="V583" s="101">
        <f t="shared" si="425"/>
        <v>0</v>
      </c>
      <c r="W583" s="100">
        <v>0</v>
      </c>
      <c r="X583" s="98">
        <v>0</v>
      </c>
      <c r="Y583" s="147">
        <f t="shared" si="424"/>
        <v>0</v>
      </c>
      <c r="Z583" s="150"/>
    </row>
    <row r="584" spans="2:26" s="35" customFormat="1" ht="17.100000000000001" customHeight="1">
      <c r="B584" s="105"/>
      <c r="C584" s="54"/>
      <c r="D584" s="96"/>
      <c r="E584" s="111"/>
      <c r="F584" s="112"/>
      <c r="G584" s="113"/>
      <c r="H584" s="100">
        <v>0</v>
      </c>
      <c r="I584" s="98">
        <v>0</v>
      </c>
      <c r="J584" s="101">
        <f t="shared" si="420"/>
        <v>0</v>
      </c>
      <c r="K584" s="100">
        <v>0</v>
      </c>
      <c r="L584" s="98">
        <v>0</v>
      </c>
      <c r="M584" s="101">
        <f t="shared" si="421"/>
        <v>0</v>
      </c>
      <c r="N584" s="100">
        <v>0</v>
      </c>
      <c r="O584" s="98">
        <v>0</v>
      </c>
      <c r="P584" s="101">
        <f t="shared" si="422"/>
        <v>0</v>
      </c>
      <c r="Q584" s="100">
        <v>0</v>
      </c>
      <c r="R584" s="98">
        <v>0</v>
      </c>
      <c r="S584" s="101">
        <f t="shared" si="423"/>
        <v>0</v>
      </c>
      <c r="T584" s="100">
        <v>0</v>
      </c>
      <c r="U584" s="98">
        <v>0</v>
      </c>
      <c r="V584" s="101">
        <f t="shared" si="425"/>
        <v>0</v>
      </c>
      <c r="W584" s="100">
        <v>0</v>
      </c>
      <c r="X584" s="98">
        <v>0</v>
      </c>
      <c r="Y584" s="147">
        <f t="shared" si="424"/>
        <v>0</v>
      </c>
      <c r="Z584" s="150"/>
    </row>
    <row r="585" spans="2:26" s="35" customFormat="1" ht="17.100000000000001" customHeight="1">
      <c r="B585" s="105"/>
      <c r="C585" s="54"/>
      <c r="D585" s="96"/>
      <c r="E585" s="111"/>
      <c r="F585" s="112"/>
      <c r="G585" s="113"/>
      <c r="H585" s="100">
        <v>0</v>
      </c>
      <c r="I585" s="98">
        <v>0</v>
      </c>
      <c r="J585" s="101">
        <f t="shared" si="420"/>
        <v>0</v>
      </c>
      <c r="K585" s="100">
        <v>0</v>
      </c>
      <c r="L585" s="98">
        <v>0</v>
      </c>
      <c r="M585" s="101">
        <f t="shared" si="421"/>
        <v>0</v>
      </c>
      <c r="N585" s="100">
        <v>0</v>
      </c>
      <c r="O585" s="98">
        <v>0</v>
      </c>
      <c r="P585" s="101">
        <f t="shared" si="422"/>
        <v>0</v>
      </c>
      <c r="Q585" s="100">
        <v>0</v>
      </c>
      <c r="R585" s="98">
        <v>0</v>
      </c>
      <c r="S585" s="101">
        <f t="shared" si="423"/>
        <v>0</v>
      </c>
      <c r="T585" s="100">
        <v>0</v>
      </c>
      <c r="U585" s="98">
        <v>0</v>
      </c>
      <c r="V585" s="101">
        <f t="shared" si="425"/>
        <v>0</v>
      </c>
      <c r="W585" s="100">
        <v>0</v>
      </c>
      <c r="X585" s="98">
        <v>0</v>
      </c>
      <c r="Y585" s="147">
        <f t="shared" si="424"/>
        <v>0</v>
      </c>
      <c r="Z585" s="150"/>
    </row>
    <row r="586" spans="2:26" s="35" customFormat="1" ht="17.100000000000001" customHeight="1">
      <c r="B586" s="105"/>
      <c r="C586" s="54"/>
      <c r="D586" s="96"/>
      <c r="E586" s="111"/>
      <c r="F586" s="112"/>
      <c r="G586" s="113"/>
      <c r="H586" s="100">
        <v>0</v>
      </c>
      <c r="I586" s="98">
        <v>0</v>
      </c>
      <c r="J586" s="101">
        <f t="shared" si="420"/>
        <v>0</v>
      </c>
      <c r="K586" s="100">
        <v>0</v>
      </c>
      <c r="L586" s="98">
        <v>0</v>
      </c>
      <c r="M586" s="101">
        <f t="shared" si="421"/>
        <v>0</v>
      </c>
      <c r="N586" s="100">
        <v>0</v>
      </c>
      <c r="O586" s="98">
        <v>0</v>
      </c>
      <c r="P586" s="101">
        <f t="shared" si="422"/>
        <v>0</v>
      </c>
      <c r="Q586" s="100">
        <v>0</v>
      </c>
      <c r="R586" s="98">
        <v>0</v>
      </c>
      <c r="S586" s="101">
        <f t="shared" si="423"/>
        <v>0</v>
      </c>
      <c r="T586" s="100">
        <v>0</v>
      </c>
      <c r="U586" s="98">
        <v>0</v>
      </c>
      <c r="V586" s="101">
        <f t="shared" si="425"/>
        <v>0</v>
      </c>
      <c r="W586" s="100">
        <v>0</v>
      </c>
      <c r="X586" s="98">
        <v>0</v>
      </c>
      <c r="Y586" s="147">
        <f t="shared" si="424"/>
        <v>0</v>
      </c>
      <c r="Z586" s="150"/>
    </row>
    <row r="587" spans="2:26" s="35" customFormat="1" ht="17.100000000000001" customHeight="1">
      <c r="B587" s="105"/>
      <c r="C587" s="54"/>
      <c r="D587" s="96"/>
      <c r="E587" s="111"/>
      <c r="F587" s="112"/>
      <c r="G587" s="113"/>
      <c r="H587" s="100">
        <v>0</v>
      </c>
      <c r="I587" s="98">
        <v>0</v>
      </c>
      <c r="J587" s="101">
        <f t="shared" si="420"/>
        <v>0</v>
      </c>
      <c r="K587" s="100">
        <v>0</v>
      </c>
      <c r="L587" s="98">
        <v>0</v>
      </c>
      <c r="M587" s="101">
        <f t="shared" si="421"/>
        <v>0</v>
      </c>
      <c r="N587" s="100">
        <v>0</v>
      </c>
      <c r="O587" s="98">
        <v>0</v>
      </c>
      <c r="P587" s="101">
        <f t="shared" si="422"/>
        <v>0</v>
      </c>
      <c r="Q587" s="100">
        <v>0</v>
      </c>
      <c r="R587" s="98">
        <v>0</v>
      </c>
      <c r="S587" s="101">
        <f t="shared" si="423"/>
        <v>0</v>
      </c>
      <c r="T587" s="100">
        <v>0</v>
      </c>
      <c r="U587" s="98">
        <v>0</v>
      </c>
      <c r="V587" s="101">
        <f t="shared" si="425"/>
        <v>0</v>
      </c>
      <c r="W587" s="100">
        <v>0</v>
      </c>
      <c r="X587" s="98">
        <v>0</v>
      </c>
      <c r="Y587" s="147">
        <f t="shared" si="424"/>
        <v>0</v>
      </c>
      <c r="Z587" s="150"/>
    </row>
    <row r="588" spans="2:26" s="126" customFormat="1" ht="17.100000000000001" customHeight="1">
      <c r="B588" s="118"/>
      <c r="C588" s="119"/>
      <c r="D588" s="120"/>
      <c r="E588" s="121"/>
      <c r="F588" s="122"/>
      <c r="G588" s="123"/>
      <c r="H588" s="341" t="s">
        <v>201</v>
      </c>
      <c r="I588" s="342"/>
      <c r="J588" s="124">
        <f>SUM(J581:J587)</f>
        <v>0</v>
      </c>
      <c r="K588" s="341" t="s">
        <v>201</v>
      </c>
      <c r="L588" s="342"/>
      <c r="M588" s="124">
        <f>SUM(M581:M587)</f>
        <v>0</v>
      </c>
      <c r="N588" s="341" t="s">
        <v>201</v>
      </c>
      <c r="O588" s="342"/>
      <c r="P588" s="124">
        <f>SUM(P581:P587)</f>
        <v>0</v>
      </c>
      <c r="Q588" s="341" t="s">
        <v>201</v>
      </c>
      <c r="R588" s="342"/>
      <c r="S588" s="124">
        <f>SUM(S581:S587)</f>
        <v>0</v>
      </c>
      <c r="T588" s="341" t="s">
        <v>201</v>
      </c>
      <c r="U588" s="342"/>
      <c r="V588" s="124">
        <f>SUM(V581:V587)</f>
        <v>0</v>
      </c>
      <c r="W588" s="341" t="s">
        <v>201</v>
      </c>
      <c r="X588" s="342"/>
      <c r="Y588" s="127">
        <f>SUM(Y581:Y587)</f>
        <v>0</v>
      </c>
      <c r="Z588" s="151"/>
    </row>
    <row r="589" spans="2:26" s="35" customFormat="1" ht="17.100000000000001" customHeight="1">
      <c r="B589" s="105"/>
      <c r="C589" s="54">
        <f>'2. Rekap Back Up Beton'!C92</f>
        <v>16900</v>
      </c>
      <c r="D589" s="96">
        <f>'2. Rekap Back Up Beton'!D92</f>
        <v>17000</v>
      </c>
      <c r="E589" s="111">
        <f>'2. Rekap Back Up Beton'!E92</f>
        <v>6</v>
      </c>
      <c r="F589" s="112">
        <f>(100/((D589-C589)*E589))*((J596*0.5)+(M596*1)+(P596*2)+(S596*20)+(V596*15)+(Y596*1.5))</f>
        <v>0</v>
      </c>
      <c r="G589" s="113" t="str">
        <f>IF(F589&lt;=25,"B",IF(F589&lt;=75,"S",IF(F589&lt;=100,"RR","RB")))</f>
        <v>B</v>
      </c>
      <c r="H589" s="100">
        <v>0</v>
      </c>
      <c r="I589" s="98">
        <v>0</v>
      </c>
      <c r="J589" s="101">
        <f t="shared" ref="J589:J595" si="426">H589*I589</f>
        <v>0</v>
      </c>
      <c r="K589" s="100">
        <v>0</v>
      </c>
      <c r="L589" s="98">
        <v>0</v>
      </c>
      <c r="M589" s="101">
        <f t="shared" ref="M589:M595" si="427">K589*L589</f>
        <v>0</v>
      </c>
      <c r="N589" s="100">
        <v>0</v>
      </c>
      <c r="O589" s="98">
        <v>4</v>
      </c>
      <c r="P589" s="101">
        <f t="shared" ref="P589:P595" si="428">N589*O589</f>
        <v>0</v>
      </c>
      <c r="Q589" s="100">
        <v>0</v>
      </c>
      <c r="R589" s="98">
        <v>0</v>
      </c>
      <c r="S589" s="101">
        <f t="shared" ref="S589:S595" si="429">Q589*R589</f>
        <v>0</v>
      </c>
      <c r="T589" s="100">
        <v>0</v>
      </c>
      <c r="U589" s="98">
        <v>0</v>
      </c>
      <c r="V589" s="101">
        <f>T589*U589</f>
        <v>0</v>
      </c>
      <c r="W589" s="100">
        <v>0</v>
      </c>
      <c r="X589" s="98">
        <v>0</v>
      </c>
      <c r="Y589" s="147">
        <f t="shared" ref="Y589:Y595" si="430">W589*X589</f>
        <v>0</v>
      </c>
      <c r="Z589" s="150"/>
    </row>
    <row r="590" spans="2:26" s="35" customFormat="1" ht="17.100000000000001" customHeight="1">
      <c r="B590" s="105"/>
      <c r="C590" s="54"/>
      <c r="D590" s="96"/>
      <c r="E590" s="111"/>
      <c r="F590" s="112"/>
      <c r="G590" s="113"/>
      <c r="H590" s="100">
        <v>0</v>
      </c>
      <c r="I590" s="98">
        <v>0</v>
      </c>
      <c r="J590" s="101">
        <f t="shared" si="426"/>
        <v>0</v>
      </c>
      <c r="K590" s="100">
        <v>0</v>
      </c>
      <c r="L590" s="98">
        <v>0</v>
      </c>
      <c r="M590" s="101">
        <f t="shared" si="427"/>
        <v>0</v>
      </c>
      <c r="N590" s="100">
        <v>0</v>
      </c>
      <c r="O590" s="98">
        <v>0</v>
      </c>
      <c r="P590" s="101">
        <f t="shared" si="428"/>
        <v>0</v>
      </c>
      <c r="Q590" s="100">
        <v>0</v>
      </c>
      <c r="R590" s="98">
        <v>0</v>
      </c>
      <c r="S590" s="101">
        <f t="shared" si="429"/>
        <v>0</v>
      </c>
      <c r="T590" s="100">
        <v>0</v>
      </c>
      <c r="U590" s="98">
        <v>0</v>
      </c>
      <c r="V590" s="101">
        <f t="shared" ref="V590:V595" si="431">T590*U590</f>
        <v>0</v>
      </c>
      <c r="W590" s="100">
        <v>0</v>
      </c>
      <c r="X590" s="98">
        <v>0</v>
      </c>
      <c r="Y590" s="147">
        <f t="shared" si="430"/>
        <v>0</v>
      </c>
      <c r="Z590" s="150"/>
    </row>
    <row r="591" spans="2:26" s="35" customFormat="1" ht="17.100000000000001" customHeight="1">
      <c r="B591" s="105"/>
      <c r="C591" s="54"/>
      <c r="D591" s="96"/>
      <c r="E591" s="111"/>
      <c r="F591" s="112"/>
      <c r="G591" s="113"/>
      <c r="H591" s="100">
        <v>0</v>
      </c>
      <c r="I591" s="98">
        <v>0</v>
      </c>
      <c r="J591" s="101">
        <f t="shared" si="426"/>
        <v>0</v>
      </c>
      <c r="K591" s="100">
        <v>0</v>
      </c>
      <c r="L591" s="98">
        <v>0</v>
      </c>
      <c r="M591" s="101">
        <f t="shared" si="427"/>
        <v>0</v>
      </c>
      <c r="N591" s="100">
        <v>0</v>
      </c>
      <c r="O591" s="98">
        <v>0</v>
      </c>
      <c r="P591" s="101">
        <f t="shared" si="428"/>
        <v>0</v>
      </c>
      <c r="Q591" s="100">
        <v>0</v>
      </c>
      <c r="R591" s="98">
        <v>0</v>
      </c>
      <c r="S591" s="101">
        <f t="shared" si="429"/>
        <v>0</v>
      </c>
      <c r="T591" s="100">
        <v>0</v>
      </c>
      <c r="U591" s="98">
        <v>0</v>
      </c>
      <c r="V591" s="101">
        <f t="shared" si="431"/>
        <v>0</v>
      </c>
      <c r="W591" s="100">
        <v>0</v>
      </c>
      <c r="X591" s="98">
        <v>0</v>
      </c>
      <c r="Y591" s="147">
        <f t="shared" si="430"/>
        <v>0</v>
      </c>
      <c r="Z591" s="150"/>
    </row>
    <row r="592" spans="2:26" s="35" customFormat="1" ht="17.100000000000001" customHeight="1">
      <c r="B592" s="105"/>
      <c r="C592" s="54"/>
      <c r="D592" s="96"/>
      <c r="E592" s="111"/>
      <c r="F592" s="112"/>
      <c r="G592" s="113"/>
      <c r="H592" s="100">
        <v>0</v>
      </c>
      <c r="I592" s="98">
        <v>0</v>
      </c>
      <c r="J592" s="101">
        <f t="shared" si="426"/>
        <v>0</v>
      </c>
      <c r="K592" s="100">
        <v>0</v>
      </c>
      <c r="L592" s="98">
        <v>0</v>
      </c>
      <c r="M592" s="101">
        <f t="shared" si="427"/>
        <v>0</v>
      </c>
      <c r="N592" s="100">
        <v>0</v>
      </c>
      <c r="O592" s="98">
        <v>0</v>
      </c>
      <c r="P592" s="101">
        <f t="shared" si="428"/>
        <v>0</v>
      </c>
      <c r="Q592" s="100">
        <v>0</v>
      </c>
      <c r="R592" s="98">
        <v>0</v>
      </c>
      <c r="S592" s="101">
        <f t="shared" si="429"/>
        <v>0</v>
      </c>
      <c r="T592" s="100">
        <v>0</v>
      </c>
      <c r="U592" s="98">
        <v>0</v>
      </c>
      <c r="V592" s="101">
        <f t="shared" si="431"/>
        <v>0</v>
      </c>
      <c r="W592" s="100">
        <v>0</v>
      </c>
      <c r="X592" s="98">
        <v>0</v>
      </c>
      <c r="Y592" s="147">
        <f t="shared" si="430"/>
        <v>0</v>
      </c>
      <c r="Z592" s="150"/>
    </row>
    <row r="593" spans="2:26" s="35" customFormat="1" ht="17.100000000000001" customHeight="1">
      <c r="B593" s="105"/>
      <c r="C593" s="54"/>
      <c r="D593" s="96"/>
      <c r="E593" s="111"/>
      <c r="F593" s="112"/>
      <c r="G593" s="113"/>
      <c r="H593" s="100">
        <v>0</v>
      </c>
      <c r="I593" s="98">
        <v>0</v>
      </c>
      <c r="J593" s="101">
        <f t="shared" si="426"/>
        <v>0</v>
      </c>
      <c r="K593" s="100">
        <v>0</v>
      </c>
      <c r="L593" s="98">
        <v>0</v>
      </c>
      <c r="M593" s="101">
        <f t="shared" si="427"/>
        <v>0</v>
      </c>
      <c r="N593" s="100">
        <v>0</v>
      </c>
      <c r="O593" s="98">
        <v>0</v>
      </c>
      <c r="P593" s="101">
        <f t="shared" si="428"/>
        <v>0</v>
      </c>
      <c r="Q593" s="100">
        <v>0</v>
      </c>
      <c r="R593" s="98">
        <v>0</v>
      </c>
      <c r="S593" s="101">
        <f t="shared" si="429"/>
        <v>0</v>
      </c>
      <c r="T593" s="100">
        <v>0</v>
      </c>
      <c r="U593" s="98">
        <v>0</v>
      </c>
      <c r="V593" s="101">
        <f t="shared" si="431"/>
        <v>0</v>
      </c>
      <c r="W593" s="100">
        <v>0</v>
      </c>
      <c r="X593" s="98">
        <v>0</v>
      </c>
      <c r="Y593" s="147">
        <f t="shared" si="430"/>
        <v>0</v>
      </c>
      <c r="Z593" s="150"/>
    </row>
    <row r="594" spans="2:26" s="35" customFormat="1" ht="17.100000000000001" customHeight="1">
      <c r="B594" s="105"/>
      <c r="C594" s="54"/>
      <c r="D594" s="96"/>
      <c r="E594" s="111"/>
      <c r="F594" s="112"/>
      <c r="G594" s="113"/>
      <c r="H594" s="100">
        <v>0</v>
      </c>
      <c r="I594" s="98">
        <v>0</v>
      </c>
      <c r="J594" s="101">
        <f t="shared" si="426"/>
        <v>0</v>
      </c>
      <c r="K594" s="100">
        <v>0</v>
      </c>
      <c r="L594" s="98">
        <v>0</v>
      </c>
      <c r="M594" s="101">
        <f t="shared" si="427"/>
        <v>0</v>
      </c>
      <c r="N594" s="100">
        <v>0</v>
      </c>
      <c r="O594" s="98">
        <v>0</v>
      </c>
      <c r="P594" s="101">
        <f t="shared" si="428"/>
        <v>0</v>
      </c>
      <c r="Q594" s="100">
        <v>0</v>
      </c>
      <c r="R594" s="98">
        <v>0</v>
      </c>
      <c r="S594" s="101">
        <f t="shared" si="429"/>
        <v>0</v>
      </c>
      <c r="T594" s="100">
        <v>0</v>
      </c>
      <c r="U594" s="98">
        <v>0</v>
      </c>
      <c r="V594" s="101">
        <f t="shared" si="431"/>
        <v>0</v>
      </c>
      <c r="W594" s="100">
        <v>0</v>
      </c>
      <c r="X594" s="98">
        <v>0</v>
      </c>
      <c r="Y594" s="147">
        <f t="shared" si="430"/>
        <v>0</v>
      </c>
      <c r="Z594" s="150"/>
    </row>
    <row r="595" spans="2:26" s="35" customFormat="1" ht="17.100000000000001" customHeight="1">
      <c r="B595" s="105"/>
      <c r="C595" s="54"/>
      <c r="D595" s="96"/>
      <c r="E595" s="111"/>
      <c r="F595" s="112"/>
      <c r="G595" s="113"/>
      <c r="H595" s="100">
        <v>0</v>
      </c>
      <c r="I595" s="98">
        <v>0</v>
      </c>
      <c r="J595" s="101">
        <f t="shared" si="426"/>
        <v>0</v>
      </c>
      <c r="K595" s="100">
        <v>0</v>
      </c>
      <c r="L595" s="98">
        <v>0</v>
      </c>
      <c r="M595" s="101">
        <f t="shared" si="427"/>
        <v>0</v>
      </c>
      <c r="N595" s="100">
        <v>0</v>
      </c>
      <c r="O595" s="98">
        <v>0</v>
      </c>
      <c r="P595" s="101">
        <f t="shared" si="428"/>
        <v>0</v>
      </c>
      <c r="Q595" s="100">
        <v>0</v>
      </c>
      <c r="R595" s="98">
        <v>0</v>
      </c>
      <c r="S595" s="101">
        <f t="shared" si="429"/>
        <v>0</v>
      </c>
      <c r="T595" s="100">
        <v>0</v>
      </c>
      <c r="U595" s="98">
        <v>0</v>
      </c>
      <c r="V595" s="101">
        <f t="shared" si="431"/>
        <v>0</v>
      </c>
      <c r="W595" s="100">
        <v>0</v>
      </c>
      <c r="X595" s="98">
        <v>0</v>
      </c>
      <c r="Y595" s="147">
        <f t="shared" si="430"/>
        <v>0</v>
      </c>
      <c r="Z595" s="150"/>
    </row>
    <row r="596" spans="2:26" s="126" customFormat="1" ht="17.100000000000001" customHeight="1">
      <c r="B596" s="118"/>
      <c r="C596" s="119"/>
      <c r="D596" s="120"/>
      <c r="E596" s="121"/>
      <c r="F596" s="122"/>
      <c r="G596" s="123"/>
      <c r="H596" s="341" t="s">
        <v>201</v>
      </c>
      <c r="I596" s="342"/>
      <c r="J596" s="124">
        <f>SUM(J589:J595)</f>
        <v>0</v>
      </c>
      <c r="K596" s="341" t="s">
        <v>201</v>
      </c>
      <c r="L596" s="342"/>
      <c r="M596" s="124">
        <f>SUM(M589:M595)</f>
        <v>0</v>
      </c>
      <c r="N596" s="341" t="s">
        <v>201</v>
      </c>
      <c r="O596" s="342"/>
      <c r="P596" s="124">
        <f>SUM(P589:P595)</f>
        <v>0</v>
      </c>
      <c r="Q596" s="341" t="s">
        <v>201</v>
      </c>
      <c r="R596" s="342"/>
      <c r="S596" s="124">
        <f>SUM(S589:S595)</f>
        <v>0</v>
      </c>
      <c r="T596" s="341" t="s">
        <v>201</v>
      </c>
      <c r="U596" s="342"/>
      <c r="V596" s="124">
        <f>SUM(V589:V595)</f>
        <v>0</v>
      </c>
      <c r="W596" s="341" t="s">
        <v>201</v>
      </c>
      <c r="X596" s="342"/>
      <c r="Y596" s="127">
        <f>SUM(Y589:Y595)</f>
        <v>0</v>
      </c>
      <c r="Z596" s="151"/>
    </row>
    <row r="597" spans="2:26" s="35" customFormat="1" ht="17.100000000000001" customHeight="1">
      <c r="B597" s="105"/>
      <c r="C597" s="54">
        <f>'2. Rekap Back Up Beton'!C93</f>
        <v>17000</v>
      </c>
      <c r="D597" s="96">
        <f>'2. Rekap Back Up Beton'!D93</f>
        <v>17100</v>
      </c>
      <c r="E597" s="111">
        <f>'2. Rekap Back Up Beton'!E93</f>
        <v>6</v>
      </c>
      <c r="F597" s="112">
        <f>(100/((D597-C597)*E597))*((J604*0.5)+(M604*1)+(P604*2)+(S604*20)+(V604*15)+(Y604*1.5))</f>
        <v>0</v>
      </c>
      <c r="G597" s="113" t="str">
        <f>IF(F597&lt;=25,"B",IF(F597&lt;=75,"S",IF(F597&lt;=100,"RR","RB")))</f>
        <v>B</v>
      </c>
      <c r="H597" s="100">
        <v>0</v>
      </c>
      <c r="I597" s="98">
        <v>0</v>
      </c>
      <c r="J597" s="101">
        <f t="shared" ref="J597:J603" si="432">H597*I597</f>
        <v>0</v>
      </c>
      <c r="K597" s="100">
        <v>0</v>
      </c>
      <c r="L597" s="98">
        <v>0</v>
      </c>
      <c r="M597" s="101">
        <f t="shared" ref="M597:M603" si="433">K597*L597</f>
        <v>0</v>
      </c>
      <c r="N597" s="100">
        <v>0</v>
      </c>
      <c r="O597" s="98">
        <v>4</v>
      </c>
      <c r="P597" s="101">
        <f t="shared" ref="P597:P603" si="434">N597*O597</f>
        <v>0</v>
      </c>
      <c r="Q597" s="100">
        <v>0</v>
      </c>
      <c r="R597" s="98">
        <v>0</v>
      </c>
      <c r="S597" s="101">
        <f t="shared" ref="S597:S603" si="435">Q597*R597</f>
        <v>0</v>
      </c>
      <c r="T597" s="100">
        <v>0</v>
      </c>
      <c r="U597" s="98">
        <v>0</v>
      </c>
      <c r="V597" s="101">
        <f>T597*U597</f>
        <v>0</v>
      </c>
      <c r="W597" s="100">
        <v>0</v>
      </c>
      <c r="X597" s="98">
        <v>0</v>
      </c>
      <c r="Y597" s="147">
        <f t="shared" ref="Y597:Y603" si="436">W597*X597</f>
        <v>0</v>
      </c>
      <c r="Z597" s="150"/>
    </row>
    <row r="598" spans="2:26" s="35" customFormat="1" ht="17.100000000000001" customHeight="1">
      <c r="B598" s="105"/>
      <c r="C598" s="54"/>
      <c r="D598" s="96"/>
      <c r="E598" s="111"/>
      <c r="F598" s="112"/>
      <c r="G598" s="113"/>
      <c r="H598" s="100">
        <v>0</v>
      </c>
      <c r="I598" s="98">
        <v>0</v>
      </c>
      <c r="J598" s="101">
        <f t="shared" si="432"/>
        <v>0</v>
      </c>
      <c r="K598" s="100">
        <v>0</v>
      </c>
      <c r="L598" s="98">
        <v>0</v>
      </c>
      <c r="M598" s="101">
        <f t="shared" si="433"/>
        <v>0</v>
      </c>
      <c r="N598" s="100">
        <v>0</v>
      </c>
      <c r="O598" s="98">
        <v>0</v>
      </c>
      <c r="P598" s="101">
        <f t="shared" si="434"/>
        <v>0</v>
      </c>
      <c r="Q598" s="100">
        <v>0</v>
      </c>
      <c r="R598" s="98">
        <v>0</v>
      </c>
      <c r="S598" s="101">
        <f t="shared" si="435"/>
        <v>0</v>
      </c>
      <c r="T598" s="100">
        <v>0</v>
      </c>
      <c r="U598" s="98">
        <v>0</v>
      </c>
      <c r="V598" s="101">
        <f t="shared" ref="V598:V603" si="437">T598*U598</f>
        <v>0</v>
      </c>
      <c r="W598" s="100">
        <v>0</v>
      </c>
      <c r="X598" s="98">
        <v>0</v>
      </c>
      <c r="Y598" s="147">
        <f t="shared" si="436"/>
        <v>0</v>
      </c>
      <c r="Z598" s="150"/>
    </row>
    <row r="599" spans="2:26" s="35" customFormat="1" ht="17.100000000000001" customHeight="1">
      <c r="B599" s="105"/>
      <c r="C599" s="54"/>
      <c r="D599" s="96"/>
      <c r="E599" s="111"/>
      <c r="F599" s="112"/>
      <c r="G599" s="113"/>
      <c r="H599" s="100">
        <v>0</v>
      </c>
      <c r="I599" s="98">
        <v>0</v>
      </c>
      <c r="J599" s="101">
        <f t="shared" si="432"/>
        <v>0</v>
      </c>
      <c r="K599" s="100">
        <v>0</v>
      </c>
      <c r="L599" s="98">
        <v>0</v>
      </c>
      <c r="M599" s="101">
        <f t="shared" si="433"/>
        <v>0</v>
      </c>
      <c r="N599" s="100">
        <v>0</v>
      </c>
      <c r="O599" s="98">
        <v>0</v>
      </c>
      <c r="P599" s="101">
        <f t="shared" si="434"/>
        <v>0</v>
      </c>
      <c r="Q599" s="100">
        <v>0</v>
      </c>
      <c r="R599" s="98">
        <v>0</v>
      </c>
      <c r="S599" s="101">
        <f t="shared" si="435"/>
        <v>0</v>
      </c>
      <c r="T599" s="100">
        <v>0</v>
      </c>
      <c r="U599" s="98">
        <v>0</v>
      </c>
      <c r="V599" s="101">
        <f t="shared" si="437"/>
        <v>0</v>
      </c>
      <c r="W599" s="100">
        <v>0</v>
      </c>
      <c r="X599" s="98">
        <v>0</v>
      </c>
      <c r="Y599" s="147">
        <f t="shared" si="436"/>
        <v>0</v>
      </c>
      <c r="Z599" s="150"/>
    </row>
    <row r="600" spans="2:26" s="35" customFormat="1" ht="17.100000000000001" customHeight="1">
      <c r="B600" s="105"/>
      <c r="C600" s="54"/>
      <c r="D600" s="96"/>
      <c r="E600" s="111"/>
      <c r="F600" s="112"/>
      <c r="G600" s="113"/>
      <c r="H600" s="100">
        <v>0</v>
      </c>
      <c r="I600" s="98">
        <v>0</v>
      </c>
      <c r="J600" s="101">
        <f t="shared" si="432"/>
        <v>0</v>
      </c>
      <c r="K600" s="100">
        <v>0</v>
      </c>
      <c r="L600" s="98">
        <v>0</v>
      </c>
      <c r="M600" s="101">
        <f t="shared" si="433"/>
        <v>0</v>
      </c>
      <c r="N600" s="100">
        <v>0</v>
      </c>
      <c r="O600" s="98">
        <v>0</v>
      </c>
      <c r="P600" s="101">
        <f t="shared" si="434"/>
        <v>0</v>
      </c>
      <c r="Q600" s="100">
        <v>0</v>
      </c>
      <c r="R600" s="98">
        <v>0</v>
      </c>
      <c r="S600" s="101">
        <f t="shared" si="435"/>
        <v>0</v>
      </c>
      <c r="T600" s="100">
        <v>0</v>
      </c>
      <c r="U600" s="98">
        <v>0</v>
      </c>
      <c r="V600" s="101">
        <f t="shared" si="437"/>
        <v>0</v>
      </c>
      <c r="W600" s="100">
        <v>0</v>
      </c>
      <c r="X600" s="98">
        <v>0</v>
      </c>
      <c r="Y600" s="147">
        <f t="shared" si="436"/>
        <v>0</v>
      </c>
      <c r="Z600" s="150"/>
    </row>
    <row r="601" spans="2:26" s="35" customFormat="1" ht="17.100000000000001" customHeight="1">
      <c r="B601" s="105"/>
      <c r="C601" s="54"/>
      <c r="D601" s="96"/>
      <c r="E601" s="111"/>
      <c r="F601" s="112"/>
      <c r="G601" s="113"/>
      <c r="H601" s="100">
        <v>0</v>
      </c>
      <c r="I601" s="98">
        <v>0</v>
      </c>
      <c r="J601" s="101">
        <f t="shared" si="432"/>
        <v>0</v>
      </c>
      <c r="K601" s="100">
        <v>0</v>
      </c>
      <c r="L601" s="98">
        <v>0</v>
      </c>
      <c r="M601" s="101">
        <f t="shared" si="433"/>
        <v>0</v>
      </c>
      <c r="N601" s="100">
        <v>0</v>
      </c>
      <c r="O601" s="98">
        <v>0</v>
      </c>
      <c r="P601" s="101">
        <f t="shared" si="434"/>
        <v>0</v>
      </c>
      <c r="Q601" s="100">
        <v>0</v>
      </c>
      <c r="R601" s="98">
        <v>0</v>
      </c>
      <c r="S601" s="101">
        <f t="shared" si="435"/>
        <v>0</v>
      </c>
      <c r="T601" s="100">
        <v>0</v>
      </c>
      <c r="U601" s="98">
        <v>0</v>
      </c>
      <c r="V601" s="101">
        <f t="shared" si="437"/>
        <v>0</v>
      </c>
      <c r="W601" s="100">
        <v>0</v>
      </c>
      <c r="X601" s="98">
        <v>0</v>
      </c>
      <c r="Y601" s="147">
        <f t="shared" si="436"/>
        <v>0</v>
      </c>
      <c r="Z601" s="150"/>
    </row>
    <row r="602" spans="2:26" s="35" customFormat="1" ht="17.100000000000001" customHeight="1">
      <c r="B602" s="105"/>
      <c r="C602" s="54"/>
      <c r="D602" s="96"/>
      <c r="E602" s="111"/>
      <c r="F602" s="112"/>
      <c r="G602" s="113"/>
      <c r="H602" s="100">
        <v>0</v>
      </c>
      <c r="I602" s="98">
        <v>0</v>
      </c>
      <c r="J602" s="101">
        <f t="shared" si="432"/>
        <v>0</v>
      </c>
      <c r="K602" s="100">
        <v>0</v>
      </c>
      <c r="L602" s="98">
        <v>0</v>
      </c>
      <c r="M602" s="101">
        <f t="shared" si="433"/>
        <v>0</v>
      </c>
      <c r="N602" s="100">
        <v>0</v>
      </c>
      <c r="O602" s="98">
        <v>0</v>
      </c>
      <c r="P602" s="101">
        <f t="shared" si="434"/>
        <v>0</v>
      </c>
      <c r="Q602" s="100">
        <v>0</v>
      </c>
      <c r="R602" s="98">
        <v>0</v>
      </c>
      <c r="S602" s="101">
        <f t="shared" si="435"/>
        <v>0</v>
      </c>
      <c r="T602" s="100">
        <v>0</v>
      </c>
      <c r="U602" s="98">
        <v>0</v>
      </c>
      <c r="V602" s="101">
        <f t="shared" si="437"/>
        <v>0</v>
      </c>
      <c r="W602" s="100">
        <v>0</v>
      </c>
      <c r="X602" s="98">
        <v>0</v>
      </c>
      <c r="Y602" s="147">
        <f t="shared" si="436"/>
        <v>0</v>
      </c>
      <c r="Z602" s="150"/>
    </row>
    <row r="603" spans="2:26" s="35" customFormat="1" ht="17.100000000000001" customHeight="1">
      <c r="B603" s="105"/>
      <c r="C603" s="54"/>
      <c r="D603" s="96"/>
      <c r="E603" s="111"/>
      <c r="F603" s="112"/>
      <c r="G603" s="113"/>
      <c r="H603" s="100">
        <v>0</v>
      </c>
      <c r="I603" s="98">
        <v>0</v>
      </c>
      <c r="J603" s="101">
        <f t="shared" si="432"/>
        <v>0</v>
      </c>
      <c r="K603" s="100">
        <v>0</v>
      </c>
      <c r="L603" s="98">
        <v>0</v>
      </c>
      <c r="M603" s="101">
        <f t="shared" si="433"/>
        <v>0</v>
      </c>
      <c r="N603" s="100">
        <v>0</v>
      </c>
      <c r="O603" s="98">
        <v>0</v>
      </c>
      <c r="P603" s="101">
        <f t="shared" si="434"/>
        <v>0</v>
      </c>
      <c r="Q603" s="100">
        <v>0</v>
      </c>
      <c r="R603" s="98">
        <v>0</v>
      </c>
      <c r="S603" s="101">
        <f t="shared" si="435"/>
        <v>0</v>
      </c>
      <c r="T603" s="100">
        <v>0</v>
      </c>
      <c r="U603" s="98">
        <v>0</v>
      </c>
      <c r="V603" s="101">
        <f t="shared" si="437"/>
        <v>0</v>
      </c>
      <c r="W603" s="100">
        <v>0</v>
      </c>
      <c r="X603" s="98">
        <v>0</v>
      </c>
      <c r="Y603" s="147">
        <f t="shared" si="436"/>
        <v>0</v>
      </c>
      <c r="Z603" s="150"/>
    </row>
    <row r="604" spans="2:26" s="126" customFormat="1" ht="17.100000000000001" customHeight="1">
      <c r="B604" s="118"/>
      <c r="C604" s="119"/>
      <c r="D604" s="120"/>
      <c r="E604" s="121"/>
      <c r="F604" s="122"/>
      <c r="G604" s="123"/>
      <c r="H604" s="341" t="s">
        <v>201</v>
      </c>
      <c r="I604" s="342"/>
      <c r="J604" s="124">
        <f>SUM(J597:J603)</f>
        <v>0</v>
      </c>
      <c r="K604" s="341" t="s">
        <v>201</v>
      </c>
      <c r="L604" s="342"/>
      <c r="M604" s="124">
        <f>SUM(M597:M603)</f>
        <v>0</v>
      </c>
      <c r="N604" s="341" t="s">
        <v>201</v>
      </c>
      <c r="O604" s="342"/>
      <c r="P604" s="124">
        <f>SUM(P597:P603)</f>
        <v>0</v>
      </c>
      <c r="Q604" s="341" t="s">
        <v>201</v>
      </c>
      <c r="R604" s="342"/>
      <c r="S604" s="124">
        <f>SUM(S597:S603)</f>
        <v>0</v>
      </c>
      <c r="T604" s="341" t="s">
        <v>201</v>
      </c>
      <c r="U604" s="342"/>
      <c r="V604" s="124">
        <f>SUM(V597:V603)</f>
        <v>0</v>
      </c>
      <c r="W604" s="341" t="s">
        <v>201</v>
      </c>
      <c r="X604" s="342"/>
      <c r="Y604" s="127">
        <f>SUM(Y597:Y603)</f>
        <v>0</v>
      </c>
      <c r="Z604" s="151"/>
    </row>
    <row r="605" spans="2:26" s="35" customFormat="1" ht="17.100000000000001" customHeight="1">
      <c r="B605" s="105"/>
      <c r="C605" s="54">
        <f>'2. Rekap Back Up Beton'!C94</f>
        <v>17100</v>
      </c>
      <c r="D605" s="96">
        <f>'2. Rekap Back Up Beton'!D94</f>
        <v>17200</v>
      </c>
      <c r="E605" s="111">
        <f>'2. Rekap Back Up Beton'!E94</f>
        <v>6</v>
      </c>
      <c r="F605" s="112">
        <f>(100/((D605-C605)*E605))*((J612*0.5)+(M612*1)+(P612*2)+(S612*20)+(V612*15)+(Y612*1.5))</f>
        <v>0</v>
      </c>
      <c r="G605" s="113" t="str">
        <f>IF(F605&lt;=25,"B",IF(F605&lt;=75,"S",IF(F605&lt;=100,"RR","RB")))</f>
        <v>B</v>
      </c>
      <c r="H605" s="100">
        <v>0</v>
      </c>
      <c r="I605" s="98">
        <v>0</v>
      </c>
      <c r="J605" s="101">
        <f t="shared" ref="J605:J611" si="438">H605*I605</f>
        <v>0</v>
      </c>
      <c r="K605" s="100">
        <v>0</v>
      </c>
      <c r="L605" s="98">
        <v>0</v>
      </c>
      <c r="M605" s="101">
        <f t="shared" ref="M605:M611" si="439">K605*L605</f>
        <v>0</v>
      </c>
      <c r="N605" s="100">
        <v>0</v>
      </c>
      <c r="O605" s="98">
        <v>4</v>
      </c>
      <c r="P605" s="101">
        <f t="shared" ref="P605:P611" si="440">N605*O605</f>
        <v>0</v>
      </c>
      <c r="Q605" s="100">
        <v>0</v>
      </c>
      <c r="R605" s="98">
        <v>0</v>
      </c>
      <c r="S605" s="101">
        <f t="shared" ref="S605:S611" si="441">Q605*R605</f>
        <v>0</v>
      </c>
      <c r="T605" s="100">
        <v>0</v>
      </c>
      <c r="U605" s="98">
        <v>0</v>
      </c>
      <c r="V605" s="101">
        <f>T605*U605</f>
        <v>0</v>
      </c>
      <c r="W605" s="100">
        <v>0</v>
      </c>
      <c r="X605" s="98">
        <v>0</v>
      </c>
      <c r="Y605" s="147">
        <f t="shared" ref="Y605:Y611" si="442">W605*X605</f>
        <v>0</v>
      </c>
      <c r="Z605" s="150"/>
    </row>
    <row r="606" spans="2:26" s="35" customFormat="1" ht="17.100000000000001" customHeight="1">
      <c r="B606" s="105"/>
      <c r="C606" s="54"/>
      <c r="D606" s="96"/>
      <c r="E606" s="111"/>
      <c r="F606" s="112"/>
      <c r="G606" s="113"/>
      <c r="H606" s="100">
        <v>0</v>
      </c>
      <c r="I606" s="98">
        <v>0</v>
      </c>
      <c r="J606" s="101">
        <f t="shared" si="438"/>
        <v>0</v>
      </c>
      <c r="K606" s="100">
        <v>0</v>
      </c>
      <c r="L606" s="98">
        <v>0</v>
      </c>
      <c r="M606" s="101">
        <f t="shared" si="439"/>
        <v>0</v>
      </c>
      <c r="N606" s="100">
        <v>0</v>
      </c>
      <c r="O606" s="98">
        <v>0</v>
      </c>
      <c r="P606" s="101">
        <f t="shared" si="440"/>
        <v>0</v>
      </c>
      <c r="Q606" s="100">
        <v>0</v>
      </c>
      <c r="R606" s="98">
        <v>0</v>
      </c>
      <c r="S606" s="101">
        <f t="shared" si="441"/>
        <v>0</v>
      </c>
      <c r="T606" s="100">
        <v>0</v>
      </c>
      <c r="U606" s="98">
        <v>0</v>
      </c>
      <c r="V606" s="101">
        <f t="shared" ref="V606:V611" si="443">T606*U606</f>
        <v>0</v>
      </c>
      <c r="W606" s="100">
        <v>0</v>
      </c>
      <c r="X606" s="98">
        <v>0</v>
      </c>
      <c r="Y606" s="147">
        <f t="shared" si="442"/>
        <v>0</v>
      </c>
      <c r="Z606" s="150"/>
    </row>
    <row r="607" spans="2:26" s="35" customFormat="1" ht="17.100000000000001" customHeight="1">
      <c r="B607" s="105"/>
      <c r="C607" s="54"/>
      <c r="D607" s="96"/>
      <c r="E607" s="111"/>
      <c r="F607" s="112"/>
      <c r="G607" s="113"/>
      <c r="H607" s="100">
        <v>0</v>
      </c>
      <c r="I607" s="98">
        <v>0</v>
      </c>
      <c r="J607" s="101">
        <f t="shared" si="438"/>
        <v>0</v>
      </c>
      <c r="K607" s="100">
        <v>0</v>
      </c>
      <c r="L607" s="98">
        <v>0</v>
      </c>
      <c r="M607" s="101">
        <f t="shared" si="439"/>
        <v>0</v>
      </c>
      <c r="N607" s="100">
        <v>0</v>
      </c>
      <c r="O607" s="98">
        <v>0</v>
      </c>
      <c r="P607" s="101">
        <f t="shared" si="440"/>
        <v>0</v>
      </c>
      <c r="Q607" s="100">
        <v>0</v>
      </c>
      <c r="R607" s="98">
        <v>0</v>
      </c>
      <c r="S607" s="101">
        <f t="shared" si="441"/>
        <v>0</v>
      </c>
      <c r="T607" s="100">
        <v>0</v>
      </c>
      <c r="U607" s="98">
        <v>0</v>
      </c>
      <c r="V607" s="101">
        <f t="shared" si="443"/>
        <v>0</v>
      </c>
      <c r="W607" s="100">
        <v>0</v>
      </c>
      <c r="X607" s="98">
        <v>0</v>
      </c>
      <c r="Y607" s="147">
        <f t="shared" si="442"/>
        <v>0</v>
      </c>
      <c r="Z607" s="150"/>
    </row>
    <row r="608" spans="2:26" s="35" customFormat="1" ht="17.100000000000001" customHeight="1">
      <c r="B608" s="105"/>
      <c r="C608" s="54"/>
      <c r="D608" s="96"/>
      <c r="E608" s="111"/>
      <c r="F608" s="112"/>
      <c r="G608" s="113"/>
      <c r="H608" s="100">
        <v>0</v>
      </c>
      <c r="I608" s="98">
        <v>0</v>
      </c>
      <c r="J608" s="101">
        <f t="shared" si="438"/>
        <v>0</v>
      </c>
      <c r="K608" s="100">
        <v>0</v>
      </c>
      <c r="L608" s="98">
        <v>0</v>
      </c>
      <c r="M608" s="101">
        <f t="shared" si="439"/>
        <v>0</v>
      </c>
      <c r="N608" s="100">
        <v>0</v>
      </c>
      <c r="O608" s="98">
        <v>0</v>
      </c>
      <c r="P608" s="101">
        <f t="shared" si="440"/>
        <v>0</v>
      </c>
      <c r="Q608" s="100">
        <v>0</v>
      </c>
      <c r="R608" s="98">
        <v>0</v>
      </c>
      <c r="S608" s="101">
        <f t="shared" si="441"/>
        <v>0</v>
      </c>
      <c r="T608" s="100">
        <v>0</v>
      </c>
      <c r="U608" s="98">
        <v>0</v>
      </c>
      <c r="V608" s="101">
        <f t="shared" si="443"/>
        <v>0</v>
      </c>
      <c r="W608" s="100">
        <v>0</v>
      </c>
      <c r="X608" s="98">
        <v>0</v>
      </c>
      <c r="Y608" s="147">
        <f t="shared" si="442"/>
        <v>0</v>
      </c>
      <c r="Z608" s="150"/>
    </row>
    <row r="609" spans="2:26" s="35" customFormat="1" ht="17.100000000000001" customHeight="1">
      <c r="B609" s="105"/>
      <c r="C609" s="54"/>
      <c r="D609" s="96"/>
      <c r="E609" s="111"/>
      <c r="F609" s="112"/>
      <c r="G609" s="113"/>
      <c r="H609" s="100">
        <v>0</v>
      </c>
      <c r="I609" s="98">
        <v>0</v>
      </c>
      <c r="J609" s="101">
        <f t="shared" si="438"/>
        <v>0</v>
      </c>
      <c r="K609" s="100">
        <v>0</v>
      </c>
      <c r="L609" s="98">
        <v>0</v>
      </c>
      <c r="M609" s="101">
        <f t="shared" si="439"/>
        <v>0</v>
      </c>
      <c r="N609" s="100">
        <v>0</v>
      </c>
      <c r="O609" s="98">
        <v>0</v>
      </c>
      <c r="P609" s="101">
        <f t="shared" si="440"/>
        <v>0</v>
      </c>
      <c r="Q609" s="100">
        <v>0</v>
      </c>
      <c r="R609" s="98">
        <v>0</v>
      </c>
      <c r="S609" s="101">
        <f t="shared" si="441"/>
        <v>0</v>
      </c>
      <c r="T609" s="100">
        <v>0</v>
      </c>
      <c r="U609" s="98">
        <v>0</v>
      </c>
      <c r="V609" s="101">
        <f t="shared" si="443"/>
        <v>0</v>
      </c>
      <c r="W609" s="100">
        <v>0</v>
      </c>
      <c r="X609" s="98">
        <v>0</v>
      </c>
      <c r="Y609" s="147">
        <f t="shared" si="442"/>
        <v>0</v>
      </c>
      <c r="Z609" s="150"/>
    </row>
    <row r="610" spans="2:26" s="35" customFormat="1" ht="17.100000000000001" customHeight="1">
      <c r="B610" s="105"/>
      <c r="C610" s="54"/>
      <c r="D610" s="96"/>
      <c r="E610" s="111"/>
      <c r="F610" s="112"/>
      <c r="G610" s="113"/>
      <c r="H610" s="100">
        <v>0</v>
      </c>
      <c r="I610" s="98">
        <v>0</v>
      </c>
      <c r="J610" s="101">
        <f t="shared" si="438"/>
        <v>0</v>
      </c>
      <c r="K610" s="100">
        <v>0</v>
      </c>
      <c r="L610" s="98">
        <v>0</v>
      </c>
      <c r="M610" s="101">
        <f t="shared" si="439"/>
        <v>0</v>
      </c>
      <c r="N610" s="100">
        <v>0</v>
      </c>
      <c r="O610" s="98">
        <v>0</v>
      </c>
      <c r="P610" s="101">
        <f t="shared" si="440"/>
        <v>0</v>
      </c>
      <c r="Q610" s="100">
        <v>0</v>
      </c>
      <c r="R610" s="98">
        <v>0</v>
      </c>
      <c r="S610" s="101">
        <f t="shared" si="441"/>
        <v>0</v>
      </c>
      <c r="T610" s="100">
        <v>0</v>
      </c>
      <c r="U610" s="98">
        <v>0</v>
      </c>
      <c r="V610" s="101">
        <f t="shared" si="443"/>
        <v>0</v>
      </c>
      <c r="W610" s="100">
        <v>0</v>
      </c>
      <c r="X610" s="98">
        <v>0</v>
      </c>
      <c r="Y610" s="147">
        <f t="shared" si="442"/>
        <v>0</v>
      </c>
      <c r="Z610" s="150"/>
    </row>
    <row r="611" spans="2:26" s="35" customFormat="1" ht="17.100000000000001" customHeight="1">
      <c r="B611" s="105"/>
      <c r="C611" s="54"/>
      <c r="D611" s="96"/>
      <c r="E611" s="111"/>
      <c r="F611" s="112"/>
      <c r="G611" s="113"/>
      <c r="H611" s="100">
        <v>0</v>
      </c>
      <c r="I611" s="98">
        <v>0</v>
      </c>
      <c r="J611" s="101">
        <f t="shared" si="438"/>
        <v>0</v>
      </c>
      <c r="K611" s="100">
        <v>0</v>
      </c>
      <c r="L611" s="98">
        <v>0</v>
      </c>
      <c r="M611" s="101">
        <f t="shared" si="439"/>
        <v>0</v>
      </c>
      <c r="N611" s="100">
        <v>0</v>
      </c>
      <c r="O611" s="98">
        <v>0</v>
      </c>
      <c r="P611" s="101">
        <f t="shared" si="440"/>
        <v>0</v>
      </c>
      <c r="Q611" s="100">
        <v>0</v>
      </c>
      <c r="R611" s="98">
        <v>0</v>
      </c>
      <c r="S611" s="101">
        <f t="shared" si="441"/>
        <v>0</v>
      </c>
      <c r="T611" s="100">
        <v>0</v>
      </c>
      <c r="U611" s="98">
        <v>0</v>
      </c>
      <c r="V611" s="101">
        <f t="shared" si="443"/>
        <v>0</v>
      </c>
      <c r="W611" s="100">
        <v>0</v>
      </c>
      <c r="X611" s="98">
        <v>0</v>
      </c>
      <c r="Y611" s="147">
        <f t="shared" si="442"/>
        <v>0</v>
      </c>
      <c r="Z611" s="150"/>
    </row>
    <row r="612" spans="2:26" s="126" customFormat="1" ht="17.100000000000001" customHeight="1">
      <c r="B612" s="118"/>
      <c r="C612" s="119"/>
      <c r="D612" s="120"/>
      <c r="E612" s="121"/>
      <c r="F612" s="122"/>
      <c r="G612" s="123"/>
      <c r="H612" s="341" t="s">
        <v>201</v>
      </c>
      <c r="I612" s="342"/>
      <c r="J612" s="124">
        <f>SUM(J605:J611)</f>
        <v>0</v>
      </c>
      <c r="K612" s="341" t="s">
        <v>201</v>
      </c>
      <c r="L612" s="342"/>
      <c r="M612" s="124">
        <f>SUM(M605:M611)</f>
        <v>0</v>
      </c>
      <c r="N612" s="341" t="s">
        <v>201</v>
      </c>
      <c r="O612" s="342"/>
      <c r="P612" s="124">
        <f>SUM(P605:P611)</f>
        <v>0</v>
      </c>
      <c r="Q612" s="341" t="s">
        <v>201</v>
      </c>
      <c r="R612" s="342"/>
      <c r="S612" s="124">
        <f>SUM(S605:S611)</f>
        <v>0</v>
      </c>
      <c r="T612" s="341" t="s">
        <v>201</v>
      </c>
      <c r="U612" s="342"/>
      <c r="V612" s="124">
        <f>SUM(V605:V611)</f>
        <v>0</v>
      </c>
      <c r="W612" s="341" t="s">
        <v>201</v>
      </c>
      <c r="X612" s="342"/>
      <c r="Y612" s="127">
        <f>SUM(Y605:Y611)</f>
        <v>0</v>
      </c>
      <c r="Z612" s="151"/>
    </row>
    <row r="613" spans="2:26" s="35" customFormat="1" ht="17.100000000000001" customHeight="1">
      <c r="B613" s="105"/>
      <c r="C613" s="54">
        <f>'2. Rekap Back Up Beton'!C95</f>
        <v>17200</v>
      </c>
      <c r="D613" s="96">
        <f>'2. Rekap Back Up Beton'!D95</f>
        <v>17300</v>
      </c>
      <c r="E613" s="111">
        <f>'2. Rekap Back Up Beton'!E95</f>
        <v>6</v>
      </c>
      <c r="F613" s="112">
        <f>(100/((D613-C613)*E613))*((J620*0.5)+(M620*1)+(P620*2)+(S620*20)+(V620*15)+(Y620*1.5))</f>
        <v>0</v>
      </c>
      <c r="G613" s="113" t="str">
        <f>IF(F613&lt;=25,"B",IF(F613&lt;=75,"S",IF(F613&lt;=100,"RR","RB")))</f>
        <v>B</v>
      </c>
      <c r="H613" s="100">
        <v>0</v>
      </c>
      <c r="I613" s="98">
        <v>0</v>
      </c>
      <c r="J613" s="101">
        <f t="shared" ref="J613:J619" si="444">H613*I613</f>
        <v>0</v>
      </c>
      <c r="K613" s="100">
        <v>0</v>
      </c>
      <c r="L613" s="98">
        <v>0</v>
      </c>
      <c r="M613" s="101">
        <f t="shared" ref="M613:M619" si="445">K613*L613</f>
        <v>0</v>
      </c>
      <c r="N613" s="100">
        <v>0</v>
      </c>
      <c r="O613" s="98">
        <v>4</v>
      </c>
      <c r="P613" s="101">
        <f t="shared" ref="P613:P619" si="446">N613*O613</f>
        <v>0</v>
      </c>
      <c r="Q613" s="100">
        <v>0</v>
      </c>
      <c r="R613" s="98">
        <v>0</v>
      </c>
      <c r="S613" s="101">
        <f t="shared" ref="S613:S619" si="447">Q613*R613</f>
        <v>0</v>
      </c>
      <c r="T613" s="100">
        <v>0</v>
      </c>
      <c r="U613" s="98">
        <v>0</v>
      </c>
      <c r="V613" s="101">
        <f>T613*U613</f>
        <v>0</v>
      </c>
      <c r="W613" s="100">
        <v>0</v>
      </c>
      <c r="X613" s="98">
        <v>0</v>
      </c>
      <c r="Y613" s="147">
        <f t="shared" ref="Y613:Y619" si="448">W613*X613</f>
        <v>0</v>
      </c>
      <c r="Z613" s="150"/>
    </row>
    <row r="614" spans="2:26" s="35" customFormat="1" ht="17.100000000000001" customHeight="1">
      <c r="B614" s="105"/>
      <c r="C614" s="54"/>
      <c r="D614" s="96"/>
      <c r="E614" s="111"/>
      <c r="F614" s="112"/>
      <c r="G614" s="113"/>
      <c r="H614" s="100">
        <v>0</v>
      </c>
      <c r="I614" s="98">
        <v>0</v>
      </c>
      <c r="J614" s="101">
        <f t="shared" si="444"/>
        <v>0</v>
      </c>
      <c r="K614" s="100">
        <v>0</v>
      </c>
      <c r="L614" s="98">
        <v>0</v>
      </c>
      <c r="M614" s="101">
        <f t="shared" si="445"/>
        <v>0</v>
      </c>
      <c r="N614" s="100">
        <v>0</v>
      </c>
      <c r="O614" s="98">
        <v>0</v>
      </c>
      <c r="P614" s="101">
        <f t="shared" si="446"/>
        <v>0</v>
      </c>
      <c r="Q614" s="100">
        <v>0</v>
      </c>
      <c r="R614" s="98">
        <v>0</v>
      </c>
      <c r="S614" s="101">
        <f t="shared" si="447"/>
        <v>0</v>
      </c>
      <c r="T614" s="100">
        <v>0</v>
      </c>
      <c r="U614" s="98">
        <v>0</v>
      </c>
      <c r="V614" s="101">
        <f t="shared" ref="V614:V619" si="449">T614*U614</f>
        <v>0</v>
      </c>
      <c r="W614" s="100">
        <v>0</v>
      </c>
      <c r="X614" s="98">
        <v>0</v>
      </c>
      <c r="Y614" s="147">
        <f t="shared" si="448"/>
        <v>0</v>
      </c>
      <c r="Z614" s="150"/>
    </row>
    <row r="615" spans="2:26" s="35" customFormat="1" ht="17.100000000000001" customHeight="1">
      <c r="B615" s="105"/>
      <c r="C615" s="54"/>
      <c r="D615" s="96"/>
      <c r="E615" s="111"/>
      <c r="F615" s="112"/>
      <c r="G615" s="113"/>
      <c r="H615" s="100">
        <v>0</v>
      </c>
      <c r="I615" s="98">
        <v>0</v>
      </c>
      <c r="J615" s="101">
        <f t="shared" si="444"/>
        <v>0</v>
      </c>
      <c r="K615" s="100">
        <v>0</v>
      </c>
      <c r="L615" s="98">
        <v>0</v>
      </c>
      <c r="M615" s="101">
        <f t="shared" si="445"/>
        <v>0</v>
      </c>
      <c r="N615" s="100">
        <v>0</v>
      </c>
      <c r="O615" s="98">
        <v>0</v>
      </c>
      <c r="P615" s="101">
        <f t="shared" si="446"/>
        <v>0</v>
      </c>
      <c r="Q615" s="100">
        <v>0</v>
      </c>
      <c r="R615" s="98">
        <v>0</v>
      </c>
      <c r="S615" s="101">
        <f t="shared" si="447"/>
        <v>0</v>
      </c>
      <c r="T615" s="100">
        <v>0</v>
      </c>
      <c r="U615" s="98">
        <v>0</v>
      </c>
      <c r="V615" s="101">
        <f t="shared" si="449"/>
        <v>0</v>
      </c>
      <c r="W615" s="100">
        <v>0</v>
      </c>
      <c r="X615" s="98">
        <v>0</v>
      </c>
      <c r="Y615" s="147">
        <f t="shared" si="448"/>
        <v>0</v>
      </c>
      <c r="Z615" s="150"/>
    </row>
    <row r="616" spans="2:26" s="35" customFormat="1" ht="17.100000000000001" customHeight="1">
      <c r="B616" s="105"/>
      <c r="C616" s="54"/>
      <c r="D616" s="96"/>
      <c r="E616" s="111"/>
      <c r="F616" s="112"/>
      <c r="G616" s="113"/>
      <c r="H616" s="100">
        <v>0</v>
      </c>
      <c r="I616" s="98">
        <v>0</v>
      </c>
      <c r="J616" s="101">
        <f t="shared" si="444"/>
        <v>0</v>
      </c>
      <c r="K616" s="100">
        <v>0</v>
      </c>
      <c r="L616" s="98">
        <v>0</v>
      </c>
      <c r="M616" s="101">
        <f t="shared" si="445"/>
        <v>0</v>
      </c>
      <c r="N616" s="100">
        <v>0</v>
      </c>
      <c r="O616" s="98">
        <v>0</v>
      </c>
      <c r="P616" s="101">
        <f t="shared" si="446"/>
        <v>0</v>
      </c>
      <c r="Q616" s="100">
        <v>0</v>
      </c>
      <c r="R616" s="98">
        <v>0</v>
      </c>
      <c r="S616" s="101">
        <f t="shared" si="447"/>
        <v>0</v>
      </c>
      <c r="T616" s="100">
        <v>0</v>
      </c>
      <c r="U616" s="98">
        <v>0</v>
      </c>
      <c r="V616" s="101">
        <f t="shared" si="449"/>
        <v>0</v>
      </c>
      <c r="W616" s="100">
        <v>0</v>
      </c>
      <c r="X616" s="98">
        <v>0</v>
      </c>
      <c r="Y616" s="147">
        <f t="shared" si="448"/>
        <v>0</v>
      </c>
      <c r="Z616" s="150"/>
    </row>
    <row r="617" spans="2:26" s="35" customFormat="1" ht="17.100000000000001" customHeight="1">
      <c r="B617" s="105"/>
      <c r="C617" s="54"/>
      <c r="D617" s="96"/>
      <c r="E617" s="111"/>
      <c r="F617" s="112"/>
      <c r="G617" s="113"/>
      <c r="H617" s="100">
        <v>0</v>
      </c>
      <c r="I617" s="98">
        <v>0</v>
      </c>
      <c r="J617" s="101">
        <f t="shared" si="444"/>
        <v>0</v>
      </c>
      <c r="K617" s="100">
        <v>0</v>
      </c>
      <c r="L617" s="98">
        <v>0</v>
      </c>
      <c r="M617" s="101">
        <f t="shared" si="445"/>
        <v>0</v>
      </c>
      <c r="N617" s="100">
        <v>0</v>
      </c>
      <c r="O617" s="98">
        <v>0</v>
      </c>
      <c r="P617" s="101">
        <f t="shared" si="446"/>
        <v>0</v>
      </c>
      <c r="Q617" s="100">
        <v>0</v>
      </c>
      <c r="R617" s="98">
        <v>0</v>
      </c>
      <c r="S617" s="101">
        <f t="shared" si="447"/>
        <v>0</v>
      </c>
      <c r="T617" s="100">
        <v>0</v>
      </c>
      <c r="U617" s="98">
        <v>0</v>
      </c>
      <c r="V617" s="101">
        <f t="shared" si="449"/>
        <v>0</v>
      </c>
      <c r="W617" s="100">
        <v>0</v>
      </c>
      <c r="X617" s="98">
        <v>0</v>
      </c>
      <c r="Y617" s="147">
        <f t="shared" si="448"/>
        <v>0</v>
      </c>
      <c r="Z617" s="150"/>
    </row>
    <row r="618" spans="2:26" s="35" customFormat="1" ht="17.100000000000001" customHeight="1">
      <c r="B618" s="105"/>
      <c r="C618" s="54"/>
      <c r="D618" s="96"/>
      <c r="E618" s="111"/>
      <c r="F618" s="112"/>
      <c r="G618" s="113"/>
      <c r="H618" s="100">
        <v>0</v>
      </c>
      <c r="I618" s="98">
        <v>0</v>
      </c>
      <c r="J618" s="101">
        <f t="shared" si="444"/>
        <v>0</v>
      </c>
      <c r="K618" s="100">
        <v>0</v>
      </c>
      <c r="L618" s="98">
        <v>0</v>
      </c>
      <c r="M618" s="101">
        <f t="shared" si="445"/>
        <v>0</v>
      </c>
      <c r="N618" s="100">
        <v>0</v>
      </c>
      <c r="O618" s="98">
        <v>0</v>
      </c>
      <c r="P618" s="101">
        <f t="shared" si="446"/>
        <v>0</v>
      </c>
      <c r="Q618" s="100">
        <v>0</v>
      </c>
      <c r="R618" s="98">
        <v>0</v>
      </c>
      <c r="S618" s="101">
        <f t="shared" si="447"/>
        <v>0</v>
      </c>
      <c r="T618" s="100">
        <v>0</v>
      </c>
      <c r="U618" s="98">
        <v>0</v>
      </c>
      <c r="V618" s="101">
        <f t="shared" si="449"/>
        <v>0</v>
      </c>
      <c r="W618" s="100">
        <v>0</v>
      </c>
      <c r="X618" s="98">
        <v>0</v>
      </c>
      <c r="Y618" s="147">
        <f t="shared" si="448"/>
        <v>0</v>
      </c>
      <c r="Z618" s="150"/>
    </row>
    <row r="619" spans="2:26" s="35" customFormat="1" ht="17.100000000000001" customHeight="1">
      <c r="B619" s="105"/>
      <c r="C619" s="54"/>
      <c r="D619" s="96"/>
      <c r="E619" s="111"/>
      <c r="F619" s="112"/>
      <c r="G619" s="113"/>
      <c r="H619" s="100">
        <v>0</v>
      </c>
      <c r="I619" s="98">
        <v>0</v>
      </c>
      <c r="J619" s="101">
        <f t="shared" si="444"/>
        <v>0</v>
      </c>
      <c r="K619" s="100">
        <v>0</v>
      </c>
      <c r="L619" s="98">
        <v>0</v>
      </c>
      <c r="M619" s="101">
        <f t="shared" si="445"/>
        <v>0</v>
      </c>
      <c r="N619" s="100">
        <v>0</v>
      </c>
      <c r="O619" s="98">
        <v>0</v>
      </c>
      <c r="P619" s="101">
        <f t="shared" si="446"/>
        <v>0</v>
      </c>
      <c r="Q619" s="100">
        <v>0</v>
      </c>
      <c r="R619" s="98">
        <v>0</v>
      </c>
      <c r="S619" s="101">
        <f t="shared" si="447"/>
        <v>0</v>
      </c>
      <c r="T619" s="100">
        <v>0</v>
      </c>
      <c r="U619" s="98">
        <v>0</v>
      </c>
      <c r="V619" s="101">
        <f t="shared" si="449"/>
        <v>0</v>
      </c>
      <c r="W619" s="100">
        <v>0</v>
      </c>
      <c r="X619" s="98">
        <v>0</v>
      </c>
      <c r="Y619" s="147">
        <f t="shared" si="448"/>
        <v>0</v>
      </c>
      <c r="Z619" s="150"/>
    </row>
    <row r="620" spans="2:26" s="126" customFormat="1" ht="17.100000000000001" customHeight="1">
      <c r="B620" s="118"/>
      <c r="C620" s="119"/>
      <c r="D620" s="120"/>
      <c r="E620" s="121"/>
      <c r="F620" s="122"/>
      <c r="G620" s="123"/>
      <c r="H620" s="341" t="s">
        <v>201</v>
      </c>
      <c r="I620" s="342"/>
      <c r="J620" s="124">
        <f>SUM(J613:J619)</f>
        <v>0</v>
      </c>
      <c r="K620" s="341" t="s">
        <v>201</v>
      </c>
      <c r="L620" s="342"/>
      <c r="M620" s="124">
        <f>SUM(M613:M619)</f>
        <v>0</v>
      </c>
      <c r="N620" s="341" t="s">
        <v>201</v>
      </c>
      <c r="O620" s="342"/>
      <c r="P620" s="124">
        <f>SUM(P613:P619)</f>
        <v>0</v>
      </c>
      <c r="Q620" s="341" t="s">
        <v>201</v>
      </c>
      <c r="R620" s="342"/>
      <c r="S620" s="124">
        <f>SUM(S613:S619)</f>
        <v>0</v>
      </c>
      <c r="T620" s="341" t="s">
        <v>201</v>
      </c>
      <c r="U620" s="342"/>
      <c r="V620" s="124">
        <f>SUM(V613:V619)</f>
        <v>0</v>
      </c>
      <c r="W620" s="341" t="s">
        <v>201</v>
      </c>
      <c r="X620" s="342"/>
      <c r="Y620" s="127">
        <f>SUM(Y613:Y619)</f>
        <v>0</v>
      </c>
      <c r="Z620" s="151"/>
    </row>
    <row r="621" spans="2:26" s="35" customFormat="1" ht="17.100000000000001" customHeight="1">
      <c r="B621" s="105"/>
      <c r="C621" s="54">
        <f>'2. Rekap Back Up Beton'!C96</f>
        <v>17300</v>
      </c>
      <c r="D621" s="96">
        <f>'2. Rekap Back Up Beton'!D96</f>
        <v>17400</v>
      </c>
      <c r="E621" s="111">
        <f>'2. Rekap Back Up Beton'!E96</f>
        <v>6</v>
      </c>
      <c r="F621" s="112">
        <f>(100/((D621-C621)*E621))*((J628*0.5)+(M628*1)+(P628*2)+(S628*20)+(V628*15)+(Y628*1.5))</f>
        <v>0</v>
      </c>
      <c r="G621" s="113" t="str">
        <f>IF(F621&lt;=25,"B",IF(F621&lt;=75,"S",IF(F621&lt;=100,"RR","RB")))</f>
        <v>B</v>
      </c>
      <c r="H621" s="100">
        <v>0</v>
      </c>
      <c r="I621" s="98">
        <v>0</v>
      </c>
      <c r="J621" s="101">
        <f t="shared" ref="J621:J627" si="450">H621*I621</f>
        <v>0</v>
      </c>
      <c r="K621" s="100">
        <v>0</v>
      </c>
      <c r="L621" s="98">
        <v>0</v>
      </c>
      <c r="M621" s="101">
        <f t="shared" ref="M621:M627" si="451">K621*L621</f>
        <v>0</v>
      </c>
      <c r="N621" s="100">
        <v>0</v>
      </c>
      <c r="O621" s="98">
        <v>4</v>
      </c>
      <c r="P621" s="101">
        <f t="shared" ref="P621:P627" si="452">N621*O621</f>
        <v>0</v>
      </c>
      <c r="Q621" s="100">
        <v>0</v>
      </c>
      <c r="R621" s="98">
        <v>0</v>
      </c>
      <c r="S621" s="101">
        <f t="shared" ref="S621:S627" si="453">Q621*R621</f>
        <v>0</v>
      </c>
      <c r="T621" s="100">
        <v>0</v>
      </c>
      <c r="U621" s="98">
        <v>0</v>
      </c>
      <c r="V621" s="101">
        <f>T621*U621</f>
        <v>0</v>
      </c>
      <c r="W621" s="100">
        <v>0</v>
      </c>
      <c r="X621" s="98">
        <v>0</v>
      </c>
      <c r="Y621" s="147">
        <f t="shared" ref="Y621:Y627" si="454">W621*X621</f>
        <v>0</v>
      </c>
      <c r="Z621" s="150"/>
    </row>
    <row r="622" spans="2:26" s="35" customFormat="1" ht="17.100000000000001" customHeight="1">
      <c r="B622" s="105"/>
      <c r="C622" s="54"/>
      <c r="D622" s="96"/>
      <c r="E622" s="111"/>
      <c r="F622" s="112"/>
      <c r="G622" s="113"/>
      <c r="H622" s="100">
        <v>0</v>
      </c>
      <c r="I622" s="98">
        <v>0</v>
      </c>
      <c r="J622" s="101">
        <f t="shared" si="450"/>
        <v>0</v>
      </c>
      <c r="K622" s="100">
        <v>0</v>
      </c>
      <c r="L622" s="98">
        <v>0</v>
      </c>
      <c r="M622" s="101">
        <f t="shared" si="451"/>
        <v>0</v>
      </c>
      <c r="N622" s="100">
        <v>0</v>
      </c>
      <c r="O622" s="98">
        <v>0</v>
      </c>
      <c r="P622" s="101">
        <f t="shared" si="452"/>
        <v>0</v>
      </c>
      <c r="Q622" s="100">
        <v>0</v>
      </c>
      <c r="R622" s="98">
        <v>0</v>
      </c>
      <c r="S622" s="101">
        <f t="shared" si="453"/>
        <v>0</v>
      </c>
      <c r="T622" s="100">
        <v>0</v>
      </c>
      <c r="U622" s="98">
        <v>0</v>
      </c>
      <c r="V622" s="101">
        <f t="shared" ref="V622:V627" si="455">T622*U622</f>
        <v>0</v>
      </c>
      <c r="W622" s="100">
        <v>0</v>
      </c>
      <c r="X622" s="98">
        <v>0</v>
      </c>
      <c r="Y622" s="147">
        <f t="shared" si="454"/>
        <v>0</v>
      </c>
      <c r="Z622" s="150"/>
    </row>
    <row r="623" spans="2:26" s="35" customFormat="1" ht="17.100000000000001" customHeight="1">
      <c r="B623" s="105"/>
      <c r="C623" s="54"/>
      <c r="D623" s="96"/>
      <c r="E623" s="111"/>
      <c r="F623" s="112"/>
      <c r="G623" s="113"/>
      <c r="H623" s="100">
        <v>0</v>
      </c>
      <c r="I623" s="98">
        <v>0</v>
      </c>
      <c r="J623" s="101">
        <f t="shared" si="450"/>
        <v>0</v>
      </c>
      <c r="K623" s="100">
        <v>0</v>
      </c>
      <c r="L623" s="98">
        <v>0</v>
      </c>
      <c r="M623" s="101">
        <f t="shared" si="451"/>
        <v>0</v>
      </c>
      <c r="N623" s="100">
        <v>0</v>
      </c>
      <c r="O623" s="98">
        <v>0</v>
      </c>
      <c r="P623" s="101">
        <f t="shared" si="452"/>
        <v>0</v>
      </c>
      <c r="Q623" s="100">
        <v>0</v>
      </c>
      <c r="R623" s="98">
        <v>0</v>
      </c>
      <c r="S623" s="101">
        <f t="shared" si="453"/>
        <v>0</v>
      </c>
      <c r="T623" s="100">
        <v>0</v>
      </c>
      <c r="U623" s="98">
        <v>0</v>
      </c>
      <c r="V623" s="101">
        <f t="shared" si="455"/>
        <v>0</v>
      </c>
      <c r="W623" s="100">
        <v>0</v>
      </c>
      <c r="X623" s="98">
        <v>0</v>
      </c>
      <c r="Y623" s="147">
        <f t="shared" si="454"/>
        <v>0</v>
      </c>
      <c r="Z623" s="150"/>
    </row>
    <row r="624" spans="2:26" s="35" customFormat="1" ht="17.100000000000001" customHeight="1">
      <c r="B624" s="105"/>
      <c r="C624" s="54"/>
      <c r="D624" s="96"/>
      <c r="E624" s="111"/>
      <c r="F624" s="112"/>
      <c r="G624" s="113"/>
      <c r="H624" s="100">
        <v>0</v>
      </c>
      <c r="I624" s="98">
        <v>0</v>
      </c>
      <c r="J624" s="101">
        <f t="shared" si="450"/>
        <v>0</v>
      </c>
      <c r="K624" s="100">
        <v>0</v>
      </c>
      <c r="L624" s="98">
        <v>0</v>
      </c>
      <c r="M624" s="101">
        <f t="shared" si="451"/>
        <v>0</v>
      </c>
      <c r="N624" s="100">
        <v>0</v>
      </c>
      <c r="O624" s="98">
        <v>0</v>
      </c>
      <c r="P624" s="101">
        <f t="shared" si="452"/>
        <v>0</v>
      </c>
      <c r="Q624" s="100">
        <v>0</v>
      </c>
      <c r="R624" s="98">
        <v>0</v>
      </c>
      <c r="S624" s="101">
        <f t="shared" si="453"/>
        <v>0</v>
      </c>
      <c r="T624" s="100">
        <v>0</v>
      </c>
      <c r="U624" s="98">
        <v>0</v>
      </c>
      <c r="V624" s="101">
        <f t="shared" si="455"/>
        <v>0</v>
      </c>
      <c r="W624" s="100">
        <v>0</v>
      </c>
      <c r="X624" s="98">
        <v>0</v>
      </c>
      <c r="Y624" s="147">
        <f t="shared" si="454"/>
        <v>0</v>
      </c>
      <c r="Z624" s="150"/>
    </row>
    <row r="625" spans="2:26" s="35" customFormat="1" ht="17.100000000000001" customHeight="1">
      <c r="B625" s="105"/>
      <c r="C625" s="54"/>
      <c r="D625" s="96"/>
      <c r="E625" s="111"/>
      <c r="F625" s="112"/>
      <c r="G625" s="113"/>
      <c r="H625" s="100">
        <v>0</v>
      </c>
      <c r="I625" s="98">
        <v>0</v>
      </c>
      <c r="J625" s="101">
        <f t="shared" si="450"/>
        <v>0</v>
      </c>
      <c r="K625" s="100">
        <v>0</v>
      </c>
      <c r="L625" s="98">
        <v>0</v>
      </c>
      <c r="M625" s="101">
        <f t="shared" si="451"/>
        <v>0</v>
      </c>
      <c r="N625" s="100">
        <v>0</v>
      </c>
      <c r="O625" s="98">
        <v>0</v>
      </c>
      <c r="P625" s="101">
        <f t="shared" si="452"/>
        <v>0</v>
      </c>
      <c r="Q625" s="100">
        <v>0</v>
      </c>
      <c r="R625" s="98">
        <v>0</v>
      </c>
      <c r="S625" s="101">
        <f t="shared" si="453"/>
        <v>0</v>
      </c>
      <c r="T625" s="100">
        <v>0</v>
      </c>
      <c r="U625" s="98">
        <v>0</v>
      </c>
      <c r="V625" s="101">
        <f t="shared" si="455"/>
        <v>0</v>
      </c>
      <c r="W625" s="100">
        <v>0</v>
      </c>
      <c r="X625" s="98">
        <v>0</v>
      </c>
      <c r="Y625" s="147">
        <f t="shared" si="454"/>
        <v>0</v>
      </c>
      <c r="Z625" s="150"/>
    </row>
    <row r="626" spans="2:26" s="35" customFormat="1" ht="17.100000000000001" customHeight="1">
      <c r="B626" s="105"/>
      <c r="C626" s="54"/>
      <c r="D626" s="96"/>
      <c r="E626" s="111"/>
      <c r="F626" s="112"/>
      <c r="G626" s="113"/>
      <c r="H626" s="100">
        <v>0</v>
      </c>
      <c r="I626" s="98">
        <v>0</v>
      </c>
      <c r="J626" s="101">
        <f t="shared" si="450"/>
        <v>0</v>
      </c>
      <c r="K626" s="100">
        <v>0</v>
      </c>
      <c r="L626" s="98">
        <v>0</v>
      </c>
      <c r="M626" s="101">
        <f t="shared" si="451"/>
        <v>0</v>
      </c>
      <c r="N626" s="100">
        <v>0</v>
      </c>
      <c r="O626" s="98">
        <v>0</v>
      </c>
      <c r="P626" s="101">
        <f t="shared" si="452"/>
        <v>0</v>
      </c>
      <c r="Q626" s="100">
        <v>0</v>
      </c>
      <c r="R626" s="98">
        <v>0</v>
      </c>
      <c r="S626" s="101">
        <f t="shared" si="453"/>
        <v>0</v>
      </c>
      <c r="T626" s="100">
        <v>0</v>
      </c>
      <c r="U626" s="98">
        <v>0</v>
      </c>
      <c r="V626" s="101">
        <f t="shared" si="455"/>
        <v>0</v>
      </c>
      <c r="W626" s="100">
        <v>0</v>
      </c>
      <c r="X626" s="98">
        <v>0</v>
      </c>
      <c r="Y626" s="147">
        <f t="shared" si="454"/>
        <v>0</v>
      </c>
      <c r="Z626" s="150"/>
    </row>
    <row r="627" spans="2:26" s="35" customFormat="1" ht="17.100000000000001" customHeight="1">
      <c r="B627" s="105"/>
      <c r="C627" s="54"/>
      <c r="D627" s="96"/>
      <c r="E627" s="111"/>
      <c r="F627" s="112"/>
      <c r="G627" s="113"/>
      <c r="H627" s="100">
        <v>0</v>
      </c>
      <c r="I627" s="98">
        <v>0</v>
      </c>
      <c r="J627" s="101">
        <f t="shared" si="450"/>
        <v>0</v>
      </c>
      <c r="K627" s="100">
        <v>0</v>
      </c>
      <c r="L627" s="98">
        <v>0</v>
      </c>
      <c r="M627" s="101">
        <f t="shared" si="451"/>
        <v>0</v>
      </c>
      <c r="N627" s="100">
        <v>0</v>
      </c>
      <c r="O627" s="98">
        <v>0</v>
      </c>
      <c r="P627" s="101">
        <f t="shared" si="452"/>
        <v>0</v>
      </c>
      <c r="Q627" s="100">
        <v>0</v>
      </c>
      <c r="R627" s="98">
        <v>0</v>
      </c>
      <c r="S627" s="101">
        <f t="shared" si="453"/>
        <v>0</v>
      </c>
      <c r="T627" s="100">
        <v>0</v>
      </c>
      <c r="U627" s="98">
        <v>0</v>
      </c>
      <c r="V627" s="101">
        <f t="shared" si="455"/>
        <v>0</v>
      </c>
      <c r="W627" s="100">
        <v>0</v>
      </c>
      <c r="X627" s="98">
        <v>0</v>
      </c>
      <c r="Y627" s="147">
        <f t="shared" si="454"/>
        <v>0</v>
      </c>
      <c r="Z627" s="150"/>
    </row>
    <row r="628" spans="2:26" s="126" customFormat="1" ht="17.100000000000001" customHeight="1">
      <c r="B628" s="118"/>
      <c r="C628" s="119"/>
      <c r="D628" s="120"/>
      <c r="E628" s="121"/>
      <c r="F628" s="122"/>
      <c r="G628" s="123"/>
      <c r="H628" s="341" t="s">
        <v>201</v>
      </c>
      <c r="I628" s="342"/>
      <c r="J628" s="124">
        <f>SUM(J621:J627)</f>
        <v>0</v>
      </c>
      <c r="K628" s="341" t="s">
        <v>201</v>
      </c>
      <c r="L628" s="342"/>
      <c r="M628" s="124">
        <f>SUM(M621:M627)</f>
        <v>0</v>
      </c>
      <c r="N628" s="341" t="s">
        <v>201</v>
      </c>
      <c r="O628" s="342"/>
      <c r="P628" s="124">
        <f>SUM(P621:P627)</f>
        <v>0</v>
      </c>
      <c r="Q628" s="341" t="s">
        <v>201</v>
      </c>
      <c r="R628" s="342"/>
      <c r="S628" s="124">
        <f>SUM(S621:S627)</f>
        <v>0</v>
      </c>
      <c r="T628" s="341" t="s">
        <v>201</v>
      </c>
      <c r="U628" s="342"/>
      <c r="V628" s="124">
        <f>SUM(V621:V627)</f>
        <v>0</v>
      </c>
      <c r="W628" s="341" t="s">
        <v>201</v>
      </c>
      <c r="X628" s="342"/>
      <c r="Y628" s="127">
        <f>SUM(Y621:Y627)</f>
        <v>0</v>
      </c>
      <c r="Z628" s="151"/>
    </row>
    <row r="629" spans="2:26" s="35" customFormat="1" ht="17.100000000000001" customHeight="1">
      <c r="B629" s="309"/>
      <c r="C629" s="305">
        <f>'2. Rekap Back Up Beton'!C97</f>
        <v>17400</v>
      </c>
      <c r="D629" s="306">
        <f>'2. Rekap Back Up Beton'!D97</f>
        <v>17500</v>
      </c>
      <c r="E629" s="307">
        <f>'2. Rekap Back Up Beton'!E97</f>
        <v>6</v>
      </c>
      <c r="F629" s="112">
        <f>(100/((D629-C629)*E629))*((J636*0.5)+(M636*1)+(P636*2)+(S636*20)+(V636*15)+(Y636*1.5))</f>
        <v>0</v>
      </c>
      <c r="G629" s="113" t="str">
        <f>IF(F629&lt;=25,"B",IF(F629&lt;=75,"S",IF(F629&lt;=100,"RR","RB")))</f>
        <v>B</v>
      </c>
      <c r="H629" s="100">
        <v>0</v>
      </c>
      <c r="I629" s="98">
        <v>0</v>
      </c>
      <c r="J629" s="101">
        <f t="shared" ref="J629:J635" si="456">H629*I629</f>
        <v>0</v>
      </c>
      <c r="K629" s="100">
        <v>0</v>
      </c>
      <c r="L629" s="98">
        <v>0</v>
      </c>
      <c r="M629" s="101">
        <f t="shared" ref="M629:M635" si="457">K629*L629</f>
        <v>0</v>
      </c>
      <c r="N629" s="100">
        <v>0</v>
      </c>
      <c r="O629" s="98">
        <v>4</v>
      </c>
      <c r="P629" s="101">
        <f t="shared" ref="P629:P635" si="458">N629*O629</f>
        <v>0</v>
      </c>
      <c r="Q629" s="100">
        <v>0</v>
      </c>
      <c r="R629" s="98">
        <v>0</v>
      </c>
      <c r="S629" s="101">
        <f t="shared" ref="S629:S635" si="459">Q629*R629</f>
        <v>0</v>
      </c>
      <c r="T629" s="100">
        <v>0</v>
      </c>
      <c r="U629" s="98">
        <v>0</v>
      </c>
      <c r="V629" s="101">
        <f>T629*U629</f>
        <v>0</v>
      </c>
      <c r="W629" s="100">
        <v>0</v>
      </c>
      <c r="X629" s="98">
        <v>0</v>
      </c>
      <c r="Y629" s="147">
        <f t="shared" ref="Y629:Y635" si="460">W629*X629</f>
        <v>0</v>
      </c>
      <c r="Z629" s="150"/>
    </row>
    <row r="630" spans="2:26" s="35" customFormat="1" ht="17.100000000000001" customHeight="1">
      <c r="B630" s="105"/>
      <c r="C630" s="54"/>
      <c r="D630" s="96"/>
      <c r="E630" s="111"/>
      <c r="F630" s="112"/>
      <c r="G630" s="113"/>
      <c r="H630" s="100">
        <v>0</v>
      </c>
      <c r="I630" s="98">
        <v>0</v>
      </c>
      <c r="J630" s="101">
        <f t="shared" si="456"/>
        <v>0</v>
      </c>
      <c r="K630" s="100">
        <v>0</v>
      </c>
      <c r="L630" s="98">
        <v>0</v>
      </c>
      <c r="M630" s="101">
        <f t="shared" si="457"/>
        <v>0</v>
      </c>
      <c r="N630" s="100">
        <v>0</v>
      </c>
      <c r="O630" s="98">
        <v>0</v>
      </c>
      <c r="P630" s="101">
        <f t="shared" si="458"/>
        <v>0</v>
      </c>
      <c r="Q630" s="100">
        <v>0</v>
      </c>
      <c r="R630" s="98">
        <v>0</v>
      </c>
      <c r="S630" s="101">
        <f t="shared" si="459"/>
        <v>0</v>
      </c>
      <c r="T630" s="100">
        <v>0</v>
      </c>
      <c r="U630" s="98">
        <v>0</v>
      </c>
      <c r="V630" s="101">
        <f t="shared" ref="V630:V635" si="461">T630*U630</f>
        <v>0</v>
      </c>
      <c r="W630" s="100">
        <v>0</v>
      </c>
      <c r="X630" s="98">
        <v>0</v>
      </c>
      <c r="Y630" s="147">
        <f t="shared" si="460"/>
        <v>0</v>
      </c>
      <c r="Z630" s="150"/>
    </row>
    <row r="631" spans="2:26" s="35" customFormat="1" ht="17.100000000000001" customHeight="1">
      <c r="B631" s="105"/>
      <c r="C631" s="54"/>
      <c r="D631" s="96"/>
      <c r="E631" s="111"/>
      <c r="F631" s="112"/>
      <c r="G631" s="113"/>
      <c r="H631" s="100">
        <v>0</v>
      </c>
      <c r="I631" s="98">
        <v>0</v>
      </c>
      <c r="J631" s="101">
        <f t="shared" si="456"/>
        <v>0</v>
      </c>
      <c r="K631" s="100">
        <v>0</v>
      </c>
      <c r="L631" s="98">
        <v>0</v>
      </c>
      <c r="M631" s="101">
        <f t="shared" si="457"/>
        <v>0</v>
      </c>
      <c r="N631" s="100">
        <v>0</v>
      </c>
      <c r="O631" s="98">
        <v>0</v>
      </c>
      <c r="P631" s="101">
        <f t="shared" si="458"/>
        <v>0</v>
      </c>
      <c r="Q631" s="100">
        <v>0</v>
      </c>
      <c r="R631" s="98">
        <v>0</v>
      </c>
      <c r="S631" s="101">
        <f t="shared" si="459"/>
        <v>0</v>
      </c>
      <c r="T631" s="100">
        <v>0</v>
      </c>
      <c r="U631" s="98">
        <v>0</v>
      </c>
      <c r="V631" s="101">
        <f t="shared" si="461"/>
        <v>0</v>
      </c>
      <c r="W631" s="100">
        <v>0</v>
      </c>
      <c r="X631" s="98">
        <v>0</v>
      </c>
      <c r="Y631" s="147">
        <f t="shared" si="460"/>
        <v>0</v>
      </c>
      <c r="Z631" s="150"/>
    </row>
    <row r="632" spans="2:26" s="35" customFormat="1" ht="17.100000000000001" customHeight="1">
      <c r="B632" s="105"/>
      <c r="C632" s="54"/>
      <c r="D632" s="96"/>
      <c r="E632" s="111"/>
      <c r="F632" s="112"/>
      <c r="G632" s="113"/>
      <c r="H632" s="100">
        <v>0</v>
      </c>
      <c r="I632" s="98">
        <v>0</v>
      </c>
      <c r="J632" s="101">
        <f t="shared" si="456"/>
        <v>0</v>
      </c>
      <c r="K632" s="100">
        <v>0</v>
      </c>
      <c r="L632" s="98">
        <v>0</v>
      </c>
      <c r="M632" s="101">
        <f t="shared" si="457"/>
        <v>0</v>
      </c>
      <c r="N632" s="100">
        <v>0</v>
      </c>
      <c r="O632" s="98">
        <v>0</v>
      </c>
      <c r="P632" s="101">
        <f t="shared" si="458"/>
        <v>0</v>
      </c>
      <c r="Q632" s="100">
        <v>0</v>
      </c>
      <c r="R632" s="98">
        <v>0</v>
      </c>
      <c r="S632" s="101">
        <f t="shared" si="459"/>
        <v>0</v>
      </c>
      <c r="T632" s="100">
        <v>0</v>
      </c>
      <c r="U632" s="98">
        <v>0</v>
      </c>
      <c r="V632" s="101">
        <f t="shared" si="461"/>
        <v>0</v>
      </c>
      <c r="W632" s="100">
        <v>0</v>
      </c>
      <c r="X632" s="98">
        <v>0</v>
      </c>
      <c r="Y632" s="147">
        <f t="shared" si="460"/>
        <v>0</v>
      </c>
      <c r="Z632" s="150"/>
    </row>
    <row r="633" spans="2:26" s="35" customFormat="1" ht="17.100000000000001" customHeight="1">
      <c r="B633" s="105"/>
      <c r="C633" s="54"/>
      <c r="D633" s="96"/>
      <c r="E633" s="111"/>
      <c r="F633" s="112"/>
      <c r="G633" s="113"/>
      <c r="H633" s="100">
        <v>0</v>
      </c>
      <c r="I633" s="98">
        <v>0</v>
      </c>
      <c r="J633" s="101">
        <f t="shared" si="456"/>
        <v>0</v>
      </c>
      <c r="K633" s="100">
        <v>0</v>
      </c>
      <c r="L633" s="98">
        <v>0</v>
      </c>
      <c r="M633" s="101">
        <f t="shared" si="457"/>
        <v>0</v>
      </c>
      <c r="N633" s="100">
        <v>0</v>
      </c>
      <c r="O633" s="98">
        <v>0</v>
      </c>
      <c r="P633" s="101">
        <f t="shared" si="458"/>
        <v>0</v>
      </c>
      <c r="Q633" s="100">
        <v>0</v>
      </c>
      <c r="R633" s="98">
        <v>0</v>
      </c>
      <c r="S633" s="101">
        <f t="shared" si="459"/>
        <v>0</v>
      </c>
      <c r="T633" s="100">
        <v>0</v>
      </c>
      <c r="U633" s="98">
        <v>0</v>
      </c>
      <c r="V633" s="101">
        <f t="shared" si="461"/>
        <v>0</v>
      </c>
      <c r="W633" s="100">
        <v>0</v>
      </c>
      <c r="X633" s="98">
        <v>0</v>
      </c>
      <c r="Y633" s="147">
        <f t="shared" si="460"/>
        <v>0</v>
      </c>
      <c r="Z633" s="150"/>
    </row>
    <row r="634" spans="2:26" s="35" customFormat="1" ht="17.100000000000001" customHeight="1">
      <c r="B634" s="105"/>
      <c r="C634" s="54"/>
      <c r="D634" s="96"/>
      <c r="E634" s="111"/>
      <c r="F634" s="112"/>
      <c r="G634" s="113"/>
      <c r="H634" s="100">
        <v>0</v>
      </c>
      <c r="I634" s="98">
        <v>0</v>
      </c>
      <c r="J634" s="101">
        <f t="shared" si="456"/>
        <v>0</v>
      </c>
      <c r="K634" s="100">
        <v>0</v>
      </c>
      <c r="L634" s="98">
        <v>0</v>
      </c>
      <c r="M634" s="101">
        <f t="shared" si="457"/>
        <v>0</v>
      </c>
      <c r="N634" s="100">
        <v>0</v>
      </c>
      <c r="O634" s="98">
        <v>0</v>
      </c>
      <c r="P634" s="101">
        <f t="shared" si="458"/>
        <v>0</v>
      </c>
      <c r="Q634" s="100">
        <v>0</v>
      </c>
      <c r="R634" s="98">
        <v>0</v>
      </c>
      <c r="S634" s="101">
        <f t="shared" si="459"/>
        <v>0</v>
      </c>
      <c r="T634" s="100">
        <v>0</v>
      </c>
      <c r="U634" s="98">
        <v>0</v>
      </c>
      <c r="V634" s="101">
        <f t="shared" si="461"/>
        <v>0</v>
      </c>
      <c r="W634" s="100">
        <v>0</v>
      </c>
      <c r="X634" s="98">
        <v>0</v>
      </c>
      <c r="Y634" s="147">
        <f t="shared" si="460"/>
        <v>0</v>
      </c>
      <c r="Z634" s="150"/>
    </row>
    <row r="635" spans="2:26" s="35" customFormat="1" ht="17.100000000000001" customHeight="1">
      <c r="B635" s="105"/>
      <c r="C635" s="54"/>
      <c r="D635" s="96"/>
      <c r="E635" s="111"/>
      <c r="F635" s="112"/>
      <c r="G635" s="113"/>
      <c r="H635" s="100">
        <v>0</v>
      </c>
      <c r="I635" s="98">
        <v>0</v>
      </c>
      <c r="J635" s="101">
        <f t="shared" si="456"/>
        <v>0</v>
      </c>
      <c r="K635" s="100">
        <v>0</v>
      </c>
      <c r="L635" s="98">
        <v>0</v>
      </c>
      <c r="M635" s="101">
        <f t="shared" si="457"/>
        <v>0</v>
      </c>
      <c r="N635" s="100">
        <v>0</v>
      </c>
      <c r="O635" s="98">
        <v>0</v>
      </c>
      <c r="P635" s="101">
        <f t="shared" si="458"/>
        <v>0</v>
      </c>
      <c r="Q635" s="100">
        <v>0</v>
      </c>
      <c r="R635" s="98">
        <v>0</v>
      </c>
      <c r="S635" s="101">
        <f t="shared" si="459"/>
        <v>0</v>
      </c>
      <c r="T635" s="100">
        <v>0</v>
      </c>
      <c r="U635" s="98">
        <v>0</v>
      </c>
      <c r="V635" s="101">
        <f t="shared" si="461"/>
        <v>0</v>
      </c>
      <c r="W635" s="100">
        <v>0</v>
      </c>
      <c r="X635" s="98">
        <v>0</v>
      </c>
      <c r="Y635" s="147">
        <f t="shared" si="460"/>
        <v>0</v>
      </c>
      <c r="Z635" s="150"/>
    </row>
    <row r="636" spans="2:26" s="126" customFormat="1" ht="17.100000000000001" customHeight="1">
      <c r="B636" s="118"/>
      <c r="C636" s="119"/>
      <c r="D636" s="120"/>
      <c r="E636" s="121"/>
      <c r="F636" s="122"/>
      <c r="G636" s="123"/>
      <c r="H636" s="341" t="s">
        <v>201</v>
      </c>
      <c r="I636" s="342"/>
      <c r="J636" s="124">
        <f>SUM(J629:J635)</f>
        <v>0</v>
      </c>
      <c r="K636" s="341" t="s">
        <v>201</v>
      </c>
      <c r="L636" s="342"/>
      <c r="M636" s="124">
        <f>SUM(M629:M635)</f>
        <v>0</v>
      </c>
      <c r="N636" s="341" t="s">
        <v>201</v>
      </c>
      <c r="O636" s="342"/>
      <c r="P636" s="124">
        <f>SUM(P629:P635)</f>
        <v>0</v>
      </c>
      <c r="Q636" s="341" t="s">
        <v>201</v>
      </c>
      <c r="R636" s="342"/>
      <c r="S636" s="124">
        <f>SUM(S629:S635)</f>
        <v>0</v>
      </c>
      <c r="T636" s="341" t="s">
        <v>201</v>
      </c>
      <c r="U636" s="342"/>
      <c r="V636" s="124">
        <f>SUM(V629:V635)</f>
        <v>0</v>
      </c>
      <c r="W636" s="341" t="s">
        <v>201</v>
      </c>
      <c r="X636" s="342"/>
      <c r="Y636" s="127">
        <f>SUM(Y629:Y635)</f>
        <v>0</v>
      </c>
      <c r="Z636" s="151"/>
    </row>
    <row r="637" spans="2:26" s="35" customFormat="1" ht="17.100000000000001" customHeight="1">
      <c r="B637" s="105"/>
      <c r="C637" s="54">
        <f>'2. Rekap Back Up Beton'!C98</f>
        <v>17500</v>
      </c>
      <c r="D637" s="96">
        <f>'2. Rekap Back Up Beton'!D98</f>
        <v>17600</v>
      </c>
      <c r="E637" s="111">
        <f>'2. Rekap Back Up Beton'!E98</f>
        <v>5</v>
      </c>
      <c r="F637" s="112">
        <f>(100/((D637-C637)*E637))*((J644*0.5)+(M644*1)+(P644*2)+(S644*20)+(V644*15)+(Y644*1.5))</f>
        <v>0</v>
      </c>
      <c r="G637" s="113" t="str">
        <f>IF(F637&lt;=25,"B",IF(F637&lt;=75,"S",IF(F637&lt;=100,"RR","RB")))</f>
        <v>B</v>
      </c>
      <c r="H637" s="100">
        <v>0</v>
      </c>
      <c r="I637" s="98">
        <v>0</v>
      </c>
      <c r="J637" s="101">
        <f t="shared" ref="J637:J643" si="462">H637*I637</f>
        <v>0</v>
      </c>
      <c r="K637" s="100">
        <v>0</v>
      </c>
      <c r="L637" s="98">
        <v>0</v>
      </c>
      <c r="M637" s="101">
        <f t="shared" ref="M637:M643" si="463">K637*L637</f>
        <v>0</v>
      </c>
      <c r="N637" s="100">
        <v>0</v>
      </c>
      <c r="O637" s="98">
        <v>4</v>
      </c>
      <c r="P637" s="101">
        <f t="shared" ref="P637:P643" si="464">N637*O637</f>
        <v>0</v>
      </c>
      <c r="Q637" s="100">
        <v>0</v>
      </c>
      <c r="R637" s="98">
        <v>0</v>
      </c>
      <c r="S637" s="101">
        <f t="shared" ref="S637:S643" si="465">Q637*R637</f>
        <v>0</v>
      </c>
      <c r="T637" s="100">
        <v>0</v>
      </c>
      <c r="U637" s="98">
        <v>0</v>
      </c>
      <c r="V637" s="101">
        <f>T637*U637</f>
        <v>0</v>
      </c>
      <c r="W637" s="100">
        <v>0</v>
      </c>
      <c r="X637" s="98">
        <v>0</v>
      </c>
      <c r="Y637" s="147">
        <f t="shared" ref="Y637:Y643" si="466">W637*X637</f>
        <v>0</v>
      </c>
      <c r="Z637" s="150"/>
    </row>
    <row r="638" spans="2:26" s="35" customFormat="1" ht="17.100000000000001" customHeight="1">
      <c r="B638" s="105"/>
      <c r="C638" s="54"/>
      <c r="D638" s="96"/>
      <c r="E638" s="111"/>
      <c r="F638" s="112"/>
      <c r="G638" s="113"/>
      <c r="H638" s="100">
        <v>0</v>
      </c>
      <c r="I638" s="98">
        <v>0</v>
      </c>
      <c r="J638" s="101">
        <f t="shared" si="462"/>
        <v>0</v>
      </c>
      <c r="K638" s="100">
        <v>0</v>
      </c>
      <c r="L638" s="98">
        <v>0</v>
      </c>
      <c r="M638" s="101">
        <f t="shared" si="463"/>
        <v>0</v>
      </c>
      <c r="N638" s="100">
        <v>0</v>
      </c>
      <c r="O638" s="98">
        <v>0</v>
      </c>
      <c r="P638" s="101">
        <f t="shared" si="464"/>
        <v>0</v>
      </c>
      <c r="Q638" s="100">
        <v>0</v>
      </c>
      <c r="R638" s="98">
        <v>0</v>
      </c>
      <c r="S638" s="101">
        <f t="shared" si="465"/>
        <v>0</v>
      </c>
      <c r="T638" s="100">
        <v>0</v>
      </c>
      <c r="U638" s="98">
        <v>0</v>
      </c>
      <c r="V638" s="101">
        <f t="shared" ref="V638:V643" si="467">T638*U638</f>
        <v>0</v>
      </c>
      <c r="W638" s="100">
        <v>0</v>
      </c>
      <c r="X638" s="98">
        <v>0</v>
      </c>
      <c r="Y638" s="147">
        <f t="shared" si="466"/>
        <v>0</v>
      </c>
      <c r="Z638" s="150"/>
    </row>
    <row r="639" spans="2:26" s="35" customFormat="1" ht="17.100000000000001" customHeight="1">
      <c r="B639" s="105"/>
      <c r="C639" s="54"/>
      <c r="D639" s="96"/>
      <c r="E639" s="111"/>
      <c r="F639" s="112"/>
      <c r="G639" s="113"/>
      <c r="H639" s="100">
        <v>0</v>
      </c>
      <c r="I639" s="98">
        <v>0</v>
      </c>
      <c r="J639" s="101">
        <f t="shared" si="462"/>
        <v>0</v>
      </c>
      <c r="K639" s="100">
        <v>0</v>
      </c>
      <c r="L639" s="98">
        <v>0</v>
      </c>
      <c r="M639" s="101">
        <f t="shared" si="463"/>
        <v>0</v>
      </c>
      <c r="N639" s="100">
        <v>0</v>
      </c>
      <c r="O639" s="98">
        <v>0</v>
      </c>
      <c r="P639" s="101">
        <f t="shared" si="464"/>
        <v>0</v>
      </c>
      <c r="Q639" s="100">
        <v>0</v>
      </c>
      <c r="R639" s="98">
        <v>0</v>
      </c>
      <c r="S639" s="101">
        <f t="shared" si="465"/>
        <v>0</v>
      </c>
      <c r="T639" s="100">
        <v>0</v>
      </c>
      <c r="U639" s="98">
        <v>0</v>
      </c>
      <c r="V639" s="101">
        <f t="shared" si="467"/>
        <v>0</v>
      </c>
      <c r="W639" s="100">
        <v>0</v>
      </c>
      <c r="X639" s="98">
        <v>0</v>
      </c>
      <c r="Y639" s="147">
        <f t="shared" si="466"/>
        <v>0</v>
      </c>
      <c r="Z639" s="150"/>
    </row>
    <row r="640" spans="2:26" s="35" customFormat="1" ht="17.100000000000001" customHeight="1">
      <c r="B640" s="105"/>
      <c r="C640" s="54"/>
      <c r="D640" s="96"/>
      <c r="E640" s="111"/>
      <c r="F640" s="112"/>
      <c r="G640" s="113"/>
      <c r="H640" s="100">
        <v>0</v>
      </c>
      <c r="I640" s="98">
        <v>0</v>
      </c>
      <c r="J640" s="101">
        <f t="shared" si="462"/>
        <v>0</v>
      </c>
      <c r="K640" s="100">
        <v>0</v>
      </c>
      <c r="L640" s="98">
        <v>0</v>
      </c>
      <c r="M640" s="101">
        <f t="shared" si="463"/>
        <v>0</v>
      </c>
      <c r="N640" s="100">
        <v>0</v>
      </c>
      <c r="O640" s="98">
        <v>0</v>
      </c>
      <c r="P640" s="101">
        <f t="shared" si="464"/>
        <v>0</v>
      </c>
      <c r="Q640" s="100">
        <v>0</v>
      </c>
      <c r="R640" s="98">
        <v>0</v>
      </c>
      <c r="S640" s="101">
        <f t="shared" si="465"/>
        <v>0</v>
      </c>
      <c r="T640" s="100">
        <v>0</v>
      </c>
      <c r="U640" s="98">
        <v>0</v>
      </c>
      <c r="V640" s="101">
        <f t="shared" si="467"/>
        <v>0</v>
      </c>
      <c r="W640" s="100">
        <v>0</v>
      </c>
      <c r="X640" s="98">
        <v>0</v>
      </c>
      <c r="Y640" s="147">
        <f t="shared" si="466"/>
        <v>0</v>
      </c>
      <c r="Z640" s="150"/>
    </row>
    <row r="641" spans="2:26" s="35" customFormat="1" ht="17.100000000000001" customHeight="1">
      <c r="B641" s="105"/>
      <c r="C641" s="54"/>
      <c r="D641" s="96"/>
      <c r="E641" s="111"/>
      <c r="F641" s="112"/>
      <c r="G641" s="113"/>
      <c r="H641" s="100">
        <v>0</v>
      </c>
      <c r="I641" s="98">
        <v>0</v>
      </c>
      <c r="J641" s="101">
        <f t="shared" si="462"/>
        <v>0</v>
      </c>
      <c r="K641" s="100">
        <v>0</v>
      </c>
      <c r="L641" s="98">
        <v>0</v>
      </c>
      <c r="M641" s="101">
        <f t="shared" si="463"/>
        <v>0</v>
      </c>
      <c r="N641" s="100">
        <v>0</v>
      </c>
      <c r="O641" s="98">
        <v>0</v>
      </c>
      <c r="P641" s="101">
        <f t="shared" si="464"/>
        <v>0</v>
      </c>
      <c r="Q641" s="100">
        <v>0</v>
      </c>
      <c r="R641" s="98">
        <v>0</v>
      </c>
      <c r="S641" s="101">
        <f t="shared" si="465"/>
        <v>0</v>
      </c>
      <c r="T641" s="100">
        <v>0</v>
      </c>
      <c r="U641" s="98">
        <v>0</v>
      </c>
      <c r="V641" s="101">
        <f t="shared" si="467"/>
        <v>0</v>
      </c>
      <c r="W641" s="100">
        <v>0</v>
      </c>
      <c r="X641" s="98">
        <v>0</v>
      </c>
      <c r="Y641" s="147">
        <f t="shared" si="466"/>
        <v>0</v>
      </c>
      <c r="Z641" s="150"/>
    </row>
    <row r="642" spans="2:26" s="35" customFormat="1" ht="17.100000000000001" customHeight="1">
      <c r="B642" s="105"/>
      <c r="C642" s="54"/>
      <c r="D642" s="96"/>
      <c r="E642" s="111"/>
      <c r="F642" s="112"/>
      <c r="G642" s="113"/>
      <c r="H642" s="100">
        <v>0</v>
      </c>
      <c r="I642" s="98">
        <v>0</v>
      </c>
      <c r="J642" s="101">
        <f t="shared" si="462"/>
        <v>0</v>
      </c>
      <c r="K642" s="100">
        <v>0</v>
      </c>
      <c r="L642" s="98">
        <v>0</v>
      </c>
      <c r="M642" s="101">
        <f t="shared" si="463"/>
        <v>0</v>
      </c>
      <c r="N642" s="100">
        <v>0</v>
      </c>
      <c r="O642" s="98">
        <v>0</v>
      </c>
      <c r="P642" s="101">
        <f t="shared" si="464"/>
        <v>0</v>
      </c>
      <c r="Q642" s="100">
        <v>0</v>
      </c>
      <c r="R642" s="98">
        <v>0</v>
      </c>
      <c r="S642" s="101">
        <f t="shared" si="465"/>
        <v>0</v>
      </c>
      <c r="T642" s="100">
        <v>0</v>
      </c>
      <c r="U642" s="98">
        <v>0</v>
      </c>
      <c r="V642" s="101">
        <f t="shared" si="467"/>
        <v>0</v>
      </c>
      <c r="W642" s="100">
        <v>0</v>
      </c>
      <c r="X642" s="98">
        <v>0</v>
      </c>
      <c r="Y642" s="147">
        <f t="shared" si="466"/>
        <v>0</v>
      </c>
      <c r="Z642" s="150"/>
    </row>
    <row r="643" spans="2:26" s="35" customFormat="1" ht="17.100000000000001" customHeight="1">
      <c r="B643" s="105"/>
      <c r="C643" s="54"/>
      <c r="D643" s="96"/>
      <c r="E643" s="111"/>
      <c r="F643" s="112"/>
      <c r="G643" s="113"/>
      <c r="H643" s="100">
        <v>0</v>
      </c>
      <c r="I643" s="98">
        <v>0</v>
      </c>
      <c r="J643" s="101">
        <f t="shared" si="462"/>
        <v>0</v>
      </c>
      <c r="K643" s="100">
        <v>0</v>
      </c>
      <c r="L643" s="98">
        <v>0</v>
      </c>
      <c r="M643" s="101">
        <f t="shared" si="463"/>
        <v>0</v>
      </c>
      <c r="N643" s="100">
        <v>0</v>
      </c>
      <c r="O643" s="98">
        <v>0</v>
      </c>
      <c r="P643" s="101">
        <f t="shared" si="464"/>
        <v>0</v>
      </c>
      <c r="Q643" s="100">
        <v>0</v>
      </c>
      <c r="R643" s="98">
        <v>0</v>
      </c>
      <c r="S643" s="101">
        <f t="shared" si="465"/>
        <v>0</v>
      </c>
      <c r="T643" s="100">
        <v>0</v>
      </c>
      <c r="U643" s="98">
        <v>0</v>
      </c>
      <c r="V643" s="101">
        <f t="shared" si="467"/>
        <v>0</v>
      </c>
      <c r="W643" s="100">
        <v>0</v>
      </c>
      <c r="X643" s="98">
        <v>0</v>
      </c>
      <c r="Y643" s="147">
        <f t="shared" si="466"/>
        <v>0</v>
      </c>
      <c r="Z643" s="150"/>
    </row>
    <row r="644" spans="2:26" s="126" customFormat="1" ht="17.100000000000001" customHeight="1" thickBot="1">
      <c r="B644" s="128"/>
      <c r="C644" s="154"/>
      <c r="D644" s="155"/>
      <c r="E644" s="156"/>
      <c r="F644" s="129"/>
      <c r="G644" s="130"/>
      <c r="H644" s="344" t="s">
        <v>201</v>
      </c>
      <c r="I644" s="345"/>
      <c r="J644" s="131">
        <f>SUM(J637:J643)</f>
        <v>0</v>
      </c>
      <c r="K644" s="344" t="s">
        <v>201</v>
      </c>
      <c r="L644" s="345"/>
      <c r="M644" s="131">
        <f>SUM(M637:M643)</f>
        <v>0</v>
      </c>
      <c r="N644" s="344" t="s">
        <v>201</v>
      </c>
      <c r="O644" s="345"/>
      <c r="P644" s="131">
        <f>SUM(P637:P643)</f>
        <v>0</v>
      </c>
      <c r="Q644" s="344" t="s">
        <v>201</v>
      </c>
      <c r="R644" s="345"/>
      <c r="S644" s="131">
        <f>SUM(S637:S643)</f>
        <v>0</v>
      </c>
      <c r="T644" s="344" t="s">
        <v>201</v>
      </c>
      <c r="U644" s="345"/>
      <c r="V644" s="131">
        <f>SUM(V637:V643)</f>
        <v>0</v>
      </c>
      <c r="W644" s="344" t="s">
        <v>201</v>
      </c>
      <c r="X644" s="345"/>
      <c r="Y644" s="132">
        <f>SUM(Y637:Y643)</f>
        <v>0</v>
      </c>
      <c r="Z644" s="152"/>
    </row>
    <row r="645" spans="2:26" s="35" customFormat="1" ht="17.100000000000001" customHeight="1">
      <c r="B645" s="114"/>
      <c r="C645" s="157">
        <f>'2. Rekap Back Up Beton'!C99</f>
        <v>17600</v>
      </c>
      <c r="D645" s="158">
        <f>'2. Rekap Back Up Beton'!D99</f>
        <v>17700</v>
      </c>
      <c r="E645" s="159">
        <f>'2. Rekap Back Up Beton'!E99</f>
        <v>5</v>
      </c>
      <c r="F645" s="115">
        <f>(100/((D645-C645)*E645))*((J652*0.5)+(M652*1)+(P652*2)+(S652*20)+(V652*15)+(Y652*1.5))</f>
        <v>0</v>
      </c>
      <c r="G645" s="116" t="str">
        <f>IF(F645&lt;=25,"B",IF(F645&lt;=75,"S",IF(F645&lt;=100,"RR","RB")))</f>
        <v>B</v>
      </c>
      <c r="H645" s="135">
        <v>0</v>
      </c>
      <c r="I645" s="136">
        <v>0</v>
      </c>
      <c r="J645" s="137">
        <f t="shared" ref="J645:J651" si="468">H645*I645</f>
        <v>0</v>
      </c>
      <c r="K645" s="135">
        <v>0</v>
      </c>
      <c r="L645" s="136">
        <v>0</v>
      </c>
      <c r="M645" s="137">
        <f t="shared" ref="M645:M651" si="469">K645*L645</f>
        <v>0</v>
      </c>
      <c r="N645" s="135">
        <v>0</v>
      </c>
      <c r="O645" s="136">
        <v>4</v>
      </c>
      <c r="P645" s="137">
        <f t="shared" ref="P645:P651" si="470">N645*O645</f>
        <v>0</v>
      </c>
      <c r="Q645" s="135">
        <v>0</v>
      </c>
      <c r="R645" s="136">
        <v>0</v>
      </c>
      <c r="S645" s="137">
        <f t="shared" ref="S645:S651" si="471">Q645*R645</f>
        <v>0</v>
      </c>
      <c r="T645" s="135">
        <v>0</v>
      </c>
      <c r="U645" s="136">
        <v>0</v>
      </c>
      <c r="V645" s="137">
        <f>T645*U645</f>
        <v>0</v>
      </c>
      <c r="W645" s="135">
        <v>0</v>
      </c>
      <c r="X645" s="136">
        <v>0</v>
      </c>
      <c r="Y645" s="148">
        <f t="shared" ref="Y645:Y651" si="472">W645*X645</f>
        <v>0</v>
      </c>
      <c r="Z645" s="153"/>
    </row>
    <row r="646" spans="2:26" s="35" customFormat="1" ht="17.100000000000001" customHeight="1">
      <c r="B646" s="105"/>
      <c r="C646" s="54"/>
      <c r="D646" s="96"/>
      <c r="E646" s="111"/>
      <c r="F646" s="112"/>
      <c r="G646" s="113"/>
      <c r="H646" s="100">
        <v>0</v>
      </c>
      <c r="I646" s="98">
        <v>0</v>
      </c>
      <c r="J646" s="101">
        <f t="shared" si="468"/>
        <v>0</v>
      </c>
      <c r="K646" s="100">
        <v>0</v>
      </c>
      <c r="L646" s="98">
        <v>0</v>
      </c>
      <c r="M646" s="101">
        <f t="shared" si="469"/>
        <v>0</v>
      </c>
      <c r="N646" s="100">
        <v>0</v>
      </c>
      <c r="O646" s="98">
        <v>0</v>
      </c>
      <c r="P646" s="101">
        <f t="shared" si="470"/>
        <v>0</v>
      </c>
      <c r="Q646" s="100">
        <v>0</v>
      </c>
      <c r="R646" s="98">
        <v>0</v>
      </c>
      <c r="S646" s="101">
        <f t="shared" si="471"/>
        <v>0</v>
      </c>
      <c r="T646" s="100">
        <v>0</v>
      </c>
      <c r="U646" s="98">
        <v>0</v>
      </c>
      <c r="V646" s="101">
        <f t="shared" ref="V646:V651" si="473">T646*U646</f>
        <v>0</v>
      </c>
      <c r="W646" s="100">
        <v>0</v>
      </c>
      <c r="X646" s="98">
        <v>0</v>
      </c>
      <c r="Y646" s="147">
        <f t="shared" si="472"/>
        <v>0</v>
      </c>
      <c r="Z646" s="150"/>
    </row>
    <row r="647" spans="2:26" s="35" customFormat="1" ht="17.100000000000001" customHeight="1">
      <c r="B647" s="105"/>
      <c r="C647" s="54"/>
      <c r="D647" s="96"/>
      <c r="E647" s="111"/>
      <c r="F647" s="112"/>
      <c r="G647" s="113"/>
      <c r="H647" s="100">
        <v>0</v>
      </c>
      <c r="I647" s="98">
        <v>0</v>
      </c>
      <c r="J647" s="101">
        <f t="shared" si="468"/>
        <v>0</v>
      </c>
      <c r="K647" s="100">
        <v>0</v>
      </c>
      <c r="L647" s="98">
        <v>0</v>
      </c>
      <c r="M647" s="101">
        <f t="shared" si="469"/>
        <v>0</v>
      </c>
      <c r="N647" s="100">
        <v>0</v>
      </c>
      <c r="O647" s="98">
        <v>0</v>
      </c>
      <c r="P647" s="101">
        <f t="shared" si="470"/>
        <v>0</v>
      </c>
      <c r="Q647" s="100">
        <v>0</v>
      </c>
      <c r="R647" s="98">
        <v>0</v>
      </c>
      <c r="S647" s="101">
        <f t="shared" si="471"/>
        <v>0</v>
      </c>
      <c r="T647" s="100">
        <v>0</v>
      </c>
      <c r="U647" s="98">
        <v>0</v>
      </c>
      <c r="V647" s="101">
        <f t="shared" si="473"/>
        <v>0</v>
      </c>
      <c r="W647" s="100">
        <v>0</v>
      </c>
      <c r="X647" s="98">
        <v>0</v>
      </c>
      <c r="Y647" s="147">
        <f t="shared" si="472"/>
        <v>0</v>
      </c>
      <c r="Z647" s="150"/>
    </row>
    <row r="648" spans="2:26" s="35" customFormat="1" ht="17.100000000000001" customHeight="1">
      <c r="B648" s="105"/>
      <c r="C648" s="54"/>
      <c r="D648" s="96"/>
      <c r="E648" s="111"/>
      <c r="F648" s="112"/>
      <c r="G648" s="113"/>
      <c r="H648" s="100">
        <v>0</v>
      </c>
      <c r="I648" s="98">
        <v>0</v>
      </c>
      <c r="J648" s="101">
        <f t="shared" si="468"/>
        <v>0</v>
      </c>
      <c r="K648" s="100">
        <v>0</v>
      </c>
      <c r="L648" s="98">
        <v>0</v>
      </c>
      <c r="M648" s="101">
        <f t="shared" si="469"/>
        <v>0</v>
      </c>
      <c r="N648" s="100">
        <v>0</v>
      </c>
      <c r="O648" s="98">
        <v>0</v>
      </c>
      <c r="P648" s="101">
        <f t="shared" si="470"/>
        <v>0</v>
      </c>
      <c r="Q648" s="100">
        <v>0</v>
      </c>
      <c r="R648" s="98">
        <v>0</v>
      </c>
      <c r="S648" s="101">
        <f t="shared" si="471"/>
        <v>0</v>
      </c>
      <c r="T648" s="100">
        <v>0</v>
      </c>
      <c r="U648" s="98">
        <v>0</v>
      </c>
      <c r="V648" s="101">
        <f t="shared" si="473"/>
        <v>0</v>
      </c>
      <c r="W648" s="100">
        <v>0</v>
      </c>
      <c r="X648" s="98">
        <v>0</v>
      </c>
      <c r="Y648" s="147">
        <f t="shared" si="472"/>
        <v>0</v>
      </c>
      <c r="Z648" s="150"/>
    </row>
    <row r="649" spans="2:26" s="35" customFormat="1" ht="17.100000000000001" customHeight="1">
      <c r="B649" s="105"/>
      <c r="C649" s="54"/>
      <c r="D649" s="96"/>
      <c r="E649" s="111"/>
      <c r="F649" s="112"/>
      <c r="G649" s="113"/>
      <c r="H649" s="100">
        <v>0</v>
      </c>
      <c r="I649" s="98">
        <v>0</v>
      </c>
      <c r="J649" s="101">
        <f t="shared" si="468"/>
        <v>0</v>
      </c>
      <c r="K649" s="100">
        <v>0</v>
      </c>
      <c r="L649" s="98">
        <v>0</v>
      </c>
      <c r="M649" s="101">
        <f t="shared" si="469"/>
        <v>0</v>
      </c>
      <c r="N649" s="100">
        <v>0</v>
      </c>
      <c r="O649" s="98">
        <v>0</v>
      </c>
      <c r="P649" s="101">
        <f t="shared" si="470"/>
        <v>0</v>
      </c>
      <c r="Q649" s="100">
        <v>0</v>
      </c>
      <c r="R649" s="98">
        <v>0</v>
      </c>
      <c r="S649" s="101">
        <f t="shared" si="471"/>
        <v>0</v>
      </c>
      <c r="T649" s="100">
        <v>0</v>
      </c>
      <c r="U649" s="98">
        <v>0</v>
      </c>
      <c r="V649" s="101">
        <f t="shared" si="473"/>
        <v>0</v>
      </c>
      <c r="W649" s="100">
        <v>0</v>
      </c>
      <c r="X649" s="98">
        <v>0</v>
      </c>
      <c r="Y649" s="147">
        <f t="shared" si="472"/>
        <v>0</v>
      </c>
      <c r="Z649" s="150"/>
    </row>
    <row r="650" spans="2:26" s="35" customFormat="1" ht="17.100000000000001" customHeight="1">
      <c r="B650" s="105"/>
      <c r="C650" s="54"/>
      <c r="D650" s="96"/>
      <c r="E650" s="111"/>
      <c r="F650" s="112"/>
      <c r="G650" s="113"/>
      <c r="H650" s="100">
        <v>0</v>
      </c>
      <c r="I650" s="98">
        <v>0</v>
      </c>
      <c r="J650" s="101">
        <f t="shared" si="468"/>
        <v>0</v>
      </c>
      <c r="K650" s="100">
        <v>0</v>
      </c>
      <c r="L650" s="98">
        <v>0</v>
      </c>
      <c r="M650" s="101">
        <f t="shared" si="469"/>
        <v>0</v>
      </c>
      <c r="N650" s="100">
        <v>0</v>
      </c>
      <c r="O650" s="98">
        <v>0</v>
      </c>
      <c r="P650" s="101">
        <f t="shared" si="470"/>
        <v>0</v>
      </c>
      <c r="Q650" s="100">
        <v>0</v>
      </c>
      <c r="R650" s="98">
        <v>0</v>
      </c>
      <c r="S650" s="101">
        <f t="shared" si="471"/>
        <v>0</v>
      </c>
      <c r="T650" s="100">
        <v>0</v>
      </c>
      <c r="U650" s="98">
        <v>0</v>
      </c>
      <c r="V650" s="101">
        <f t="shared" si="473"/>
        <v>0</v>
      </c>
      <c r="W650" s="100">
        <v>0</v>
      </c>
      <c r="X650" s="98">
        <v>0</v>
      </c>
      <c r="Y650" s="147">
        <f t="shared" si="472"/>
        <v>0</v>
      </c>
      <c r="Z650" s="150"/>
    </row>
    <row r="651" spans="2:26" s="35" customFormat="1" ht="17.100000000000001" customHeight="1">
      <c r="B651" s="105"/>
      <c r="C651" s="54"/>
      <c r="D651" s="96"/>
      <c r="E651" s="111"/>
      <c r="F651" s="112"/>
      <c r="G651" s="113"/>
      <c r="H651" s="100">
        <v>0</v>
      </c>
      <c r="I651" s="98">
        <v>0</v>
      </c>
      <c r="J651" s="101">
        <f t="shared" si="468"/>
        <v>0</v>
      </c>
      <c r="K651" s="100">
        <v>0</v>
      </c>
      <c r="L651" s="98">
        <v>0</v>
      </c>
      <c r="M651" s="101">
        <f t="shared" si="469"/>
        <v>0</v>
      </c>
      <c r="N651" s="100">
        <v>0</v>
      </c>
      <c r="O651" s="98">
        <v>0</v>
      </c>
      <c r="P651" s="101">
        <f t="shared" si="470"/>
        <v>0</v>
      </c>
      <c r="Q651" s="100">
        <v>0</v>
      </c>
      <c r="R651" s="98">
        <v>0</v>
      </c>
      <c r="S651" s="101">
        <f t="shared" si="471"/>
        <v>0</v>
      </c>
      <c r="T651" s="100">
        <v>0</v>
      </c>
      <c r="U651" s="98">
        <v>0</v>
      </c>
      <c r="V651" s="101">
        <f t="shared" si="473"/>
        <v>0</v>
      </c>
      <c r="W651" s="100">
        <v>0</v>
      </c>
      <c r="X651" s="98">
        <v>0</v>
      </c>
      <c r="Y651" s="147">
        <f t="shared" si="472"/>
        <v>0</v>
      </c>
      <c r="Z651" s="150"/>
    </row>
    <row r="652" spans="2:26" s="126" customFormat="1" ht="17.100000000000001" customHeight="1">
      <c r="B652" s="118"/>
      <c r="C652" s="119"/>
      <c r="D652" s="120"/>
      <c r="E652" s="121"/>
      <c r="F652" s="122"/>
      <c r="G652" s="123"/>
      <c r="H652" s="341" t="s">
        <v>201</v>
      </c>
      <c r="I652" s="342"/>
      <c r="J652" s="124">
        <f>SUM(J645:J651)</f>
        <v>0</v>
      </c>
      <c r="K652" s="341" t="s">
        <v>201</v>
      </c>
      <c r="L652" s="342"/>
      <c r="M652" s="124">
        <f>SUM(M645:M651)</f>
        <v>0</v>
      </c>
      <c r="N652" s="341" t="s">
        <v>201</v>
      </c>
      <c r="O652" s="342"/>
      <c r="P652" s="124">
        <f>SUM(P645:P651)</f>
        <v>0</v>
      </c>
      <c r="Q652" s="341" t="s">
        <v>201</v>
      </c>
      <c r="R652" s="342"/>
      <c r="S652" s="124">
        <f>SUM(S645:S651)</f>
        <v>0</v>
      </c>
      <c r="T652" s="341" t="s">
        <v>201</v>
      </c>
      <c r="U652" s="342"/>
      <c r="V652" s="124">
        <f>SUM(V645:V651)</f>
        <v>0</v>
      </c>
      <c r="W652" s="341" t="s">
        <v>201</v>
      </c>
      <c r="X652" s="342"/>
      <c r="Y652" s="127">
        <f>SUM(Y645:Y651)</f>
        <v>0</v>
      </c>
      <c r="Z652" s="151"/>
    </row>
    <row r="653" spans="2:26" s="35" customFormat="1" ht="17.100000000000001" customHeight="1">
      <c r="B653" s="105"/>
      <c r="C653" s="54">
        <f>'2. Rekap Back Up Beton'!C100</f>
        <v>17700</v>
      </c>
      <c r="D653" s="96">
        <f>'2. Rekap Back Up Beton'!D100</f>
        <v>17800</v>
      </c>
      <c r="E653" s="111">
        <f>'2. Rekap Back Up Beton'!E100</f>
        <v>5</v>
      </c>
      <c r="F653" s="112">
        <f>(100/((D653-C653)*E653))*((J660*0.5)+(M660*1)+(P660*2)+(S660*20)+(V660*15)+(Y660*1.5))</f>
        <v>0</v>
      </c>
      <c r="G653" s="113" t="str">
        <f>IF(F653&lt;=25,"B",IF(F653&lt;=75,"S",IF(F653&lt;=100,"RR","RB")))</f>
        <v>B</v>
      </c>
      <c r="H653" s="100">
        <v>0</v>
      </c>
      <c r="I653" s="98">
        <v>0</v>
      </c>
      <c r="J653" s="101">
        <f t="shared" ref="J653:J659" si="474">H653*I653</f>
        <v>0</v>
      </c>
      <c r="K653" s="100">
        <v>0</v>
      </c>
      <c r="L653" s="98">
        <v>0</v>
      </c>
      <c r="M653" s="101">
        <f t="shared" ref="M653:M659" si="475">K653*L653</f>
        <v>0</v>
      </c>
      <c r="N653" s="100">
        <v>0</v>
      </c>
      <c r="O653" s="98">
        <v>4</v>
      </c>
      <c r="P653" s="101">
        <f t="shared" ref="P653:P659" si="476">N653*O653</f>
        <v>0</v>
      </c>
      <c r="Q653" s="100">
        <v>0</v>
      </c>
      <c r="R653" s="98">
        <v>0</v>
      </c>
      <c r="S653" s="101">
        <f t="shared" ref="S653:S659" si="477">Q653*R653</f>
        <v>0</v>
      </c>
      <c r="T653" s="100">
        <v>0</v>
      </c>
      <c r="U653" s="98">
        <v>0</v>
      </c>
      <c r="V653" s="101">
        <f>T653*U653</f>
        <v>0</v>
      </c>
      <c r="W653" s="100">
        <v>0</v>
      </c>
      <c r="X653" s="98">
        <v>0</v>
      </c>
      <c r="Y653" s="147">
        <f t="shared" ref="Y653:Y659" si="478">W653*X653</f>
        <v>0</v>
      </c>
      <c r="Z653" s="150"/>
    </row>
    <row r="654" spans="2:26" s="35" customFormat="1" ht="17.100000000000001" customHeight="1">
      <c r="B654" s="105"/>
      <c r="C654" s="54"/>
      <c r="D654" s="96"/>
      <c r="E654" s="111"/>
      <c r="F654" s="112"/>
      <c r="G654" s="113"/>
      <c r="H654" s="100">
        <v>0</v>
      </c>
      <c r="I654" s="98">
        <v>0</v>
      </c>
      <c r="J654" s="101">
        <f t="shared" si="474"/>
        <v>0</v>
      </c>
      <c r="K654" s="100">
        <v>0</v>
      </c>
      <c r="L654" s="98">
        <v>0</v>
      </c>
      <c r="M654" s="101">
        <f t="shared" si="475"/>
        <v>0</v>
      </c>
      <c r="N654" s="100">
        <v>0</v>
      </c>
      <c r="O654" s="98">
        <v>0</v>
      </c>
      <c r="P654" s="101">
        <f t="shared" si="476"/>
        <v>0</v>
      </c>
      <c r="Q654" s="100">
        <v>0</v>
      </c>
      <c r="R654" s="98">
        <v>0</v>
      </c>
      <c r="S654" s="101">
        <f t="shared" si="477"/>
        <v>0</v>
      </c>
      <c r="T654" s="100">
        <v>0</v>
      </c>
      <c r="U654" s="98">
        <v>0</v>
      </c>
      <c r="V654" s="101">
        <f t="shared" ref="V654:V659" si="479">T654*U654</f>
        <v>0</v>
      </c>
      <c r="W654" s="100">
        <v>0</v>
      </c>
      <c r="X654" s="98">
        <v>0</v>
      </c>
      <c r="Y654" s="147">
        <f t="shared" si="478"/>
        <v>0</v>
      </c>
      <c r="Z654" s="150"/>
    </row>
    <row r="655" spans="2:26" s="35" customFormat="1" ht="17.100000000000001" customHeight="1">
      <c r="B655" s="105"/>
      <c r="C655" s="54"/>
      <c r="D655" s="96"/>
      <c r="E655" s="111"/>
      <c r="F655" s="112"/>
      <c r="G655" s="113"/>
      <c r="H655" s="100">
        <v>0</v>
      </c>
      <c r="I655" s="98">
        <v>0</v>
      </c>
      <c r="J655" s="101">
        <f t="shared" si="474"/>
        <v>0</v>
      </c>
      <c r="K655" s="100">
        <v>0</v>
      </c>
      <c r="L655" s="98">
        <v>0</v>
      </c>
      <c r="M655" s="101">
        <f t="shared" si="475"/>
        <v>0</v>
      </c>
      <c r="N655" s="100">
        <v>0</v>
      </c>
      <c r="O655" s="98">
        <v>0</v>
      </c>
      <c r="P655" s="101">
        <f t="shared" si="476"/>
        <v>0</v>
      </c>
      <c r="Q655" s="100">
        <v>0</v>
      </c>
      <c r="R655" s="98">
        <v>0</v>
      </c>
      <c r="S655" s="101">
        <f t="shared" si="477"/>
        <v>0</v>
      </c>
      <c r="T655" s="100">
        <v>0</v>
      </c>
      <c r="U655" s="98">
        <v>0</v>
      </c>
      <c r="V655" s="101">
        <f t="shared" si="479"/>
        <v>0</v>
      </c>
      <c r="W655" s="100">
        <v>0</v>
      </c>
      <c r="X655" s="98">
        <v>0</v>
      </c>
      <c r="Y655" s="147">
        <f t="shared" si="478"/>
        <v>0</v>
      </c>
      <c r="Z655" s="150"/>
    </row>
    <row r="656" spans="2:26" s="35" customFormat="1" ht="17.100000000000001" customHeight="1">
      <c r="B656" s="105"/>
      <c r="C656" s="54"/>
      <c r="D656" s="96"/>
      <c r="E656" s="111"/>
      <c r="F656" s="112"/>
      <c r="G656" s="113"/>
      <c r="H656" s="100">
        <v>0</v>
      </c>
      <c r="I656" s="98">
        <v>0</v>
      </c>
      <c r="J656" s="101">
        <f t="shared" si="474"/>
        <v>0</v>
      </c>
      <c r="K656" s="100">
        <v>0</v>
      </c>
      <c r="L656" s="98">
        <v>0</v>
      </c>
      <c r="M656" s="101">
        <f t="shared" si="475"/>
        <v>0</v>
      </c>
      <c r="N656" s="100">
        <v>0</v>
      </c>
      <c r="O656" s="98">
        <v>0</v>
      </c>
      <c r="P656" s="101">
        <f t="shared" si="476"/>
        <v>0</v>
      </c>
      <c r="Q656" s="100">
        <v>0</v>
      </c>
      <c r="R656" s="98">
        <v>0</v>
      </c>
      <c r="S656" s="101">
        <f t="shared" si="477"/>
        <v>0</v>
      </c>
      <c r="T656" s="100">
        <v>0</v>
      </c>
      <c r="U656" s="98">
        <v>0</v>
      </c>
      <c r="V656" s="101">
        <f t="shared" si="479"/>
        <v>0</v>
      </c>
      <c r="W656" s="100">
        <v>0</v>
      </c>
      <c r="X656" s="98">
        <v>0</v>
      </c>
      <c r="Y656" s="147">
        <f t="shared" si="478"/>
        <v>0</v>
      </c>
      <c r="Z656" s="150"/>
    </row>
    <row r="657" spans="2:26" s="35" customFormat="1" ht="17.100000000000001" customHeight="1">
      <c r="B657" s="105"/>
      <c r="C657" s="54"/>
      <c r="D657" s="96"/>
      <c r="E657" s="111"/>
      <c r="F657" s="112"/>
      <c r="G657" s="113"/>
      <c r="H657" s="100">
        <v>0</v>
      </c>
      <c r="I657" s="98">
        <v>0</v>
      </c>
      <c r="J657" s="101">
        <f t="shared" si="474"/>
        <v>0</v>
      </c>
      <c r="K657" s="100">
        <v>0</v>
      </c>
      <c r="L657" s="98">
        <v>0</v>
      </c>
      <c r="M657" s="101">
        <f t="shared" si="475"/>
        <v>0</v>
      </c>
      <c r="N657" s="100">
        <v>0</v>
      </c>
      <c r="O657" s="98">
        <v>0</v>
      </c>
      <c r="P657" s="101">
        <f t="shared" si="476"/>
        <v>0</v>
      </c>
      <c r="Q657" s="100">
        <v>0</v>
      </c>
      <c r="R657" s="98">
        <v>0</v>
      </c>
      <c r="S657" s="101">
        <f t="shared" si="477"/>
        <v>0</v>
      </c>
      <c r="T657" s="100">
        <v>0</v>
      </c>
      <c r="U657" s="98">
        <v>0</v>
      </c>
      <c r="V657" s="101">
        <f t="shared" si="479"/>
        <v>0</v>
      </c>
      <c r="W657" s="100">
        <v>0</v>
      </c>
      <c r="X657" s="98">
        <v>0</v>
      </c>
      <c r="Y657" s="147">
        <f t="shared" si="478"/>
        <v>0</v>
      </c>
      <c r="Z657" s="150"/>
    </row>
    <row r="658" spans="2:26" s="35" customFormat="1" ht="17.100000000000001" customHeight="1">
      <c r="B658" s="105"/>
      <c r="C658" s="54"/>
      <c r="D658" s="96"/>
      <c r="E658" s="111"/>
      <c r="F658" s="112"/>
      <c r="G658" s="113"/>
      <c r="H658" s="100">
        <v>0</v>
      </c>
      <c r="I658" s="98">
        <v>0</v>
      </c>
      <c r="J658" s="101">
        <f t="shared" si="474"/>
        <v>0</v>
      </c>
      <c r="K658" s="100">
        <v>0</v>
      </c>
      <c r="L658" s="98">
        <v>0</v>
      </c>
      <c r="M658" s="101">
        <f t="shared" si="475"/>
        <v>0</v>
      </c>
      <c r="N658" s="100">
        <v>0</v>
      </c>
      <c r="O658" s="98">
        <v>0</v>
      </c>
      <c r="P658" s="101">
        <f t="shared" si="476"/>
        <v>0</v>
      </c>
      <c r="Q658" s="100">
        <v>0</v>
      </c>
      <c r="R658" s="98">
        <v>0</v>
      </c>
      <c r="S658" s="101">
        <f t="shared" si="477"/>
        <v>0</v>
      </c>
      <c r="T658" s="100">
        <v>0</v>
      </c>
      <c r="U658" s="98">
        <v>0</v>
      </c>
      <c r="V658" s="101">
        <f t="shared" si="479"/>
        <v>0</v>
      </c>
      <c r="W658" s="100">
        <v>0</v>
      </c>
      <c r="X658" s="98">
        <v>0</v>
      </c>
      <c r="Y658" s="147">
        <f t="shared" si="478"/>
        <v>0</v>
      </c>
      <c r="Z658" s="150"/>
    </row>
    <row r="659" spans="2:26" s="35" customFormat="1" ht="17.100000000000001" customHeight="1">
      <c r="B659" s="105"/>
      <c r="C659" s="54"/>
      <c r="D659" s="96"/>
      <c r="E659" s="111"/>
      <c r="F659" s="112"/>
      <c r="G659" s="113"/>
      <c r="H659" s="100">
        <v>0</v>
      </c>
      <c r="I659" s="98">
        <v>0</v>
      </c>
      <c r="J659" s="101">
        <f t="shared" si="474"/>
        <v>0</v>
      </c>
      <c r="K659" s="100">
        <v>0</v>
      </c>
      <c r="L659" s="98">
        <v>0</v>
      </c>
      <c r="M659" s="101">
        <f t="shared" si="475"/>
        <v>0</v>
      </c>
      <c r="N659" s="100">
        <v>0</v>
      </c>
      <c r="O659" s="98">
        <v>0</v>
      </c>
      <c r="P659" s="101">
        <f t="shared" si="476"/>
        <v>0</v>
      </c>
      <c r="Q659" s="100">
        <v>0</v>
      </c>
      <c r="R659" s="98">
        <v>0</v>
      </c>
      <c r="S659" s="101">
        <f t="shared" si="477"/>
        <v>0</v>
      </c>
      <c r="T659" s="100">
        <v>0</v>
      </c>
      <c r="U659" s="98">
        <v>0</v>
      </c>
      <c r="V659" s="101">
        <f t="shared" si="479"/>
        <v>0</v>
      </c>
      <c r="W659" s="100">
        <v>0</v>
      </c>
      <c r="X659" s="98">
        <v>0</v>
      </c>
      <c r="Y659" s="147">
        <f t="shared" si="478"/>
        <v>0</v>
      </c>
      <c r="Z659" s="150"/>
    </row>
    <row r="660" spans="2:26" s="126" customFormat="1" ht="17.100000000000001" customHeight="1">
      <c r="B660" s="118"/>
      <c r="C660" s="119"/>
      <c r="D660" s="120"/>
      <c r="E660" s="121"/>
      <c r="F660" s="122"/>
      <c r="G660" s="123"/>
      <c r="H660" s="341" t="s">
        <v>201</v>
      </c>
      <c r="I660" s="342"/>
      <c r="J660" s="124">
        <f>SUM(J653:J659)</f>
        <v>0</v>
      </c>
      <c r="K660" s="341" t="s">
        <v>201</v>
      </c>
      <c r="L660" s="342"/>
      <c r="M660" s="124">
        <f>SUM(M653:M659)</f>
        <v>0</v>
      </c>
      <c r="N660" s="341" t="s">
        <v>201</v>
      </c>
      <c r="O660" s="342"/>
      <c r="P660" s="124">
        <f>SUM(P653:P659)</f>
        <v>0</v>
      </c>
      <c r="Q660" s="341" t="s">
        <v>201</v>
      </c>
      <c r="R660" s="342"/>
      <c r="S660" s="124">
        <f>SUM(S653:S659)</f>
        <v>0</v>
      </c>
      <c r="T660" s="341" t="s">
        <v>201</v>
      </c>
      <c r="U660" s="342"/>
      <c r="V660" s="124">
        <f>SUM(V653:V659)</f>
        <v>0</v>
      </c>
      <c r="W660" s="341" t="s">
        <v>201</v>
      </c>
      <c r="X660" s="342"/>
      <c r="Y660" s="127">
        <f>SUM(Y653:Y659)</f>
        <v>0</v>
      </c>
      <c r="Z660" s="151"/>
    </row>
    <row r="661" spans="2:26" s="35" customFormat="1" ht="17.100000000000001" customHeight="1">
      <c r="B661" s="105"/>
      <c r="C661" s="54">
        <f>'2. Rekap Back Up Beton'!C101</f>
        <v>17800</v>
      </c>
      <c r="D661" s="96">
        <f>'2. Rekap Back Up Beton'!D101</f>
        <v>17900</v>
      </c>
      <c r="E661" s="111">
        <f>'2. Rekap Back Up Beton'!E101</f>
        <v>5</v>
      </c>
      <c r="F661" s="112">
        <f>(100/((D661-C661)*E661))*((J668*0.5)+(M668*1)+(P668*2)+(S668*20)+(V668*15)+(Y668*1.5))</f>
        <v>0</v>
      </c>
      <c r="G661" s="113" t="str">
        <f>IF(F661&lt;=25,"B",IF(F661&lt;=75,"S",IF(F661&lt;=100,"RR","RB")))</f>
        <v>B</v>
      </c>
      <c r="H661" s="100">
        <v>0</v>
      </c>
      <c r="I661" s="98">
        <v>0</v>
      </c>
      <c r="J661" s="101">
        <f t="shared" ref="J661:J667" si="480">H661*I661</f>
        <v>0</v>
      </c>
      <c r="K661" s="100">
        <v>0</v>
      </c>
      <c r="L661" s="98">
        <v>0</v>
      </c>
      <c r="M661" s="101">
        <f t="shared" ref="M661:M667" si="481">K661*L661</f>
        <v>0</v>
      </c>
      <c r="N661" s="100">
        <v>0</v>
      </c>
      <c r="O661" s="98">
        <v>4</v>
      </c>
      <c r="P661" s="101">
        <f t="shared" ref="P661:P667" si="482">N661*O661</f>
        <v>0</v>
      </c>
      <c r="Q661" s="100">
        <v>0</v>
      </c>
      <c r="R661" s="98">
        <v>0</v>
      </c>
      <c r="S661" s="101">
        <f t="shared" ref="S661:S667" si="483">Q661*R661</f>
        <v>0</v>
      </c>
      <c r="T661" s="100">
        <v>0</v>
      </c>
      <c r="U661" s="98">
        <v>0</v>
      </c>
      <c r="V661" s="101">
        <f>T661*U661</f>
        <v>0</v>
      </c>
      <c r="W661" s="100">
        <v>0</v>
      </c>
      <c r="X661" s="98">
        <v>0</v>
      </c>
      <c r="Y661" s="147">
        <f t="shared" ref="Y661:Y667" si="484">W661*X661</f>
        <v>0</v>
      </c>
      <c r="Z661" s="150"/>
    </row>
    <row r="662" spans="2:26" s="35" customFormat="1" ht="17.100000000000001" customHeight="1">
      <c r="B662" s="105"/>
      <c r="C662" s="54"/>
      <c r="D662" s="96"/>
      <c r="E662" s="111"/>
      <c r="F662" s="112"/>
      <c r="G662" s="113"/>
      <c r="H662" s="100">
        <v>0</v>
      </c>
      <c r="I662" s="98">
        <v>0</v>
      </c>
      <c r="J662" s="101">
        <f t="shared" si="480"/>
        <v>0</v>
      </c>
      <c r="K662" s="100">
        <v>0</v>
      </c>
      <c r="L662" s="98">
        <v>0</v>
      </c>
      <c r="M662" s="101">
        <f t="shared" si="481"/>
        <v>0</v>
      </c>
      <c r="N662" s="100">
        <v>0</v>
      </c>
      <c r="O662" s="98">
        <v>0</v>
      </c>
      <c r="P662" s="101">
        <f t="shared" si="482"/>
        <v>0</v>
      </c>
      <c r="Q662" s="100">
        <v>0</v>
      </c>
      <c r="R662" s="98">
        <v>0</v>
      </c>
      <c r="S662" s="101">
        <f t="shared" si="483"/>
        <v>0</v>
      </c>
      <c r="T662" s="100">
        <v>0</v>
      </c>
      <c r="U662" s="98">
        <v>0</v>
      </c>
      <c r="V662" s="101">
        <f t="shared" ref="V662:V667" si="485">T662*U662</f>
        <v>0</v>
      </c>
      <c r="W662" s="100">
        <v>0</v>
      </c>
      <c r="X662" s="98">
        <v>0</v>
      </c>
      <c r="Y662" s="147">
        <f t="shared" si="484"/>
        <v>0</v>
      </c>
      <c r="Z662" s="150"/>
    </row>
    <row r="663" spans="2:26" s="35" customFormat="1" ht="17.100000000000001" customHeight="1">
      <c r="B663" s="105"/>
      <c r="C663" s="54"/>
      <c r="D663" s="96"/>
      <c r="E663" s="111"/>
      <c r="F663" s="112"/>
      <c r="G663" s="113"/>
      <c r="H663" s="100">
        <v>0</v>
      </c>
      <c r="I663" s="98">
        <v>0</v>
      </c>
      <c r="J663" s="101">
        <f t="shared" si="480"/>
        <v>0</v>
      </c>
      <c r="K663" s="100">
        <v>0</v>
      </c>
      <c r="L663" s="98">
        <v>0</v>
      </c>
      <c r="M663" s="101">
        <f t="shared" si="481"/>
        <v>0</v>
      </c>
      <c r="N663" s="100">
        <v>0</v>
      </c>
      <c r="O663" s="98">
        <v>0</v>
      </c>
      <c r="P663" s="101">
        <f t="shared" si="482"/>
        <v>0</v>
      </c>
      <c r="Q663" s="100">
        <v>0</v>
      </c>
      <c r="R663" s="98">
        <v>0</v>
      </c>
      <c r="S663" s="101">
        <f t="shared" si="483"/>
        <v>0</v>
      </c>
      <c r="T663" s="100">
        <v>0</v>
      </c>
      <c r="U663" s="98">
        <v>0</v>
      </c>
      <c r="V663" s="101">
        <f t="shared" si="485"/>
        <v>0</v>
      </c>
      <c r="W663" s="100">
        <v>0</v>
      </c>
      <c r="X663" s="98">
        <v>0</v>
      </c>
      <c r="Y663" s="147">
        <f t="shared" si="484"/>
        <v>0</v>
      </c>
      <c r="Z663" s="150"/>
    </row>
    <row r="664" spans="2:26" s="35" customFormat="1" ht="17.100000000000001" customHeight="1">
      <c r="B664" s="105"/>
      <c r="C664" s="54"/>
      <c r="D664" s="96"/>
      <c r="E664" s="111"/>
      <c r="F664" s="112"/>
      <c r="G664" s="113"/>
      <c r="H664" s="100">
        <v>0</v>
      </c>
      <c r="I664" s="98">
        <v>0</v>
      </c>
      <c r="J664" s="101">
        <f t="shared" si="480"/>
        <v>0</v>
      </c>
      <c r="K664" s="100">
        <v>0</v>
      </c>
      <c r="L664" s="98">
        <v>0</v>
      </c>
      <c r="M664" s="101">
        <f t="shared" si="481"/>
        <v>0</v>
      </c>
      <c r="N664" s="100">
        <v>0</v>
      </c>
      <c r="O664" s="98">
        <v>0</v>
      </c>
      <c r="P664" s="101">
        <f t="shared" si="482"/>
        <v>0</v>
      </c>
      <c r="Q664" s="100">
        <v>0</v>
      </c>
      <c r="R664" s="98">
        <v>0</v>
      </c>
      <c r="S664" s="101">
        <f t="shared" si="483"/>
        <v>0</v>
      </c>
      <c r="T664" s="100">
        <v>0</v>
      </c>
      <c r="U664" s="98">
        <v>0</v>
      </c>
      <c r="V664" s="101">
        <f t="shared" si="485"/>
        <v>0</v>
      </c>
      <c r="W664" s="100">
        <v>0</v>
      </c>
      <c r="X664" s="98">
        <v>0</v>
      </c>
      <c r="Y664" s="147">
        <f t="shared" si="484"/>
        <v>0</v>
      </c>
      <c r="Z664" s="150"/>
    </row>
    <row r="665" spans="2:26" s="35" customFormat="1" ht="17.100000000000001" customHeight="1">
      <c r="B665" s="105"/>
      <c r="C665" s="54"/>
      <c r="D665" s="96"/>
      <c r="E665" s="111"/>
      <c r="F665" s="112"/>
      <c r="G665" s="113"/>
      <c r="H665" s="100">
        <v>0</v>
      </c>
      <c r="I665" s="98">
        <v>0</v>
      </c>
      <c r="J665" s="101">
        <f t="shared" si="480"/>
        <v>0</v>
      </c>
      <c r="K665" s="100">
        <v>0</v>
      </c>
      <c r="L665" s="98">
        <v>0</v>
      </c>
      <c r="M665" s="101">
        <f t="shared" si="481"/>
        <v>0</v>
      </c>
      <c r="N665" s="100">
        <v>0</v>
      </c>
      <c r="O665" s="98">
        <v>0</v>
      </c>
      <c r="P665" s="101">
        <f t="shared" si="482"/>
        <v>0</v>
      </c>
      <c r="Q665" s="100">
        <v>0</v>
      </c>
      <c r="R665" s="98">
        <v>0</v>
      </c>
      <c r="S665" s="101">
        <f t="shared" si="483"/>
        <v>0</v>
      </c>
      <c r="T665" s="100">
        <v>0</v>
      </c>
      <c r="U665" s="98">
        <v>0</v>
      </c>
      <c r="V665" s="101">
        <f t="shared" si="485"/>
        <v>0</v>
      </c>
      <c r="W665" s="100">
        <v>0</v>
      </c>
      <c r="X665" s="98">
        <v>0</v>
      </c>
      <c r="Y665" s="147">
        <f t="shared" si="484"/>
        <v>0</v>
      </c>
      <c r="Z665" s="150"/>
    </row>
    <row r="666" spans="2:26" s="35" customFormat="1" ht="17.100000000000001" customHeight="1">
      <c r="B666" s="105"/>
      <c r="C666" s="54"/>
      <c r="D666" s="96"/>
      <c r="E666" s="111"/>
      <c r="F666" s="112"/>
      <c r="G666" s="113"/>
      <c r="H666" s="100">
        <v>0</v>
      </c>
      <c r="I666" s="98">
        <v>0</v>
      </c>
      <c r="J666" s="101">
        <f t="shared" si="480"/>
        <v>0</v>
      </c>
      <c r="K666" s="100">
        <v>0</v>
      </c>
      <c r="L666" s="98">
        <v>0</v>
      </c>
      <c r="M666" s="101">
        <f t="shared" si="481"/>
        <v>0</v>
      </c>
      <c r="N666" s="100">
        <v>0</v>
      </c>
      <c r="O666" s="98">
        <v>0</v>
      </c>
      <c r="P666" s="101">
        <f t="shared" si="482"/>
        <v>0</v>
      </c>
      <c r="Q666" s="100">
        <v>0</v>
      </c>
      <c r="R666" s="98">
        <v>0</v>
      </c>
      <c r="S666" s="101">
        <f t="shared" si="483"/>
        <v>0</v>
      </c>
      <c r="T666" s="100">
        <v>0</v>
      </c>
      <c r="U666" s="98">
        <v>0</v>
      </c>
      <c r="V666" s="101">
        <f t="shared" si="485"/>
        <v>0</v>
      </c>
      <c r="W666" s="100">
        <v>0</v>
      </c>
      <c r="X666" s="98">
        <v>0</v>
      </c>
      <c r="Y666" s="147">
        <f t="shared" si="484"/>
        <v>0</v>
      </c>
      <c r="Z666" s="150"/>
    </row>
    <row r="667" spans="2:26" s="35" customFormat="1" ht="17.100000000000001" customHeight="1">
      <c r="B667" s="105"/>
      <c r="C667" s="54"/>
      <c r="D667" s="96"/>
      <c r="E667" s="111"/>
      <c r="F667" s="112"/>
      <c r="G667" s="113"/>
      <c r="H667" s="100">
        <v>0</v>
      </c>
      <c r="I667" s="98">
        <v>0</v>
      </c>
      <c r="J667" s="101">
        <f t="shared" si="480"/>
        <v>0</v>
      </c>
      <c r="K667" s="100">
        <v>0</v>
      </c>
      <c r="L667" s="98">
        <v>0</v>
      </c>
      <c r="M667" s="101">
        <f t="shared" si="481"/>
        <v>0</v>
      </c>
      <c r="N667" s="100">
        <v>0</v>
      </c>
      <c r="O667" s="98">
        <v>0</v>
      </c>
      <c r="P667" s="101">
        <f t="shared" si="482"/>
        <v>0</v>
      </c>
      <c r="Q667" s="100">
        <v>0</v>
      </c>
      <c r="R667" s="98">
        <v>0</v>
      </c>
      <c r="S667" s="101">
        <f t="shared" si="483"/>
        <v>0</v>
      </c>
      <c r="T667" s="100">
        <v>0</v>
      </c>
      <c r="U667" s="98">
        <v>0</v>
      </c>
      <c r="V667" s="101">
        <f t="shared" si="485"/>
        <v>0</v>
      </c>
      <c r="W667" s="100">
        <v>0</v>
      </c>
      <c r="X667" s="98">
        <v>0</v>
      </c>
      <c r="Y667" s="147">
        <f t="shared" si="484"/>
        <v>0</v>
      </c>
      <c r="Z667" s="150"/>
    </row>
    <row r="668" spans="2:26" s="126" customFormat="1" ht="17.100000000000001" customHeight="1">
      <c r="B668" s="118"/>
      <c r="C668" s="119"/>
      <c r="D668" s="120"/>
      <c r="E668" s="121"/>
      <c r="F668" s="122"/>
      <c r="G668" s="123"/>
      <c r="H668" s="341" t="s">
        <v>201</v>
      </c>
      <c r="I668" s="342"/>
      <c r="J668" s="124">
        <f>SUM(J661:J667)</f>
        <v>0</v>
      </c>
      <c r="K668" s="341" t="s">
        <v>201</v>
      </c>
      <c r="L668" s="342"/>
      <c r="M668" s="124">
        <f>SUM(M661:M667)</f>
        <v>0</v>
      </c>
      <c r="N668" s="341" t="s">
        <v>201</v>
      </c>
      <c r="O668" s="342"/>
      <c r="P668" s="124">
        <f>SUM(P661:P667)</f>
        <v>0</v>
      </c>
      <c r="Q668" s="341" t="s">
        <v>201</v>
      </c>
      <c r="R668" s="342"/>
      <c r="S668" s="124">
        <f>SUM(S661:S667)</f>
        <v>0</v>
      </c>
      <c r="T668" s="341" t="s">
        <v>201</v>
      </c>
      <c r="U668" s="342"/>
      <c r="V668" s="124">
        <f>SUM(V661:V667)</f>
        <v>0</v>
      </c>
      <c r="W668" s="341" t="s">
        <v>201</v>
      </c>
      <c r="X668" s="342"/>
      <c r="Y668" s="127">
        <f>SUM(Y661:Y667)</f>
        <v>0</v>
      </c>
      <c r="Z668" s="151"/>
    </row>
    <row r="669" spans="2:26" s="35" customFormat="1" ht="17.100000000000001" customHeight="1">
      <c r="B669" s="105"/>
      <c r="C669" s="54">
        <f>'2. Rekap Back Up Beton'!C102</f>
        <v>17900</v>
      </c>
      <c r="D669" s="96">
        <f>'2. Rekap Back Up Beton'!D102</f>
        <v>18000</v>
      </c>
      <c r="E669" s="111">
        <f>'2. Rekap Back Up Beton'!E102</f>
        <v>5</v>
      </c>
      <c r="F669" s="112">
        <f>(100/((D669-C669)*E669))*((J676*0.5)+(M676*1)+(P676*2)+(S676*20)+(V676*15)+(Y676*1.5))</f>
        <v>0</v>
      </c>
      <c r="G669" s="113" t="str">
        <f>IF(F669&lt;=25,"B",IF(F669&lt;=75,"S",IF(F669&lt;=100,"RR","RB")))</f>
        <v>B</v>
      </c>
      <c r="H669" s="100">
        <v>0</v>
      </c>
      <c r="I669" s="98">
        <v>0</v>
      </c>
      <c r="J669" s="101">
        <f t="shared" ref="J669:J675" si="486">H669*I669</f>
        <v>0</v>
      </c>
      <c r="K669" s="100">
        <v>0</v>
      </c>
      <c r="L669" s="98">
        <v>0</v>
      </c>
      <c r="M669" s="101">
        <f t="shared" ref="M669:M675" si="487">K669*L669</f>
        <v>0</v>
      </c>
      <c r="N669" s="100">
        <v>0</v>
      </c>
      <c r="O669" s="98">
        <v>4</v>
      </c>
      <c r="P669" s="101">
        <f t="shared" ref="P669:P675" si="488">N669*O669</f>
        <v>0</v>
      </c>
      <c r="Q669" s="100">
        <v>0</v>
      </c>
      <c r="R669" s="98">
        <v>0</v>
      </c>
      <c r="S669" s="101">
        <f t="shared" ref="S669:S675" si="489">Q669*R669</f>
        <v>0</v>
      </c>
      <c r="T669" s="100">
        <v>0</v>
      </c>
      <c r="U669" s="98">
        <v>0</v>
      </c>
      <c r="V669" s="101">
        <f>T669*U669</f>
        <v>0</v>
      </c>
      <c r="W669" s="100">
        <v>0</v>
      </c>
      <c r="X669" s="98">
        <v>0</v>
      </c>
      <c r="Y669" s="147">
        <f t="shared" ref="Y669:Y675" si="490">W669*X669</f>
        <v>0</v>
      </c>
      <c r="Z669" s="150"/>
    </row>
    <row r="670" spans="2:26" s="35" customFormat="1" ht="17.100000000000001" customHeight="1">
      <c r="B670" s="105"/>
      <c r="C670" s="54"/>
      <c r="D670" s="96"/>
      <c r="E670" s="111"/>
      <c r="F670" s="112"/>
      <c r="G670" s="113"/>
      <c r="H670" s="100">
        <v>0</v>
      </c>
      <c r="I670" s="98">
        <v>0</v>
      </c>
      <c r="J670" s="101">
        <f t="shared" si="486"/>
        <v>0</v>
      </c>
      <c r="K670" s="100">
        <v>0</v>
      </c>
      <c r="L670" s="98">
        <v>0</v>
      </c>
      <c r="M670" s="101">
        <f t="shared" si="487"/>
        <v>0</v>
      </c>
      <c r="N670" s="100">
        <v>0</v>
      </c>
      <c r="O670" s="98">
        <v>0</v>
      </c>
      <c r="P670" s="101">
        <f t="shared" si="488"/>
        <v>0</v>
      </c>
      <c r="Q670" s="100">
        <v>0</v>
      </c>
      <c r="R670" s="98">
        <v>0</v>
      </c>
      <c r="S670" s="101">
        <f t="shared" si="489"/>
        <v>0</v>
      </c>
      <c r="T670" s="100">
        <v>0</v>
      </c>
      <c r="U670" s="98">
        <v>0</v>
      </c>
      <c r="V670" s="101">
        <f t="shared" ref="V670:V675" si="491">T670*U670</f>
        <v>0</v>
      </c>
      <c r="W670" s="100">
        <v>0</v>
      </c>
      <c r="X670" s="98">
        <v>0</v>
      </c>
      <c r="Y670" s="147">
        <f t="shared" si="490"/>
        <v>0</v>
      </c>
      <c r="Z670" s="150"/>
    </row>
    <row r="671" spans="2:26" s="35" customFormat="1" ht="17.100000000000001" customHeight="1">
      <c r="B671" s="105"/>
      <c r="C671" s="54"/>
      <c r="D671" s="96"/>
      <c r="E671" s="111"/>
      <c r="F671" s="112"/>
      <c r="G671" s="113"/>
      <c r="H671" s="100">
        <v>0</v>
      </c>
      <c r="I671" s="98">
        <v>0</v>
      </c>
      <c r="J671" s="101">
        <f t="shared" si="486"/>
        <v>0</v>
      </c>
      <c r="K671" s="100">
        <v>0</v>
      </c>
      <c r="L671" s="98">
        <v>0</v>
      </c>
      <c r="M671" s="101">
        <f t="shared" si="487"/>
        <v>0</v>
      </c>
      <c r="N671" s="100">
        <v>0</v>
      </c>
      <c r="O671" s="98">
        <v>0</v>
      </c>
      <c r="P671" s="101">
        <f t="shared" si="488"/>
        <v>0</v>
      </c>
      <c r="Q671" s="100">
        <v>0</v>
      </c>
      <c r="R671" s="98">
        <v>0</v>
      </c>
      <c r="S671" s="101">
        <f t="shared" si="489"/>
        <v>0</v>
      </c>
      <c r="T671" s="100">
        <v>0</v>
      </c>
      <c r="U671" s="98">
        <v>0</v>
      </c>
      <c r="V671" s="101">
        <f t="shared" si="491"/>
        <v>0</v>
      </c>
      <c r="W671" s="100">
        <v>0</v>
      </c>
      <c r="X671" s="98">
        <v>0</v>
      </c>
      <c r="Y671" s="147">
        <f t="shared" si="490"/>
        <v>0</v>
      </c>
      <c r="Z671" s="150"/>
    </row>
    <row r="672" spans="2:26" s="35" customFormat="1" ht="17.100000000000001" customHeight="1">
      <c r="B672" s="105"/>
      <c r="C672" s="54"/>
      <c r="D672" s="96"/>
      <c r="E672" s="111"/>
      <c r="F672" s="112"/>
      <c r="G672" s="113"/>
      <c r="H672" s="100">
        <v>0</v>
      </c>
      <c r="I672" s="98">
        <v>0</v>
      </c>
      <c r="J672" s="101">
        <f t="shared" si="486"/>
        <v>0</v>
      </c>
      <c r="K672" s="100">
        <v>0</v>
      </c>
      <c r="L672" s="98">
        <v>0</v>
      </c>
      <c r="M672" s="101">
        <f t="shared" si="487"/>
        <v>0</v>
      </c>
      <c r="N672" s="100">
        <v>0</v>
      </c>
      <c r="O672" s="98">
        <v>0</v>
      </c>
      <c r="P672" s="101">
        <f t="shared" si="488"/>
        <v>0</v>
      </c>
      <c r="Q672" s="100">
        <v>0</v>
      </c>
      <c r="R672" s="98">
        <v>0</v>
      </c>
      <c r="S672" s="101">
        <f t="shared" si="489"/>
        <v>0</v>
      </c>
      <c r="T672" s="100">
        <v>0</v>
      </c>
      <c r="U672" s="98">
        <v>0</v>
      </c>
      <c r="V672" s="101">
        <f t="shared" si="491"/>
        <v>0</v>
      </c>
      <c r="W672" s="100">
        <v>0</v>
      </c>
      <c r="X672" s="98">
        <v>0</v>
      </c>
      <c r="Y672" s="147">
        <f t="shared" si="490"/>
        <v>0</v>
      </c>
      <c r="Z672" s="150"/>
    </row>
    <row r="673" spans="2:26" s="35" customFormat="1" ht="17.100000000000001" customHeight="1">
      <c r="B673" s="105"/>
      <c r="C673" s="54"/>
      <c r="D673" s="96"/>
      <c r="E673" s="111"/>
      <c r="F673" s="112"/>
      <c r="G673" s="113"/>
      <c r="H673" s="100">
        <v>0</v>
      </c>
      <c r="I673" s="98">
        <v>0</v>
      </c>
      <c r="J673" s="101">
        <f t="shared" si="486"/>
        <v>0</v>
      </c>
      <c r="K673" s="100">
        <v>0</v>
      </c>
      <c r="L673" s="98">
        <v>0</v>
      </c>
      <c r="M673" s="101">
        <f t="shared" si="487"/>
        <v>0</v>
      </c>
      <c r="N673" s="100">
        <v>0</v>
      </c>
      <c r="O673" s="98">
        <v>0</v>
      </c>
      <c r="P673" s="101">
        <f t="shared" si="488"/>
        <v>0</v>
      </c>
      <c r="Q673" s="100">
        <v>0</v>
      </c>
      <c r="R673" s="98">
        <v>0</v>
      </c>
      <c r="S673" s="101">
        <f t="shared" si="489"/>
        <v>0</v>
      </c>
      <c r="T673" s="100">
        <v>0</v>
      </c>
      <c r="U673" s="98">
        <v>0</v>
      </c>
      <c r="V673" s="101">
        <f t="shared" si="491"/>
        <v>0</v>
      </c>
      <c r="W673" s="100">
        <v>0</v>
      </c>
      <c r="X673" s="98">
        <v>0</v>
      </c>
      <c r="Y673" s="147">
        <f t="shared" si="490"/>
        <v>0</v>
      </c>
      <c r="Z673" s="150"/>
    </row>
    <row r="674" spans="2:26" s="35" customFormat="1" ht="17.100000000000001" customHeight="1">
      <c r="B674" s="105"/>
      <c r="C674" s="54"/>
      <c r="D674" s="96"/>
      <c r="E674" s="111"/>
      <c r="F674" s="112"/>
      <c r="G674" s="113"/>
      <c r="H674" s="100">
        <v>0</v>
      </c>
      <c r="I674" s="98">
        <v>0</v>
      </c>
      <c r="J674" s="101">
        <f t="shared" si="486"/>
        <v>0</v>
      </c>
      <c r="K674" s="100">
        <v>0</v>
      </c>
      <c r="L674" s="98">
        <v>0</v>
      </c>
      <c r="M674" s="101">
        <f t="shared" si="487"/>
        <v>0</v>
      </c>
      <c r="N674" s="100">
        <v>0</v>
      </c>
      <c r="O674" s="98">
        <v>0</v>
      </c>
      <c r="P674" s="101">
        <f t="shared" si="488"/>
        <v>0</v>
      </c>
      <c r="Q674" s="100">
        <v>0</v>
      </c>
      <c r="R674" s="98">
        <v>0</v>
      </c>
      <c r="S674" s="101">
        <f t="shared" si="489"/>
        <v>0</v>
      </c>
      <c r="T674" s="100">
        <v>0</v>
      </c>
      <c r="U674" s="98">
        <v>0</v>
      </c>
      <c r="V674" s="101">
        <f t="shared" si="491"/>
        <v>0</v>
      </c>
      <c r="W674" s="100">
        <v>0</v>
      </c>
      <c r="X674" s="98">
        <v>0</v>
      </c>
      <c r="Y674" s="147">
        <f t="shared" si="490"/>
        <v>0</v>
      </c>
      <c r="Z674" s="150"/>
    </row>
    <row r="675" spans="2:26" s="35" customFormat="1" ht="17.100000000000001" customHeight="1">
      <c r="B675" s="105"/>
      <c r="C675" s="54"/>
      <c r="D675" s="96"/>
      <c r="E675" s="111"/>
      <c r="F675" s="112"/>
      <c r="G675" s="113"/>
      <c r="H675" s="100">
        <v>0</v>
      </c>
      <c r="I675" s="98">
        <v>0</v>
      </c>
      <c r="J675" s="101">
        <f t="shared" si="486"/>
        <v>0</v>
      </c>
      <c r="K675" s="100">
        <v>0</v>
      </c>
      <c r="L675" s="98">
        <v>0</v>
      </c>
      <c r="M675" s="101">
        <f t="shared" si="487"/>
        <v>0</v>
      </c>
      <c r="N675" s="100">
        <v>0</v>
      </c>
      <c r="O675" s="98">
        <v>0</v>
      </c>
      <c r="P675" s="101">
        <f t="shared" si="488"/>
        <v>0</v>
      </c>
      <c r="Q675" s="100">
        <v>0</v>
      </c>
      <c r="R675" s="98">
        <v>0</v>
      </c>
      <c r="S675" s="101">
        <f t="shared" si="489"/>
        <v>0</v>
      </c>
      <c r="T675" s="100">
        <v>0</v>
      </c>
      <c r="U675" s="98">
        <v>0</v>
      </c>
      <c r="V675" s="101">
        <f t="shared" si="491"/>
        <v>0</v>
      </c>
      <c r="W675" s="100">
        <v>0</v>
      </c>
      <c r="X675" s="98">
        <v>0</v>
      </c>
      <c r="Y675" s="147">
        <f t="shared" si="490"/>
        <v>0</v>
      </c>
      <c r="Z675" s="150"/>
    </row>
    <row r="676" spans="2:26" s="126" customFormat="1" ht="17.100000000000001" customHeight="1">
      <c r="B676" s="118"/>
      <c r="C676" s="119"/>
      <c r="D676" s="120"/>
      <c r="E676" s="121"/>
      <c r="F676" s="122"/>
      <c r="G676" s="123"/>
      <c r="H676" s="341" t="s">
        <v>201</v>
      </c>
      <c r="I676" s="342"/>
      <c r="J676" s="124">
        <f>SUM(J669:J675)</f>
        <v>0</v>
      </c>
      <c r="K676" s="341" t="s">
        <v>201</v>
      </c>
      <c r="L676" s="342"/>
      <c r="M676" s="124">
        <f>SUM(M669:M675)</f>
        <v>0</v>
      </c>
      <c r="N676" s="341" t="s">
        <v>201</v>
      </c>
      <c r="O676" s="342"/>
      <c r="P676" s="124">
        <f>SUM(P669:P675)</f>
        <v>0</v>
      </c>
      <c r="Q676" s="341" t="s">
        <v>201</v>
      </c>
      <c r="R676" s="342"/>
      <c r="S676" s="124">
        <f>SUM(S669:S675)</f>
        <v>0</v>
      </c>
      <c r="T676" s="341" t="s">
        <v>201</v>
      </c>
      <c r="U676" s="342"/>
      <c r="V676" s="124">
        <f>SUM(V669:V675)</f>
        <v>0</v>
      </c>
      <c r="W676" s="341" t="s">
        <v>201</v>
      </c>
      <c r="X676" s="342"/>
      <c r="Y676" s="127">
        <f>SUM(Y669:Y675)</f>
        <v>0</v>
      </c>
      <c r="Z676" s="151"/>
    </row>
    <row r="677" spans="2:26" s="35" customFormat="1" ht="17.100000000000001" customHeight="1">
      <c r="B677" s="105"/>
      <c r="C677" s="54">
        <f>'2. Rekap Back Up Beton'!C103</f>
        <v>18000</v>
      </c>
      <c r="D677" s="96">
        <f>'2. Rekap Back Up Beton'!D103</f>
        <v>18100</v>
      </c>
      <c r="E677" s="111">
        <f>'2. Rekap Back Up Beton'!E103</f>
        <v>5</v>
      </c>
      <c r="F677" s="112">
        <f>(100/((D677-C677)*E677))*((J684*0.5)+(M684*1)+(P684*2)+(S684*20)+(V684*15)+(Y684*1.5))</f>
        <v>5</v>
      </c>
      <c r="G677" s="113" t="str">
        <f>IF(F677&lt;=25,"B",IF(F677&lt;=75,"S",IF(F677&lt;=100,"RR","RB")))</f>
        <v>B</v>
      </c>
      <c r="H677" s="100">
        <v>10</v>
      </c>
      <c r="I677" s="98">
        <v>5</v>
      </c>
      <c r="J677" s="101">
        <f t="shared" ref="J677:J683" si="492">H677*I677</f>
        <v>50</v>
      </c>
      <c r="K677" s="100">
        <v>0</v>
      </c>
      <c r="L677" s="98">
        <v>0</v>
      </c>
      <c r="M677" s="101">
        <f t="shared" ref="M677:M683" si="493">K677*L677</f>
        <v>0</v>
      </c>
      <c r="N677" s="100">
        <v>0</v>
      </c>
      <c r="O677" s="98">
        <v>4</v>
      </c>
      <c r="P677" s="101">
        <f t="shared" ref="P677:P683" si="494">N677*O677</f>
        <v>0</v>
      </c>
      <c r="Q677" s="100">
        <v>0</v>
      </c>
      <c r="R677" s="98">
        <v>0</v>
      </c>
      <c r="S677" s="101">
        <f t="shared" ref="S677:S683" si="495">Q677*R677</f>
        <v>0</v>
      </c>
      <c r="T677" s="100">
        <v>0</v>
      </c>
      <c r="U677" s="98">
        <v>0</v>
      </c>
      <c r="V677" s="101">
        <f>T677*U677</f>
        <v>0</v>
      </c>
      <c r="W677" s="100">
        <v>0</v>
      </c>
      <c r="X677" s="98">
        <v>0</v>
      </c>
      <c r="Y677" s="147">
        <f t="shared" ref="Y677:Y683" si="496">W677*X677</f>
        <v>0</v>
      </c>
      <c r="Z677" s="150"/>
    </row>
    <row r="678" spans="2:26" s="35" customFormat="1" ht="17.100000000000001" customHeight="1">
      <c r="B678" s="105"/>
      <c r="C678" s="54"/>
      <c r="D678" s="96"/>
      <c r="E678" s="111"/>
      <c r="F678" s="112"/>
      <c r="G678" s="113"/>
      <c r="H678" s="100">
        <v>0</v>
      </c>
      <c r="I678" s="98">
        <v>0</v>
      </c>
      <c r="J678" s="101">
        <f t="shared" si="492"/>
        <v>0</v>
      </c>
      <c r="K678" s="100">
        <v>0</v>
      </c>
      <c r="L678" s="98">
        <v>0</v>
      </c>
      <c r="M678" s="101">
        <f t="shared" si="493"/>
        <v>0</v>
      </c>
      <c r="N678" s="100">
        <v>0</v>
      </c>
      <c r="O678" s="98">
        <v>0</v>
      </c>
      <c r="P678" s="101">
        <f t="shared" si="494"/>
        <v>0</v>
      </c>
      <c r="Q678" s="100">
        <v>0</v>
      </c>
      <c r="R678" s="98">
        <v>0</v>
      </c>
      <c r="S678" s="101">
        <f t="shared" si="495"/>
        <v>0</v>
      </c>
      <c r="T678" s="100">
        <v>0</v>
      </c>
      <c r="U678" s="98">
        <v>0</v>
      </c>
      <c r="V678" s="101">
        <f t="shared" ref="V678:V683" si="497">T678*U678</f>
        <v>0</v>
      </c>
      <c r="W678" s="100">
        <v>0</v>
      </c>
      <c r="X678" s="98">
        <v>0</v>
      </c>
      <c r="Y678" s="147">
        <f t="shared" si="496"/>
        <v>0</v>
      </c>
      <c r="Z678" s="150"/>
    </row>
    <row r="679" spans="2:26" s="35" customFormat="1" ht="17.100000000000001" customHeight="1">
      <c r="B679" s="105"/>
      <c r="C679" s="54"/>
      <c r="D679" s="96"/>
      <c r="E679" s="111"/>
      <c r="F679" s="112"/>
      <c r="G679" s="113"/>
      <c r="H679" s="100">
        <v>0</v>
      </c>
      <c r="I679" s="98">
        <v>0</v>
      </c>
      <c r="J679" s="101">
        <f t="shared" si="492"/>
        <v>0</v>
      </c>
      <c r="K679" s="100">
        <v>0</v>
      </c>
      <c r="L679" s="98">
        <v>0</v>
      </c>
      <c r="M679" s="101">
        <f t="shared" si="493"/>
        <v>0</v>
      </c>
      <c r="N679" s="100">
        <v>0</v>
      </c>
      <c r="O679" s="98">
        <v>0</v>
      </c>
      <c r="P679" s="101">
        <f t="shared" si="494"/>
        <v>0</v>
      </c>
      <c r="Q679" s="100">
        <v>0</v>
      </c>
      <c r="R679" s="98">
        <v>0</v>
      </c>
      <c r="S679" s="101">
        <f t="shared" si="495"/>
        <v>0</v>
      </c>
      <c r="T679" s="100">
        <v>0</v>
      </c>
      <c r="U679" s="98">
        <v>0</v>
      </c>
      <c r="V679" s="101">
        <f t="shared" si="497"/>
        <v>0</v>
      </c>
      <c r="W679" s="100">
        <v>0</v>
      </c>
      <c r="X679" s="98">
        <v>0</v>
      </c>
      <c r="Y679" s="147">
        <f t="shared" si="496"/>
        <v>0</v>
      </c>
      <c r="Z679" s="150"/>
    </row>
    <row r="680" spans="2:26" s="35" customFormat="1" ht="17.100000000000001" customHeight="1">
      <c r="B680" s="105"/>
      <c r="C680" s="54"/>
      <c r="D680" s="96"/>
      <c r="E680" s="111"/>
      <c r="F680" s="112"/>
      <c r="G680" s="113"/>
      <c r="H680" s="100">
        <v>0</v>
      </c>
      <c r="I680" s="98">
        <v>0</v>
      </c>
      <c r="J680" s="101">
        <f t="shared" si="492"/>
        <v>0</v>
      </c>
      <c r="K680" s="100">
        <v>0</v>
      </c>
      <c r="L680" s="98">
        <v>0</v>
      </c>
      <c r="M680" s="101">
        <f t="shared" si="493"/>
        <v>0</v>
      </c>
      <c r="N680" s="100">
        <v>0</v>
      </c>
      <c r="O680" s="98">
        <v>0</v>
      </c>
      <c r="P680" s="101">
        <f t="shared" si="494"/>
        <v>0</v>
      </c>
      <c r="Q680" s="100">
        <v>0</v>
      </c>
      <c r="R680" s="98">
        <v>0</v>
      </c>
      <c r="S680" s="101">
        <f t="shared" si="495"/>
        <v>0</v>
      </c>
      <c r="T680" s="100">
        <v>0</v>
      </c>
      <c r="U680" s="98">
        <v>0</v>
      </c>
      <c r="V680" s="101">
        <f t="shared" si="497"/>
        <v>0</v>
      </c>
      <c r="W680" s="100">
        <v>0</v>
      </c>
      <c r="X680" s="98">
        <v>0</v>
      </c>
      <c r="Y680" s="147">
        <f t="shared" si="496"/>
        <v>0</v>
      </c>
      <c r="Z680" s="150"/>
    </row>
    <row r="681" spans="2:26" s="35" customFormat="1" ht="17.100000000000001" customHeight="1">
      <c r="B681" s="105"/>
      <c r="C681" s="54"/>
      <c r="D681" s="96"/>
      <c r="E681" s="111"/>
      <c r="F681" s="112"/>
      <c r="G681" s="113"/>
      <c r="H681" s="100">
        <v>0</v>
      </c>
      <c r="I681" s="98">
        <v>0</v>
      </c>
      <c r="J681" s="101">
        <f t="shared" si="492"/>
        <v>0</v>
      </c>
      <c r="K681" s="100">
        <v>0</v>
      </c>
      <c r="L681" s="98">
        <v>0</v>
      </c>
      <c r="M681" s="101">
        <f t="shared" si="493"/>
        <v>0</v>
      </c>
      <c r="N681" s="100">
        <v>0</v>
      </c>
      <c r="O681" s="98">
        <v>0</v>
      </c>
      <c r="P681" s="101">
        <f t="shared" si="494"/>
        <v>0</v>
      </c>
      <c r="Q681" s="100">
        <v>0</v>
      </c>
      <c r="R681" s="98">
        <v>0</v>
      </c>
      <c r="S681" s="101">
        <f t="shared" si="495"/>
        <v>0</v>
      </c>
      <c r="T681" s="100">
        <v>0</v>
      </c>
      <c r="U681" s="98">
        <v>0</v>
      </c>
      <c r="V681" s="101">
        <f t="shared" si="497"/>
        <v>0</v>
      </c>
      <c r="W681" s="100">
        <v>0</v>
      </c>
      <c r="X681" s="98">
        <v>0</v>
      </c>
      <c r="Y681" s="147">
        <f t="shared" si="496"/>
        <v>0</v>
      </c>
      <c r="Z681" s="150"/>
    </row>
    <row r="682" spans="2:26" s="35" customFormat="1" ht="17.100000000000001" customHeight="1">
      <c r="B682" s="105"/>
      <c r="C682" s="54"/>
      <c r="D682" s="96"/>
      <c r="E682" s="111"/>
      <c r="F682" s="112"/>
      <c r="G682" s="113"/>
      <c r="H682" s="100">
        <v>0</v>
      </c>
      <c r="I682" s="98">
        <v>0</v>
      </c>
      <c r="J682" s="101">
        <f t="shared" si="492"/>
        <v>0</v>
      </c>
      <c r="K682" s="100">
        <v>0</v>
      </c>
      <c r="L682" s="98">
        <v>0</v>
      </c>
      <c r="M682" s="101">
        <f t="shared" si="493"/>
        <v>0</v>
      </c>
      <c r="N682" s="100">
        <v>0</v>
      </c>
      <c r="O682" s="98">
        <v>0</v>
      </c>
      <c r="P682" s="101">
        <f t="shared" si="494"/>
        <v>0</v>
      </c>
      <c r="Q682" s="100">
        <v>0</v>
      </c>
      <c r="R682" s="98">
        <v>0</v>
      </c>
      <c r="S682" s="101">
        <f t="shared" si="495"/>
        <v>0</v>
      </c>
      <c r="T682" s="100">
        <v>0</v>
      </c>
      <c r="U682" s="98">
        <v>0</v>
      </c>
      <c r="V682" s="101">
        <f t="shared" si="497"/>
        <v>0</v>
      </c>
      <c r="W682" s="100">
        <v>0</v>
      </c>
      <c r="X682" s="98">
        <v>0</v>
      </c>
      <c r="Y682" s="147">
        <f t="shared" si="496"/>
        <v>0</v>
      </c>
      <c r="Z682" s="150"/>
    </row>
    <row r="683" spans="2:26" s="35" customFormat="1" ht="17.100000000000001" customHeight="1">
      <c r="B683" s="105"/>
      <c r="C683" s="54"/>
      <c r="D683" s="96"/>
      <c r="E683" s="111"/>
      <c r="F683" s="112"/>
      <c r="G683" s="113"/>
      <c r="H683" s="100">
        <v>0</v>
      </c>
      <c r="I683" s="98">
        <v>0</v>
      </c>
      <c r="J683" s="101">
        <f t="shared" si="492"/>
        <v>0</v>
      </c>
      <c r="K683" s="100">
        <v>0</v>
      </c>
      <c r="L683" s="98">
        <v>0</v>
      </c>
      <c r="M683" s="101">
        <f t="shared" si="493"/>
        <v>0</v>
      </c>
      <c r="N683" s="100">
        <v>0</v>
      </c>
      <c r="O683" s="98">
        <v>0</v>
      </c>
      <c r="P683" s="101">
        <f t="shared" si="494"/>
        <v>0</v>
      </c>
      <c r="Q683" s="100">
        <v>0</v>
      </c>
      <c r="R683" s="98">
        <v>0</v>
      </c>
      <c r="S683" s="101">
        <f t="shared" si="495"/>
        <v>0</v>
      </c>
      <c r="T683" s="100">
        <v>0</v>
      </c>
      <c r="U683" s="98">
        <v>0</v>
      </c>
      <c r="V683" s="101">
        <f t="shared" si="497"/>
        <v>0</v>
      </c>
      <c r="W683" s="100">
        <v>0</v>
      </c>
      <c r="X683" s="98">
        <v>0</v>
      </c>
      <c r="Y683" s="147">
        <f t="shared" si="496"/>
        <v>0</v>
      </c>
      <c r="Z683" s="150"/>
    </row>
    <row r="684" spans="2:26" s="126" customFormat="1" ht="17.100000000000001" customHeight="1">
      <c r="B684" s="118"/>
      <c r="C684" s="119"/>
      <c r="D684" s="120"/>
      <c r="E684" s="121"/>
      <c r="F684" s="122"/>
      <c r="G684" s="123"/>
      <c r="H684" s="341" t="s">
        <v>201</v>
      </c>
      <c r="I684" s="342"/>
      <c r="J684" s="124">
        <f>SUM(J677:J683)</f>
        <v>50</v>
      </c>
      <c r="K684" s="341" t="s">
        <v>201</v>
      </c>
      <c r="L684" s="342"/>
      <c r="M684" s="124">
        <f>SUM(M677:M683)</f>
        <v>0</v>
      </c>
      <c r="N684" s="341" t="s">
        <v>201</v>
      </c>
      <c r="O684" s="342"/>
      <c r="P684" s="124">
        <f>SUM(P677:P683)</f>
        <v>0</v>
      </c>
      <c r="Q684" s="341" t="s">
        <v>201</v>
      </c>
      <c r="R684" s="342"/>
      <c r="S684" s="124">
        <f>SUM(S677:S683)</f>
        <v>0</v>
      </c>
      <c r="T684" s="341" t="s">
        <v>201</v>
      </c>
      <c r="U684" s="342"/>
      <c r="V684" s="124">
        <f>SUM(V677:V683)</f>
        <v>0</v>
      </c>
      <c r="W684" s="341" t="s">
        <v>201</v>
      </c>
      <c r="X684" s="342"/>
      <c r="Y684" s="127">
        <f>SUM(Y677:Y683)</f>
        <v>0</v>
      </c>
      <c r="Z684" s="151"/>
    </row>
    <row r="685" spans="2:26" s="35" customFormat="1" ht="17.100000000000001" customHeight="1">
      <c r="B685" s="105"/>
      <c r="C685" s="54">
        <f>'2. Rekap Back Up Beton'!C104</f>
        <v>18100</v>
      </c>
      <c r="D685" s="96">
        <f>'2. Rekap Back Up Beton'!D104</f>
        <v>18200</v>
      </c>
      <c r="E685" s="111">
        <f>'2. Rekap Back Up Beton'!E104</f>
        <v>5</v>
      </c>
      <c r="F685" s="112">
        <f>(100/((D685-C685)*E685))*((J692*0.5)+(M692*1)+(P692*2)+(S692*20)+(V692*15)+(Y692*1.5))</f>
        <v>0</v>
      </c>
      <c r="G685" s="113" t="str">
        <f>IF(F685&lt;=25,"B",IF(F685&lt;=75,"S",IF(F685&lt;=100,"RR","RB")))</f>
        <v>B</v>
      </c>
      <c r="H685" s="100">
        <v>0</v>
      </c>
      <c r="I685" s="98">
        <v>0</v>
      </c>
      <c r="J685" s="101">
        <f t="shared" ref="J685:J691" si="498">H685*I685</f>
        <v>0</v>
      </c>
      <c r="K685" s="100">
        <v>0</v>
      </c>
      <c r="L685" s="98">
        <v>0</v>
      </c>
      <c r="M685" s="101">
        <f t="shared" ref="M685:M691" si="499">K685*L685</f>
        <v>0</v>
      </c>
      <c r="N685" s="100">
        <v>0</v>
      </c>
      <c r="O685" s="98">
        <v>4</v>
      </c>
      <c r="P685" s="101">
        <f t="shared" ref="P685:P691" si="500">N685*O685</f>
        <v>0</v>
      </c>
      <c r="Q685" s="100">
        <v>0</v>
      </c>
      <c r="R685" s="98">
        <v>0</v>
      </c>
      <c r="S685" s="101">
        <f t="shared" ref="S685:S691" si="501">Q685*R685</f>
        <v>0</v>
      </c>
      <c r="T685" s="100">
        <v>0</v>
      </c>
      <c r="U685" s="98">
        <v>0</v>
      </c>
      <c r="V685" s="101">
        <f>T685*U685</f>
        <v>0</v>
      </c>
      <c r="W685" s="100">
        <v>0</v>
      </c>
      <c r="X685" s="98">
        <v>0</v>
      </c>
      <c r="Y685" s="147">
        <f t="shared" ref="Y685:Y691" si="502">W685*X685</f>
        <v>0</v>
      </c>
      <c r="Z685" s="150"/>
    </row>
    <row r="686" spans="2:26" s="35" customFormat="1" ht="17.100000000000001" customHeight="1">
      <c r="B686" s="105"/>
      <c r="C686" s="54"/>
      <c r="D686" s="96"/>
      <c r="E686" s="111"/>
      <c r="F686" s="112"/>
      <c r="G686" s="113"/>
      <c r="H686" s="100">
        <v>0</v>
      </c>
      <c r="I686" s="98">
        <v>0</v>
      </c>
      <c r="J686" s="101">
        <f t="shared" si="498"/>
        <v>0</v>
      </c>
      <c r="K686" s="100">
        <v>0</v>
      </c>
      <c r="L686" s="98">
        <v>0</v>
      </c>
      <c r="M686" s="101">
        <f t="shared" si="499"/>
        <v>0</v>
      </c>
      <c r="N686" s="100">
        <v>0</v>
      </c>
      <c r="O686" s="98">
        <v>0</v>
      </c>
      <c r="P686" s="101">
        <f t="shared" si="500"/>
        <v>0</v>
      </c>
      <c r="Q686" s="100">
        <v>0</v>
      </c>
      <c r="R686" s="98">
        <v>0</v>
      </c>
      <c r="S686" s="101">
        <f t="shared" si="501"/>
        <v>0</v>
      </c>
      <c r="T686" s="100">
        <v>0</v>
      </c>
      <c r="U686" s="98">
        <v>0</v>
      </c>
      <c r="V686" s="101">
        <f t="shared" ref="V686:V691" si="503">T686*U686</f>
        <v>0</v>
      </c>
      <c r="W686" s="100">
        <v>0</v>
      </c>
      <c r="X686" s="98">
        <v>0</v>
      </c>
      <c r="Y686" s="147">
        <f t="shared" si="502"/>
        <v>0</v>
      </c>
      <c r="Z686" s="150"/>
    </row>
    <row r="687" spans="2:26" s="35" customFormat="1" ht="17.100000000000001" customHeight="1">
      <c r="B687" s="105"/>
      <c r="C687" s="54"/>
      <c r="D687" s="96"/>
      <c r="E687" s="111"/>
      <c r="F687" s="112"/>
      <c r="G687" s="113"/>
      <c r="H687" s="100">
        <v>0</v>
      </c>
      <c r="I687" s="98">
        <v>0</v>
      </c>
      <c r="J687" s="101">
        <f t="shared" si="498"/>
        <v>0</v>
      </c>
      <c r="K687" s="100">
        <v>0</v>
      </c>
      <c r="L687" s="98">
        <v>0</v>
      </c>
      <c r="M687" s="101">
        <f t="shared" si="499"/>
        <v>0</v>
      </c>
      <c r="N687" s="100">
        <v>0</v>
      </c>
      <c r="O687" s="98">
        <v>0</v>
      </c>
      <c r="P687" s="101">
        <f t="shared" si="500"/>
        <v>0</v>
      </c>
      <c r="Q687" s="100">
        <v>0</v>
      </c>
      <c r="R687" s="98">
        <v>0</v>
      </c>
      <c r="S687" s="101">
        <f t="shared" si="501"/>
        <v>0</v>
      </c>
      <c r="T687" s="100">
        <v>0</v>
      </c>
      <c r="U687" s="98">
        <v>0</v>
      </c>
      <c r="V687" s="101">
        <f t="shared" si="503"/>
        <v>0</v>
      </c>
      <c r="W687" s="100">
        <v>0</v>
      </c>
      <c r="X687" s="98">
        <v>0</v>
      </c>
      <c r="Y687" s="147">
        <f t="shared" si="502"/>
        <v>0</v>
      </c>
      <c r="Z687" s="150"/>
    </row>
    <row r="688" spans="2:26" s="35" customFormat="1" ht="17.100000000000001" customHeight="1">
      <c r="B688" s="105"/>
      <c r="C688" s="54"/>
      <c r="D688" s="96"/>
      <c r="E688" s="111"/>
      <c r="F688" s="112"/>
      <c r="G688" s="113"/>
      <c r="H688" s="100">
        <v>0</v>
      </c>
      <c r="I688" s="98">
        <v>0</v>
      </c>
      <c r="J688" s="101">
        <f t="shared" si="498"/>
        <v>0</v>
      </c>
      <c r="K688" s="100">
        <v>0</v>
      </c>
      <c r="L688" s="98">
        <v>0</v>
      </c>
      <c r="M688" s="101">
        <f t="shared" si="499"/>
        <v>0</v>
      </c>
      <c r="N688" s="100">
        <v>0</v>
      </c>
      <c r="O688" s="98">
        <v>0</v>
      </c>
      <c r="P688" s="101">
        <f t="shared" si="500"/>
        <v>0</v>
      </c>
      <c r="Q688" s="100">
        <v>0</v>
      </c>
      <c r="R688" s="98">
        <v>0</v>
      </c>
      <c r="S688" s="101">
        <f t="shared" si="501"/>
        <v>0</v>
      </c>
      <c r="T688" s="100">
        <v>0</v>
      </c>
      <c r="U688" s="98">
        <v>0</v>
      </c>
      <c r="V688" s="101">
        <f t="shared" si="503"/>
        <v>0</v>
      </c>
      <c r="W688" s="100">
        <v>0</v>
      </c>
      <c r="X688" s="98">
        <v>0</v>
      </c>
      <c r="Y688" s="147">
        <f t="shared" si="502"/>
        <v>0</v>
      </c>
      <c r="Z688" s="150"/>
    </row>
    <row r="689" spans="2:26" s="35" customFormat="1" ht="17.100000000000001" customHeight="1">
      <c r="B689" s="105"/>
      <c r="C689" s="54"/>
      <c r="D689" s="96"/>
      <c r="E689" s="111"/>
      <c r="F689" s="112"/>
      <c r="G689" s="113"/>
      <c r="H689" s="100">
        <v>0</v>
      </c>
      <c r="I689" s="98">
        <v>0</v>
      </c>
      <c r="J689" s="101">
        <f t="shared" si="498"/>
        <v>0</v>
      </c>
      <c r="K689" s="100">
        <v>0</v>
      </c>
      <c r="L689" s="98">
        <v>0</v>
      </c>
      <c r="M689" s="101">
        <f t="shared" si="499"/>
        <v>0</v>
      </c>
      <c r="N689" s="100">
        <v>0</v>
      </c>
      <c r="O689" s="98">
        <v>0</v>
      </c>
      <c r="P689" s="101">
        <f t="shared" si="500"/>
        <v>0</v>
      </c>
      <c r="Q689" s="100">
        <v>0</v>
      </c>
      <c r="R689" s="98">
        <v>0</v>
      </c>
      <c r="S689" s="101">
        <f t="shared" si="501"/>
        <v>0</v>
      </c>
      <c r="T689" s="100">
        <v>0</v>
      </c>
      <c r="U689" s="98">
        <v>0</v>
      </c>
      <c r="V689" s="101">
        <f t="shared" si="503"/>
        <v>0</v>
      </c>
      <c r="W689" s="100">
        <v>0</v>
      </c>
      <c r="X689" s="98">
        <v>0</v>
      </c>
      <c r="Y689" s="147">
        <f t="shared" si="502"/>
        <v>0</v>
      </c>
      <c r="Z689" s="150"/>
    </row>
    <row r="690" spans="2:26" s="35" customFormat="1" ht="17.100000000000001" customHeight="1">
      <c r="B690" s="105"/>
      <c r="C690" s="54"/>
      <c r="D690" s="96"/>
      <c r="E690" s="111"/>
      <c r="F690" s="112"/>
      <c r="G690" s="113"/>
      <c r="H690" s="100">
        <v>0</v>
      </c>
      <c r="I690" s="98">
        <v>0</v>
      </c>
      <c r="J690" s="101">
        <f t="shared" si="498"/>
        <v>0</v>
      </c>
      <c r="K690" s="100">
        <v>0</v>
      </c>
      <c r="L690" s="98">
        <v>0</v>
      </c>
      <c r="M690" s="101">
        <f t="shared" si="499"/>
        <v>0</v>
      </c>
      <c r="N690" s="100">
        <v>0</v>
      </c>
      <c r="O690" s="98">
        <v>0</v>
      </c>
      <c r="P690" s="101">
        <f t="shared" si="500"/>
        <v>0</v>
      </c>
      <c r="Q690" s="100">
        <v>0</v>
      </c>
      <c r="R690" s="98">
        <v>0</v>
      </c>
      <c r="S690" s="101">
        <f t="shared" si="501"/>
        <v>0</v>
      </c>
      <c r="T690" s="100">
        <v>0</v>
      </c>
      <c r="U690" s="98">
        <v>0</v>
      </c>
      <c r="V690" s="101">
        <f t="shared" si="503"/>
        <v>0</v>
      </c>
      <c r="W690" s="100">
        <v>0</v>
      </c>
      <c r="X690" s="98">
        <v>0</v>
      </c>
      <c r="Y690" s="147">
        <f t="shared" si="502"/>
        <v>0</v>
      </c>
      <c r="Z690" s="150"/>
    </row>
    <row r="691" spans="2:26" s="35" customFormat="1" ht="17.100000000000001" customHeight="1">
      <c r="B691" s="105"/>
      <c r="C691" s="54"/>
      <c r="D691" s="96"/>
      <c r="E691" s="111"/>
      <c r="F691" s="112"/>
      <c r="G691" s="113"/>
      <c r="H691" s="100">
        <v>0</v>
      </c>
      <c r="I691" s="98">
        <v>0</v>
      </c>
      <c r="J691" s="101">
        <f t="shared" si="498"/>
        <v>0</v>
      </c>
      <c r="K691" s="100">
        <v>0</v>
      </c>
      <c r="L691" s="98">
        <v>0</v>
      </c>
      <c r="M691" s="101">
        <f t="shared" si="499"/>
        <v>0</v>
      </c>
      <c r="N691" s="100">
        <v>0</v>
      </c>
      <c r="O691" s="98">
        <v>0</v>
      </c>
      <c r="P691" s="101">
        <f t="shared" si="500"/>
        <v>0</v>
      </c>
      <c r="Q691" s="100">
        <v>0</v>
      </c>
      <c r="R691" s="98">
        <v>0</v>
      </c>
      <c r="S691" s="101">
        <f t="shared" si="501"/>
        <v>0</v>
      </c>
      <c r="T691" s="100">
        <v>0</v>
      </c>
      <c r="U691" s="98">
        <v>0</v>
      </c>
      <c r="V691" s="101">
        <f t="shared" si="503"/>
        <v>0</v>
      </c>
      <c r="W691" s="100">
        <v>0</v>
      </c>
      <c r="X691" s="98">
        <v>0</v>
      </c>
      <c r="Y691" s="147">
        <f t="shared" si="502"/>
        <v>0</v>
      </c>
      <c r="Z691" s="150"/>
    </row>
    <row r="692" spans="2:26" s="126" customFormat="1" ht="17.100000000000001" customHeight="1">
      <c r="B692" s="118"/>
      <c r="C692" s="119"/>
      <c r="D692" s="120"/>
      <c r="E692" s="121"/>
      <c r="F692" s="122"/>
      <c r="G692" s="123"/>
      <c r="H692" s="341" t="s">
        <v>201</v>
      </c>
      <c r="I692" s="342"/>
      <c r="J692" s="124">
        <f>SUM(J685:J691)</f>
        <v>0</v>
      </c>
      <c r="K692" s="341" t="s">
        <v>201</v>
      </c>
      <c r="L692" s="342"/>
      <c r="M692" s="124">
        <f>SUM(M685:M691)</f>
        <v>0</v>
      </c>
      <c r="N692" s="341" t="s">
        <v>201</v>
      </c>
      <c r="O692" s="342"/>
      <c r="P692" s="124">
        <f>SUM(P685:P691)</f>
        <v>0</v>
      </c>
      <c r="Q692" s="341" t="s">
        <v>201</v>
      </c>
      <c r="R692" s="342"/>
      <c r="S692" s="124">
        <f>SUM(S685:S691)</f>
        <v>0</v>
      </c>
      <c r="T692" s="341" t="s">
        <v>201</v>
      </c>
      <c r="U692" s="342"/>
      <c r="V692" s="124">
        <f>SUM(V685:V691)</f>
        <v>0</v>
      </c>
      <c r="W692" s="341" t="s">
        <v>201</v>
      </c>
      <c r="X692" s="342"/>
      <c r="Y692" s="127">
        <f>SUM(Y685:Y691)</f>
        <v>0</v>
      </c>
      <c r="Z692" s="151"/>
    </row>
    <row r="693" spans="2:26" s="35" customFormat="1" ht="17.100000000000001" customHeight="1">
      <c r="B693" s="105"/>
      <c r="C693" s="54">
        <f>'2. Rekap Back Up Beton'!C105</f>
        <v>18200</v>
      </c>
      <c r="D693" s="96">
        <f>'2. Rekap Back Up Beton'!D105</f>
        <v>18300</v>
      </c>
      <c r="E693" s="111">
        <f>'2. Rekap Back Up Beton'!E105</f>
        <v>5</v>
      </c>
      <c r="F693" s="112">
        <f>(100/((D693-C693)*E693))*((J700*0.5)+(M700*1)+(P700*2)+(S700*20)+(V700*15)+(Y700*1.5))</f>
        <v>0</v>
      </c>
      <c r="G693" s="113" t="str">
        <f>IF(F693&lt;=25,"B",IF(F693&lt;=75,"S",IF(F693&lt;=100,"RR","RB")))</f>
        <v>B</v>
      </c>
      <c r="H693" s="100">
        <v>0</v>
      </c>
      <c r="I693" s="98">
        <v>0</v>
      </c>
      <c r="J693" s="101">
        <f t="shared" ref="J693:J699" si="504">H693*I693</f>
        <v>0</v>
      </c>
      <c r="K693" s="100">
        <v>0</v>
      </c>
      <c r="L693" s="98">
        <v>0</v>
      </c>
      <c r="M693" s="101">
        <f t="shared" ref="M693:M699" si="505">K693*L693</f>
        <v>0</v>
      </c>
      <c r="N693" s="100">
        <v>0</v>
      </c>
      <c r="O693" s="98">
        <v>4</v>
      </c>
      <c r="P693" s="101">
        <f t="shared" ref="P693:P699" si="506">N693*O693</f>
        <v>0</v>
      </c>
      <c r="Q693" s="100">
        <v>0</v>
      </c>
      <c r="R693" s="98">
        <v>0</v>
      </c>
      <c r="S693" s="101">
        <f t="shared" ref="S693:S699" si="507">Q693*R693</f>
        <v>0</v>
      </c>
      <c r="T693" s="100">
        <v>0</v>
      </c>
      <c r="U693" s="98">
        <v>0</v>
      </c>
      <c r="V693" s="101">
        <f>T693*U693</f>
        <v>0</v>
      </c>
      <c r="W693" s="100">
        <v>0</v>
      </c>
      <c r="X693" s="98">
        <v>0</v>
      </c>
      <c r="Y693" s="147">
        <f t="shared" ref="Y693:Y699" si="508">W693*X693</f>
        <v>0</v>
      </c>
      <c r="Z693" s="150"/>
    </row>
    <row r="694" spans="2:26" s="35" customFormat="1" ht="17.100000000000001" customHeight="1">
      <c r="B694" s="105"/>
      <c r="C694" s="54"/>
      <c r="D694" s="96"/>
      <c r="E694" s="111"/>
      <c r="F694" s="112"/>
      <c r="G694" s="113"/>
      <c r="H694" s="100">
        <v>0</v>
      </c>
      <c r="I694" s="98">
        <v>0</v>
      </c>
      <c r="J694" s="101">
        <f t="shared" si="504"/>
        <v>0</v>
      </c>
      <c r="K694" s="100">
        <v>0</v>
      </c>
      <c r="L694" s="98">
        <v>0</v>
      </c>
      <c r="M694" s="101">
        <f t="shared" si="505"/>
        <v>0</v>
      </c>
      <c r="N694" s="100">
        <v>0</v>
      </c>
      <c r="O694" s="98">
        <v>0</v>
      </c>
      <c r="P694" s="101">
        <f t="shared" si="506"/>
        <v>0</v>
      </c>
      <c r="Q694" s="100">
        <v>0</v>
      </c>
      <c r="R694" s="98">
        <v>0</v>
      </c>
      <c r="S694" s="101">
        <f t="shared" si="507"/>
        <v>0</v>
      </c>
      <c r="T694" s="100">
        <v>0</v>
      </c>
      <c r="U694" s="98">
        <v>0</v>
      </c>
      <c r="V694" s="101">
        <f t="shared" ref="V694:V699" si="509">T694*U694</f>
        <v>0</v>
      </c>
      <c r="W694" s="100">
        <v>0</v>
      </c>
      <c r="X694" s="98">
        <v>0</v>
      </c>
      <c r="Y694" s="147">
        <f t="shared" si="508"/>
        <v>0</v>
      </c>
      <c r="Z694" s="150"/>
    </row>
    <row r="695" spans="2:26" s="35" customFormat="1" ht="17.100000000000001" customHeight="1">
      <c r="B695" s="105"/>
      <c r="C695" s="54"/>
      <c r="D695" s="96"/>
      <c r="E695" s="111"/>
      <c r="F695" s="112"/>
      <c r="G695" s="113"/>
      <c r="H695" s="100">
        <v>0</v>
      </c>
      <c r="I695" s="98">
        <v>0</v>
      </c>
      <c r="J695" s="101">
        <f t="shared" si="504"/>
        <v>0</v>
      </c>
      <c r="K695" s="100">
        <v>0</v>
      </c>
      <c r="L695" s="98">
        <v>0</v>
      </c>
      <c r="M695" s="101">
        <f t="shared" si="505"/>
        <v>0</v>
      </c>
      <c r="N695" s="100">
        <v>0</v>
      </c>
      <c r="O695" s="98">
        <v>0</v>
      </c>
      <c r="P695" s="101">
        <f t="shared" si="506"/>
        <v>0</v>
      </c>
      <c r="Q695" s="100">
        <v>0</v>
      </c>
      <c r="R695" s="98">
        <v>0</v>
      </c>
      <c r="S695" s="101">
        <f t="shared" si="507"/>
        <v>0</v>
      </c>
      <c r="T695" s="100">
        <v>0</v>
      </c>
      <c r="U695" s="98">
        <v>0</v>
      </c>
      <c r="V695" s="101">
        <f t="shared" si="509"/>
        <v>0</v>
      </c>
      <c r="W695" s="100">
        <v>0</v>
      </c>
      <c r="X695" s="98">
        <v>0</v>
      </c>
      <c r="Y695" s="147">
        <f t="shared" si="508"/>
        <v>0</v>
      </c>
      <c r="Z695" s="150"/>
    </row>
    <row r="696" spans="2:26" s="35" customFormat="1" ht="17.100000000000001" customHeight="1">
      <c r="B696" s="105"/>
      <c r="C696" s="54"/>
      <c r="D696" s="96"/>
      <c r="E696" s="111"/>
      <c r="F696" s="112"/>
      <c r="G696" s="113"/>
      <c r="H696" s="100">
        <v>0</v>
      </c>
      <c r="I696" s="98">
        <v>0</v>
      </c>
      <c r="J696" s="101">
        <f t="shared" si="504"/>
        <v>0</v>
      </c>
      <c r="K696" s="100">
        <v>0</v>
      </c>
      <c r="L696" s="98">
        <v>0</v>
      </c>
      <c r="M696" s="101">
        <f t="shared" si="505"/>
        <v>0</v>
      </c>
      <c r="N696" s="100">
        <v>0</v>
      </c>
      <c r="O696" s="98">
        <v>0</v>
      </c>
      <c r="P696" s="101">
        <f t="shared" si="506"/>
        <v>0</v>
      </c>
      <c r="Q696" s="100">
        <v>0</v>
      </c>
      <c r="R696" s="98">
        <v>0</v>
      </c>
      <c r="S696" s="101">
        <f t="shared" si="507"/>
        <v>0</v>
      </c>
      <c r="T696" s="100">
        <v>0</v>
      </c>
      <c r="U696" s="98">
        <v>0</v>
      </c>
      <c r="V696" s="101">
        <f t="shared" si="509"/>
        <v>0</v>
      </c>
      <c r="W696" s="100">
        <v>0</v>
      </c>
      <c r="X696" s="98">
        <v>0</v>
      </c>
      <c r="Y696" s="147">
        <f t="shared" si="508"/>
        <v>0</v>
      </c>
      <c r="Z696" s="150"/>
    </row>
    <row r="697" spans="2:26" s="35" customFormat="1" ht="17.100000000000001" customHeight="1">
      <c r="B697" s="105"/>
      <c r="C697" s="54"/>
      <c r="D697" s="96"/>
      <c r="E697" s="111"/>
      <c r="F697" s="112"/>
      <c r="G697" s="113"/>
      <c r="H697" s="100">
        <v>0</v>
      </c>
      <c r="I697" s="98">
        <v>0</v>
      </c>
      <c r="J697" s="101">
        <f t="shared" si="504"/>
        <v>0</v>
      </c>
      <c r="K697" s="100">
        <v>0</v>
      </c>
      <c r="L697" s="98">
        <v>0</v>
      </c>
      <c r="M697" s="101">
        <f t="shared" si="505"/>
        <v>0</v>
      </c>
      <c r="N697" s="100">
        <v>0</v>
      </c>
      <c r="O697" s="98">
        <v>0</v>
      </c>
      <c r="P697" s="101">
        <f t="shared" si="506"/>
        <v>0</v>
      </c>
      <c r="Q697" s="100">
        <v>0</v>
      </c>
      <c r="R697" s="98">
        <v>0</v>
      </c>
      <c r="S697" s="101">
        <f t="shared" si="507"/>
        <v>0</v>
      </c>
      <c r="T697" s="100">
        <v>0</v>
      </c>
      <c r="U697" s="98">
        <v>0</v>
      </c>
      <c r="V697" s="101">
        <f t="shared" si="509"/>
        <v>0</v>
      </c>
      <c r="W697" s="100">
        <v>0</v>
      </c>
      <c r="X697" s="98">
        <v>0</v>
      </c>
      <c r="Y697" s="147">
        <f t="shared" si="508"/>
        <v>0</v>
      </c>
      <c r="Z697" s="150"/>
    </row>
    <row r="698" spans="2:26" s="35" customFormat="1" ht="17.100000000000001" customHeight="1">
      <c r="B698" s="105"/>
      <c r="C698" s="54"/>
      <c r="D698" s="96"/>
      <c r="E698" s="111"/>
      <c r="F698" s="112"/>
      <c r="G698" s="113"/>
      <c r="H698" s="100">
        <v>0</v>
      </c>
      <c r="I698" s="98">
        <v>0</v>
      </c>
      <c r="J698" s="101">
        <f t="shared" si="504"/>
        <v>0</v>
      </c>
      <c r="K698" s="100">
        <v>0</v>
      </c>
      <c r="L698" s="98">
        <v>0</v>
      </c>
      <c r="M698" s="101">
        <f t="shared" si="505"/>
        <v>0</v>
      </c>
      <c r="N698" s="100">
        <v>0</v>
      </c>
      <c r="O698" s="98">
        <v>0</v>
      </c>
      <c r="P698" s="101">
        <f t="shared" si="506"/>
        <v>0</v>
      </c>
      <c r="Q698" s="100">
        <v>0</v>
      </c>
      <c r="R698" s="98">
        <v>0</v>
      </c>
      <c r="S698" s="101">
        <f t="shared" si="507"/>
        <v>0</v>
      </c>
      <c r="T698" s="100">
        <v>0</v>
      </c>
      <c r="U698" s="98">
        <v>0</v>
      </c>
      <c r="V698" s="101">
        <f t="shared" si="509"/>
        <v>0</v>
      </c>
      <c r="W698" s="100">
        <v>0</v>
      </c>
      <c r="X698" s="98">
        <v>0</v>
      </c>
      <c r="Y698" s="147">
        <f t="shared" si="508"/>
        <v>0</v>
      </c>
      <c r="Z698" s="150"/>
    </row>
    <row r="699" spans="2:26" s="35" customFormat="1" ht="17.100000000000001" customHeight="1">
      <c r="B699" s="105"/>
      <c r="C699" s="54"/>
      <c r="D699" s="96"/>
      <c r="E699" s="111"/>
      <c r="F699" s="112"/>
      <c r="G699" s="113"/>
      <c r="H699" s="100">
        <v>0</v>
      </c>
      <c r="I699" s="98">
        <v>0</v>
      </c>
      <c r="J699" s="101">
        <f t="shared" si="504"/>
        <v>0</v>
      </c>
      <c r="K699" s="100">
        <v>0</v>
      </c>
      <c r="L699" s="98">
        <v>0</v>
      </c>
      <c r="M699" s="101">
        <f t="shared" si="505"/>
        <v>0</v>
      </c>
      <c r="N699" s="100">
        <v>0</v>
      </c>
      <c r="O699" s="98">
        <v>0</v>
      </c>
      <c r="P699" s="101">
        <f t="shared" si="506"/>
        <v>0</v>
      </c>
      <c r="Q699" s="100">
        <v>0</v>
      </c>
      <c r="R699" s="98">
        <v>0</v>
      </c>
      <c r="S699" s="101">
        <f t="shared" si="507"/>
        <v>0</v>
      </c>
      <c r="T699" s="100">
        <v>0</v>
      </c>
      <c r="U699" s="98">
        <v>0</v>
      </c>
      <c r="V699" s="101">
        <f t="shared" si="509"/>
        <v>0</v>
      </c>
      <c r="W699" s="100">
        <v>0</v>
      </c>
      <c r="X699" s="98">
        <v>0</v>
      </c>
      <c r="Y699" s="147">
        <f t="shared" si="508"/>
        <v>0</v>
      </c>
      <c r="Z699" s="150"/>
    </row>
    <row r="700" spans="2:26" s="126" customFormat="1" ht="17.100000000000001" customHeight="1" thickBot="1">
      <c r="B700" s="128"/>
      <c r="C700" s="154"/>
      <c r="D700" s="155"/>
      <c r="E700" s="156"/>
      <c r="F700" s="129"/>
      <c r="G700" s="130"/>
      <c r="H700" s="344" t="s">
        <v>201</v>
      </c>
      <c r="I700" s="345"/>
      <c r="J700" s="131">
        <f>SUM(J693:J699)</f>
        <v>0</v>
      </c>
      <c r="K700" s="344" t="s">
        <v>201</v>
      </c>
      <c r="L700" s="345"/>
      <c r="M700" s="131">
        <f>SUM(M693:M699)</f>
        <v>0</v>
      </c>
      <c r="N700" s="344" t="s">
        <v>201</v>
      </c>
      <c r="O700" s="345"/>
      <c r="P700" s="131">
        <f>SUM(P693:P699)</f>
        <v>0</v>
      </c>
      <c r="Q700" s="344" t="s">
        <v>201</v>
      </c>
      <c r="R700" s="345"/>
      <c r="S700" s="131">
        <f>SUM(S693:S699)</f>
        <v>0</v>
      </c>
      <c r="T700" s="344" t="s">
        <v>201</v>
      </c>
      <c r="U700" s="345"/>
      <c r="V700" s="131">
        <f>SUM(V693:V699)</f>
        <v>0</v>
      </c>
      <c r="W700" s="344" t="s">
        <v>201</v>
      </c>
      <c r="X700" s="345"/>
      <c r="Y700" s="132">
        <f>SUM(Y693:Y699)</f>
        <v>0</v>
      </c>
      <c r="Z700" s="152"/>
    </row>
    <row r="701" spans="2:26" s="35" customFormat="1" ht="17.100000000000001" customHeight="1">
      <c r="B701" s="114"/>
      <c r="C701" s="157">
        <f>'2. Rekap Back Up Beton'!C106</f>
        <v>18300</v>
      </c>
      <c r="D701" s="158">
        <f>'2. Rekap Back Up Beton'!D106</f>
        <v>18400</v>
      </c>
      <c r="E701" s="159">
        <f>'2. Rekap Back Up Beton'!E106</f>
        <v>5</v>
      </c>
      <c r="F701" s="115">
        <f>(100/((D701-C701)*E701))*((J708*0.5)+(M708*1)+(P708*2)+(S708*20)+(V708*15)+(Y708*1.5))</f>
        <v>0</v>
      </c>
      <c r="G701" s="116" t="str">
        <f>IF(F701&lt;=25,"B",IF(F701&lt;=75,"S",IF(F701&lt;=100,"RR","RB")))</f>
        <v>B</v>
      </c>
      <c r="H701" s="135">
        <v>0</v>
      </c>
      <c r="I701" s="136">
        <v>0</v>
      </c>
      <c r="J701" s="137">
        <f t="shared" ref="J701:J707" si="510">H701*I701</f>
        <v>0</v>
      </c>
      <c r="K701" s="135">
        <v>0</v>
      </c>
      <c r="L701" s="136">
        <v>0</v>
      </c>
      <c r="M701" s="137">
        <f t="shared" ref="M701:M707" si="511">K701*L701</f>
        <v>0</v>
      </c>
      <c r="N701" s="135">
        <v>0</v>
      </c>
      <c r="O701" s="136">
        <v>4</v>
      </c>
      <c r="P701" s="137">
        <f t="shared" ref="P701:P707" si="512">N701*O701</f>
        <v>0</v>
      </c>
      <c r="Q701" s="135">
        <v>0</v>
      </c>
      <c r="R701" s="136">
        <v>0</v>
      </c>
      <c r="S701" s="137">
        <f t="shared" ref="S701:S707" si="513">Q701*R701</f>
        <v>0</v>
      </c>
      <c r="T701" s="135">
        <v>0</v>
      </c>
      <c r="U701" s="136">
        <v>0</v>
      </c>
      <c r="V701" s="137">
        <f>T701*U701</f>
        <v>0</v>
      </c>
      <c r="W701" s="135">
        <v>0</v>
      </c>
      <c r="X701" s="136">
        <v>0</v>
      </c>
      <c r="Y701" s="148">
        <f t="shared" ref="Y701:Y707" si="514">W701*X701</f>
        <v>0</v>
      </c>
      <c r="Z701" s="153"/>
    </row>
    <row r="702" spans="2:26" s="35" customFormat="1" ht="17.100000000000001" customHeight="1">
      <c r="B702" s="105"/>
      <c r="C702" s="54"/>
      <c r="D702" s="96"/>
      <c r="E702" s="111"/>
      <c r="F702" s="112"/>
      <c r="G702" s="113"/>
      <c r="H702" s="100">
        <v>0</v>
      </c>
      <c r="I702" s="98">
        <v>0</v>
      </c>
      <c r="J702" s="101">
        <f t="shared" si="510"/>
        <v>0</v>
      </c>
      <c r="K702" s="100">
        <v>0</v>
      </c>
      <c r="L702" s="98">
        <v>0</v>
      </c>
      <c r="M702" s="101">
        <f t="shared" si="511"/>
        <v>0</v>
      </c>
      <c r="N702" s="100">
        <v>0</v>
      </c>
      <c r="O702" s="98">
        <v>0</v>
      </c>
      <c r="P702" s="101">
        <f t="shared" si="512"/>
        <v>0</v>
      </c>
      <c r="Q702" s="100">
        <v>0</v>
      </c>
      <c r="R702" s="98">
        <v>0</v>
      </c>
      <c r="S702" s="101">
        <f t="shared" si="513"/>
        <v>0</v>
      </c>
      <c r="T702" s="100">
        <v>0</v>
      </c>
      <c r="U702" s="98">
        <v>0</v>
      </c>
      <c r="V702" s="101">
        <f t="shared" ref="V702:V707" si="515">T702*U702</f>
        <v>0</v>
      </c>
      <c r="W702" s="100">
        <v>0</v>
      </c>
      <c r="X702" s="98">
        <v>0</v>
      </c>
      <c r="Y702" s="147">
        <f t="shared" si="514"/>
        <v>0</v>
      </c>
      <c r="Z702" s="150"/>
    </row>
    <row r="703" spans="2:26" s="35" customFormat="1" ht="17.100000000000001" customHeight="1">
      <c r="B703" s="105"/>
      <c r="C703" s="54"/>
      <c r="D703" s="96"/>
      <c r="E703" s="111"/>
      <c r="F703" s="112"/>
      <c r="G703" s="113"/>
      <c r="H703" s="100">
        <v>0</v>
      </c>
      <c r="I703" s="98">
        <v>0</v>
      </c>
      <c r="J703" s="101">
        <f t="shared" si="510"/>
        <v>0</v>
      </c>
      <c r="K703" s="100">
        <v>0</v>
      </c>
      <c r="L703" s="98">
        <v>0</v>
      </c>
      <c r="M703" s="101">
        <f t="shared" si="511"/>
        <v>0</v>
      </c>
      <c r="N703" s="100">
        <v>0</v>
      </c>
      <c r="O703" s="98">
        <v>0</v>
      </c>
      <c r="P703" s="101">
        <f t="shared" si="512"/>
        <v>0</v>
      </c>
      <c r="Q703" s="100">
        <v>0</v>
      </c>
      <c r="R703" s="98">
        <v>0</v>
      </c>
      <c r="S703" s="101">
        <f t="shared" si="513"/>
        <v>0</v>
      </c>
      <c r="T703" s="100">
        <v>0</v>
      </c>
      <c r="U703" s="98">
        <v>0</v>
      </c>
      <c r="V703" s="101">
        <f t="shared" si="515"/>
        <v>0</v>
      </c>
      <c r="W703" s="100">
        <v>0</v>
      </c>
      <c r="X703" s="98">
        <v>0</v>
      </c>
      <c r="Y703" s="147">
        <f t="shared" si="514"/>
        <v>0</v>
      </c>
      <c r="Z703" s="150"/>
    </row>
    <row r="704" spans="2:26" s="35" customFormat="1" ht="17.100000000000001" customHeight="1">
      <c r="B704" s="105"/>
      <c r="C704" s="54"/>
      <c r="D704" s="96"/>
      <c r="E704" s="111"/>
      <c r="F704" s="112"/>
      <c r="G704" s="113"/>
      <c r="H704" s="100">
        <v>0</v>
      </c>
      <c r="I704" s="98">
        <v>0</v>
      </c>
      <c r="J704" s="101">
        <f t="shared" si="510"/>
        <v>0</v>
      </c>
      <c r="K704" s="100">
        <v>0</v>
      </c>
      <c r="L704" s="98">
        <v>0</v>
      </c>
      <c r="M704" s="101">
        <f t="shared" si="511"/>
        <v>0</v>
      </c>
      <c r="N704" s="100">
        <v>0</v>
      </c>
      <c r="O704" s="98">
        <v>0</v>
      </c>
      <c r="P704" s="101">
        <f t="shared" si="512"/>
        <v>0</v>
      </c>
      <c r="Q704" s="100">
        <v>0</v>
      </c>
      <c r="R704" s="98">
        <v>0</v>
      </c>
      <c r="S704" s="101">
        <f t="shared" si="513"/>
        <v>0</v>
      </c>
      <c r="T704" s="100">
        <v>0</v>
      </c>
      <c r="U704" s="98">
        <v>0</v>
      </c>
      <c r="V704" s="101">
        <f t="shared" si="515"/>
        <v>0</v>
      </c>
      <c r="W704" s="100">
        <v>0</v>
      </c>
      <c r="X704" s="98">
        <v>0</v>
      </c>
      <c r="Y704" s="147">
        <f t="shared" si="514"/>
        <v>0</v>
      </c>
      <c r="Z704" s="150"/>
    </row>
    <row r="705" spans="2:26" s="35" customFormat="1" ht="17.100000000000001" customHeight="1">
      <c r="B705" s="105"/>
      <c r="C705" s="54"/>
      <c r="D705" s="96"/>
      <c r="E705" s="111"/>
      <c r="F705" s="112"/>
      <c r="G705" s="113"/>
      <c r="H705" s="100">
        <v>0</v>
      </c>
      <c r="I705" s="98">
        <v>0</v>
      </c>
      <c r="J705" s="101">
        <f t="shared" si="510"/>
        <v>0</v>
      </c>
      <c r="K705" s="100">
        <v>0</v>
      </c>
      <c r="L705" s="98">
        <v>0</v>
      </c>
      <c r="M705" s="101">
        <f t="shared" si="511"/>
        <v>0</v>
      </c>
      <c r="N705" s="100">
        <v>0</v>
      </c>
      <c r="O705" s="98">
        <v>0</v>
      </c>
      <c r="P705" s="101">
        <f t="shared" si="512"/>
        <v>0</v>
      </c>
      <c r="Q705" s="100">
        <v>0</v>
      </c>
      <c r="R705" s="98">
        <v>0</v>
      </c>
      <c r="S705" s="101">
        <f t="shared" si="513"/>
        <v>0</v>
      </c>
      <c r="T705" s="100">
        <v>0</v>
      </c>
      <c r="U705" s="98">
        <v>0</v>
      </c>
      <c r="V705" s="101">
        <f t="shared" si="515"/>
        <v>0</v>
      </c>
      <c r="W705" s="100">
        <v>0</v>
      </c>
      <c r="X705" s="98">
        <v>0</v>
      </c>
      <c r="Y705" s="147">
        <f t="shared" si="514"/>
        <v>0</v>
      </c>
      <c r="Z705" s="150"/>
    </row>
    <row r="706" spans="2:26" s="35" customFormat="1" ht="17.100000000000001" customHeight="1">
      <c r="B706" s="105"/>
      <c r="C706" s="54"/>
      <c r="D706" s="96"/>
      <c r="E706" s="111"/>
      <c r="F706" s="112"/>
      <c r="G706" s="113"/>
      <c r="H706" s="100">
        <v>0</v>
      </c>
      <c r="I706" s="98">
        <v>0</v>
      </c>
      <c r="J706" s="101">
        <f t="shared" si="510"/>
        <v>0</v>
      </c>
      <c r="K706" s="100">
        <v>0</v>
      </c>
      <c r="L706" s="98">
        <v>0</v>
      </c>
      <c r="M706" s="101">
        <f t="shared" si="511"/>
        <v>0</v>
      </c>
      <c r="N706" s="100">
        <v>0</v>
      </c>
      <c r="O706" s="98">
        <v>0</v>
      </c>
      <c r="P706" s="101">
        <f t="shared" si="512"/>
        <v>0</v>
      </c>
      <c r="Q706" s="100">
        <v>0</v>
      </c>
      <c r="R706" s="98">
        <v>0</v>
      </c>
      <c r="S706" s="101">
        <f t="shared" si="513"/>
        <v>0</v>
      </c>
      <c r="T706" s="100">
        <v>0</v>
      </c>
      <c r="U706" s="98">
        <v>0</v>
      </c>
      <c r="V706" s="101">
        <f t="shared" si="515"/>
        <v>0</v>
      </c>
      <c r="W706" s="100">
        <v>0</v>
      </c>
      <c r="X706" s="98">
        <v>0</v>
      </c>
      <c r="Y706" s="147">
        <f t="shared" si="514"/>
        <v>0</v>
      </c>
      <c r="Z706" s="150"/>
    </row>
    <row r="707" spans="2:26" s="35" customFormat="1" ht="17.100000000000001" customHeight="1">
      <c r="B707" s="105"/>
      <c r="C707" s="54"/>
      <c r="D707" s="96"/>
      <c r="E707" s="111"/>
      <c r="F707" s="112"/>
      <c r="G707" s="113"/>
      <c r="H707" s="100">
        <v>0</v>
      </c>
      <c r="I707" s="98">
        <v>0</v>
      </c>
      <c r="J707" s="101">
        <f t="shared" si="510"/>
        <v>0</v>
      </c>
      <c r="K707" s="100">
        <v>0</v>
      </c>
      <c r="L707" s="98">
        <v>0</v>
      </c>
      <c r="M707" s="101">
        <f t="shared" si="511"/>
        <v>0</v>
      </c>
      <c r="N707" s="100">
        <v>0</v>
      </c>
      <c r="O707" s="98">
        <v>0</v>
      </c>
      <c r="P707" s="101">
        <f t="shared" si="512"/>
        <v>0</v>
      </c>
      <c r="Q707" s="100">
        <v>0</v>
      </c>
      <c r="R707" s="98">
        <v>0</v>
      </c>
      <c r="S707" s="101">
        <f t="shared" si="513"/>
        <v>0</v>
      </c>
      <c r="T707" s="100">
        <v>0</v>
      </c>
      <c r="U707" s="98">
        <v>0</v>
      </c>
      <c r="V707" s="101">
        <f t="shared" si="515"/>
        <v>0</v>
      </c>
      <c r="W707" s="100">
        <v>0</v>
      </c>
      <c r="X707" s="98">
        <v>0</v>
      </c>
      <c r="Y707" s="147">
        <f t="shared" si="514"/>
        <v>0</v>
      </c>
      <c r="Z707" s="150"/>
    </row>
    <row r="708" spans="2:26" s="126" customFormat="1" ht="17.100000000000001" customHeight="1">
      <c r="B708" s="118"/>
      <c r="C708" s="119"/>
      <c r="D708" s="120"/>
      <c r="E708" s="121"/>
      <c r="F708" s="122"/>
      <c r="G708" s="123"/>
      <c r="H708" s="341" t="s">
        <v>201</v>
      </c>
      <c r="I708" s="342"/>
      <c r="J708" s="124">
        <f>SUM(J701:J707)</f>
        <v>0</v>
      </c>
      <c r="K708" s="341" t="s">
        <v>201</v>
      </c>
      <c r="L708" s="342"/>
      <c r="M708" s="124">
        <f>SUM(M701:M707)</f>
        <v>0</v>
      </c>
      <c r="N708" s="341" t="s">
        <v>201</v>
      </c>
      <c r="O708" s="342"/>
      <c r="P708" s="124">
        <f>SUM(P701:P707)</f>
        <v>0</v>
      </c>
      <c r="Q708" s="341" t="s">
        <v>201</v>
      </c>
      <c r="R708" s="342"/>
      <c r="S708" s="124">
        <f>SUM(S701:S707)</f>
        <v>0</v>
      </c>
      <c r="T708" s="341" t="s">
        <v>201</v>
      </c>
      <c r="U708" s="342"/>
      <c r="V708" s="124">
        <f>SUM(V701:V707)</f>
        <v>0</v>
      </c>
      <c r="W708" s="341" t="s">
        <v>201</v>
      </c>
      <c r="X708" s="342"/>
      <c r="Y708" s="127">
        <f>SUM(Y701:Y707)</f>
        <v>0</v>
      </c>
      <c r="Z708" s="151"/>
    </row>
    <row r="709" spans="2:26" s="35" customFormat="1" ht="17.100000000000001" customHeight="1">
      <c r="B709" s="105"/>
      <c r="C709" s="54">
        <f>'2. Rekap Back Up Beton'!C107</f>
        <v>18400</v>
      </c>
      <c r="D709" s="96">
        <f>'2. Rekap Back Up Beton'!D107</f>
        <v>18500</v>
      </c>
      <c r="E709" s="111">
        <f>'2. Rekap Back Up Beton'!E107</f>
        <v>5</v>
      </c>
      <c r="F709" s="112">
        <f>(100/((D709-C709)*E709))*((J716*0.5)+(M716*1)+(P716*2)+(S716*20)+(V716*15)+(Y716*1.5))</f>
        <v>0</v>
      </c>
      <c r="G709" s="113" t="str">
        <f>IF(F709&lt;=25,"B",IF(F709&lt;=75,"S",IF(F709&lt;=100,"RR","RB")))</f>
        <v>B</v>
      </c>
      <c r="H709" s="100">
        <v>0</v>
      </c>
      <c r="I709" s="98">
        <v>0</v>
      </c>
      <c r="J709" s="101">
        <f t="shared" ref="J709:J715" si="516">H709*I709</f>
        <v>0</v>
      </c>
      <c r="K709" s="100">
        <v>0</v>
      </c>
      <c r="L709" s="98">
        <v>0</v>
      </c>
      <c r="M709" s="101">
        <f t="shared" ref="M709:M715" si="517">K709*L709</f>
        <v>0</v>
      </c>
      <c r="N709" s="100">
        <v>0</v>
      </c>
      <c r="O709" s="98">
        <v>4</v>
      </c>
      <c r="P709" s="101">
        <f t="shared" ref="P709:P715" si="518">N709*O709</f>
        <v>0</v>
      </c>
      <c r="Q709" s="100">
        <v>0</v>
      </c>
      <c r="R709" s="98">
        <v>0</v>
      </c>
      <c r="S709" s="101">
        <f t="shared" ref="S709:S715" si="519">Q709*R709</f>
        <v>0</v>
      </c>
      <c r="T709" s="100">
        <v>0</v>
      </c>
      <c r="U709" s="98">
        <v>0</v>
      </c>
      <c r="V709" s="101">
        <f>T709*U709</f>
        <v>0</v>
      </c>
      <c r="W709" s="100">
        <v>0</v>
      </c>
      <c r="X709" s="98">
        <v>0</v>
      </c>
      <c r="Y709" s="147">
        <f t="shared" ref="Y709:Y715" si="520">W709*X709</f>
        <v>0</v>
      </c>
      <c r="Z709" s="150"/>
    </row>
    <row r="710" spans="2:26" s="35" customFormat="1" ht="17.100000000000001" customHeight="1">
      <c r="B710" s="105"/>
      <c r="C710" s="54"/>
      <c r="D710" s="96"/>
      <c r="E710" s="111"/>
      <c r="F710" s="112"/>
      <c r="G710" s="113"/>
      <c r="H710" s="100">
        <v>0</v>
      </c>
      <c r="I710" s="98">
        <v>0</v>
      </c>
      <c r="J710" s="101">
        <f t="shared" si="516"/>
        <v>0</v>
      </c>
      <c r="K710" s="100">
        <v>0</v>
      </c>
      <c r="L710" s="98">
        <v>0</v>
      </c>
      <c r="M710" s="101">
        <f t="shared" si="517"/>
        <v>0</v>
      </c>
      <c r="N710" s="100">
        <v>0</v>
      </c>
      <c r="O710" s="98">
        <v>0</v>
      </c>
      <c r="P710" s="101">
        <f t="shared" si="518"/>
        <v>0</v>
      </c>
      <c r="Q710" s="100">
        <v>0</v>
      </c>
      <c r="R710" s="98">
        <v>0</v>
      </c>
      <c r="S710" s="101">
        <f t="shared" si="519"/>
        <v>0</v>
      </c>
      <c r="T710" s="100">
        <v>0</v>
      </c>
      <c r="U710" s="98">
        <v>0</v>
      </c>
      <c r="V710" s="101">
        <f t="shared" ref="V710:V715" si="521">T710*U710</f>
        <v>0</v>
      </c>
      <c r="W710" s="100">
        <v>0</v>
      </c>
      <c r="X710" s="98">
        <v>0</v>
      </c>
      <c r="Y710" s="147">
        <f t="shared" si="520"/>
        <v>0</v>
      </c>
      <c r="Z710" s="150"/>
    </row>
    <row r="711" spans="2:26" s="35" customFormat="1" ht="17.100000000000001" customHeight="1">
      <c r="B711" s="105"/>
      <c r="C711" s="54"/>
      <c r="D711" s="96"/>
      <c r="E711" s="111"/>
      <c r="F711" s="112"/>
      <c r="G711" s="113"/>
      <c r="H711" s="100">
        <v>0</v>
      </c>
      <c r="I711" s="98">
        <v>0</v>
      </c>
      <c r="J711" s="101">
        <f t="shared" si="516"/>
        <v>0</v>
      </c>
      <c r="K711" s="100">
        <v>0</v>
      </c>
      <c r="L711" s="98">
        <v>0</v>
      </c>
      <c r="M711" s="101">
        <f t="shared" si="517"/>
        <v>0</v>
      </c>
      <c r="N711" s="100">
        <v>0</v>
      </c>
      <c r="O711" s="98">
        <v>0</v>
      </c>
      <c r="P711" s="101">
        <f t="shared" si="518"/>
        <v>0</v>
      </c>
      <c r="Q711" s="100">
        <v>0</v>
      </c>
      <c r="R711" s="98">
        <v>0</v>
      </c>
      <c r="S711" s="101">
        <f t="shared" si="519"/>
        <v>0</v>
      </c>
      <c r="T711" s="100">
        <v>0</v>
      </c>
      <c r="U711" s="98">
        <v>0</v>
      </c>
      <c r="V711" s="101">
        <f t="shared" si="521"/>
        <v>0</v>
      </c>
      <c r="W711" s="100">
        <v>0</v>
      </c>
      <c r="X711" s="98">
        <v>0</v>
      </c>
      <c r="Y711" s="147">
        <f t="shared" si="520"/>
        <v>0</v>
      </c>
      <c r="Z711" s="150"/>
    </row>
    <row r="712" spans="2:26" s="35" customFormat="1" ht="17.100000000000001" customHeight="1">
      <c r="B712" s="105"/>
      <c r="C712" s="54"/>
      <c r="D712" s="96"/>
      <c r="E712" s="111"/>
      <c r="F712" s="112"/>
      <c r="G712" s="113"/>
      <c r="H712" s="100">
        <v>0</v>
      </c>
      <c r="I712" s="98">
        <v>0</v>
      </c>
      <c r="J712" s="101">
        <f t="shared" si="516"/>
        <v>0</v>
      </c>
      <c r="K712" s="100">
        <v>0</v>
      </c>
      <c r="L712" s="98">
        <v>0</v>
      </c>
      <c r="M712" s="101">
        <f t="shared" si="517"/>
        <v>0</v>
      </c>
      <c r="N712" s="100">
        <v>0</v>
      </c>
      <c r="O712" s="98">
        <v>0</v>
      </c>
      <c r="P712" s="101">
        <f t="shared" si="518"/>
        <v>0</v>
      </c>
      <c r="Q712" s="100">
        <v>0</v>
      </c>
      <c r="R712" s="98">
        <v>0</v>
      </c>
      <c r="S712" s="101">
        <f t="shared" si="519"/>
        <v>0</v>
      </c>
      <c r="T712" s="100">
        <v>0</v>
      </c>
      <c r="U712" s="98">
        <v>0</v>
      </c>
      <c r="V712" s="101">
        <f t="shared" si="521"/>
        <v>0</v>
      </c>
      <c r="W712" s="100">
        <v>0</v>
      </c>
      <c r="X712" s="98">
        <v>0</v>
      </c>
      <c r="Y712" s="147">
        <f t="shared" si="520"/>
        <v>0</v>
      </c>
      <c r="Z712" s="150"/>
    </row>
    <row r="713" spans="2:26" s="35" customFormat="1" ht="17.100000000000001" customHeight="1">
      <c r="B713" s="105"/>
      <c r="C713" s="54"/>
      <c r="D713" s="96"/>
      <c r="E713" s="111"/>
      <c r="F713" s="112"/>
      <c r="G713" s="113"/>
      <c r="H713" s="100">
        <v>0</v>
      </c>
      <c r="I713" s="98">
        <v>0</v>
      </c>
      <c r="J713" s="101">
        <f t="shared" si="516"/>
        <v>0</v>
      </c>
      <c r="K713" s="100">
        <v>0</v>
      </c>
      <c r="L713" s="98">
        <v>0</v>
      </c>
      <c r="M713" s="101">
        <f t="shared" si="517"/>
        <v>0</v>
      </c>
      <c r="N713" s="100">
        <v>0</v>
      </c>
      <c r="O713" s="98">
        <v>0</v>
      </c>
      <c r="P713" s="101">
        <f t="shared" si="518"/>
        <v>0</v>
      </c>
      <c r="Q713" s="100">
        <v>0</v>
      </c>
      <c r="R713" s="98">
        <v>0</v>
      </c>
      <c r="S713" s="101">
        <f t="shared" si="519"/>
        <v>0</v>
      </c>
      <c r="T713" s="100">
        <v>0</v>
      </c>
      <c r="U713" s="98">
        <v>0</v>
      </c>
      <c r="V713" s="101">
        <f t="shared" si="521"/>
        <v>0</v>
      </c>
      <c r="W713" s="100">
        <v>0</v>
      </c>
      <c r="X713" s="98">
        <v>0</v>
      </c>
      <c r="Y713" s="147">
        <f t="shared" si="520"/>
        <v>0</v>
      </c>
      <c r="Z713" s="150"/>
    </row>
    <row r="714" spans="2:26" s="35" customFormat="1" ht="17.100000000000001" customHeight="1">
      <c r="B714" s="105"/>
      <c r="C714" s="54"/>
      <c r="D714" s="96"/>
      <c r="E714" s="111"/>
      <c r="F714" s="112"/>
      <c r="G714" s="113"/>
      <c r="H714" s="100">
        <v>0</v>
      </c>
      <c r="I714" s="98">
        <v>0</v>
      </c>
      <c r="J714" s="101">
        <f t="shared" si="516"/>
        <v>0</v>
      </c>
      <c r="K714" s="100">
        <v>0</v>
      </c>
      <c r="L714" s="98">
        <v>0</v>
      </c>
      <c r="M714" s="101">
        <f t="shared" si="517"/>
        <v>0</v>
      </c>
      <c r="N714" s="100">
        <v>0</v>
      </c>
      <c r="O714" s="98">
        <v>0</v>
      </c>
      <c r="P714" s="101">
        <f t="shared" si="518"/>
        <v>0</v>
      </c>
      <c r="Q714" s="100">
        <v>0</v>
      </c>
      <c r="R714" s="98">
        <v>0</v>
      </c>
      <c r="S714" s="101">
        <f t="shared" si="519"/>
        <v>0</v>
      </c>
      <c r="T714" s="100">
        <v>0</v>
      </c>
      <c r="U714" s="98">
        <v>0</v>
      </c>
      <c r="V714" s="101">
        <f t="shared" si="521"/>
        <v>0</v>
      </c>
      <c r="W714" s="100">
        <v>0</v>
      </c>
      <c r="X714" s="98">
        <v>0</v>
      </c>
      <c r="Y714" s="147">
        <f t="shared" si="520"/>
        <v>0</v>
      </c>
      <c r="Z714" s="150"/>
    </row>
    <row r="715" spans="2:26" s="35" customFormat="1" ht="17.100000000000001" customHeight="1">
      <c r="B715" s="105"/>
      <c r="C715" s="54"/>
      <c r="D715" s="96"/>
      <c r="E715" s="111"/>
      <c r="F715" s="112"/>
      <c r="G715" s="113"/>
      <c r="H715" s="100">
        <v>0</v>
      </c>
      <c r="I715" s="98">
        <v>0</v>
      </c>
      <c r="J715" s="101">
        <f t="shared" si="516"/>
        <v>0</v>
      </c>
      <c r="K715" s="100">
        <v>0</v>
      </c>
      <c r="L715" s="98">
        <v>0</v>
      </c>
      <c r="M715" s="101">
        <f t="shared" si="517"/>
        <v>0</v>
      </c>
      <c r="N715" s="100">
        <v>0</v>
      </c>
      <c r="O715" s="98">
        <v>0</v>
      </c>
      <c r="P715" s="101">
        <f t="shared" si="518"/>
        <v>0</v>
      </c>
      <c r="Q715" s="100">
        <v>0</v>
      </c>
      <c r="R715" s="98">
        <v>0</v>
      </c>
      <c r="S715" s="101">
        <f t="shared" si="519"/>
        <v>0</v>
      </c>
      <c r="T715" s="100">
        <v>0</v>
      </c>
      <c r="U715" s="98">
        <v>0</v>
      </c>
      <c r="V715" s="101">
        <f t="shared" si="521"/>
        <v>0</v>
      </c>
      <c r="W715" s="100">
        <v>0</v>
      </c>
      <c r="X715" s="98">
        <v>0</v>
      </c>
      <c r="Y715" s="147">
        <f t="shared" si="520"/>
        <v>0</v>
      </c>
      <c r="Z715" s="150"/>
    </row>
    <row r="716" spans="2:26" s="126" customFormat="1" ht="17.100000000000001" customHeight="1">
      <c r="B716" s="118"/>
      <c r="C716" s="119"/>
      <c r="D716" s="120"/>
      <c r="E716" s="121"/>
      <c r="F716" s="122"/>
      <c r="G716" s="123"/>
      <c r="H716" s="341" t="s">
        <v>201</v>
      </c>
      <c r="I716" s="342"/>
      <c r="J716" s="124">
        <f>SUM(J709:J715)</f>
        <v>0</v>
      </c>
      <c r="K716" s="341" t="s">
        <v>201</v>
      </c>
      <c r="L716" s="342"/>
      <c r="M716" s="124">
        <f>SUM(M709:M715)</f>
        <v>0</v>
      </c>
      <c r="N716" s="341" t="s">
        <v>201</v>
      </c>
      <c r="O716" s="342"/>
      <c r="P716" s="124">
        <f>SUM(P709:P715)</f>
        <v>0</v>
      </c>
      <c r="Q716" s="341" t="s">
        <v>201</v>
      </c>
      <c r="R716" s="342"/>
      <c r="S716" s="124">
        <f>SUM(S709:S715)</f>
        <v>0</v>
      </c>
      <c r="T716" s="341" t="s">
        <v>201</v>
      </c>
      <c r="U716" s="342"/>
      <c r="V716" s="124">
        <f>SUM(V709:V715)</f>
        <v>0</v>
      </c>
      <c r="W716" s="341" t="s">
        <v>201</v>
      </c>
      <c r="X716" s="342"/>
      <c r="Y716" s="127">
        <f>SUM(Y709:Y715)</f>
        <v>0</v>
      </c>
      <c r="Z716" s="151"/>
    </row>
    <row r="717" spans="2:26" s="35" customFormat="1" ht="17.100000000000001" customHeight="1">
      <c r="B717" s="105"/>
      <c r="C717" s="54">
        <f>'2. Rekap Back Up Beton'!C108</f>
        <v>18500</v>
      </c>
      <c r="D717" s="96">
        <f>'2. Rekap Back Up Beton'!D108</f>
        <v>18600</v>
      </c>
      <c r="E717" s="111">
        <f>'2. Rekap Back Up Beton'!E108</f>
        <v>5</v>
      </c>
      <c r="F717" s="112">
        <f>(100/((D717-C717)*E717))*((J724*0.5)+(M724*1)+(P724*2)+(S724*20)+(V724*15)+(Y724*1.5))</f>
        <v>15</v>
      </c>
      <c r="G717" s="113" t="str">
        <f>IF(F717&lt;=25,"B",IF(F717&lt;=75,"S",IF(F717&lt;=100,"RR","RB")))</f>
        <v>B</v>
      </c>
      <c r="H717" s="100">
        <v>0</v>
      </c>
      <c r="I717" s="98">
        <v>0</v>
      </c>
      <c r="J717" s="101">
        <f t="shared" ref="J717:J723" si="522">H717*I717</f>
        <v>0</v>
      </c>
      <c r="K717" s="100">
        <v>15</v>
      </c>
      <c r="L717" s="98">
        <v>5</v>
      </c>
      <c r="M717" s="101">
        <f t="shared" ref="M717:M723" si="523">K717*L717</f>
        <v>75</v>
      </c>
      <c r="N717" s="100">
        <v>0</v>
      </c>
      <c r="O717" s="98">
        <v>4</v>
      </c>
      <c r="P717" s="101">
        <f t="shared" ref="P717:P723" si="524">N717*O717</f>
        <v>0</v>
      </c>
      <c r="Q717" s="100">
        <v>0</v>
      </c>
      <c r="R717" s="98">
        <v>0</v>
      </c>
      <c r="S717" s="101">
        <f t="shared" ref="S717:S723" si="525">Q717*R717</f>
        <v>0</v>
      </c>
      <c r="T717" s="100">
        <v>0</v>
      </c>
      <c r="U717" s="98">
        <v>0</v>
      </c>
      <c r="V717" s="101">
        <f>T717*U717</f>
        <v>0</v>
      </c>
      <c r="W717" s="100">
        <v>0</v>
      </c>
      <c r="X717" s="98">
        <v>0</v>
      </c>
      <c r="Y717" s="147">
        <f t="shared" ref="Y717:Y723" si="526">W717*X717</f>
        <v>0</v>
      </c>
      <c r="Z717" s="150"/>
    </row>
    <row r="718" spans="2:26" s="35" customFormat="1" ht="17.100000000000001" customHeight="1">
      <c r="B718" s="105"/>
      <c r="C718" s="54"/>
      <c r="D718" s="96"/>
      <c r="E718" s="111"/>
      <c r="F718" s="112"/>
      <c r="G718" s="113"/>
      <c r="H718" s="100">
        <v>0</v>
      </c>
      <c r="I718" s="98">
        <v>0</v>
      </c>
      <c r="J718" s="101">
        <f t="shared" si="522"/>
        <v>0</v>
      </c>
      <c r="K718" s="100">
        <v>0</v>
      </c>
      <c r="L718" s="98">
        <v>0</v>
      </c>
      <c r="M718" s="101">
        <f t="shared" si="523"/>
        <v>0</v>
      </c>
      <c r="N718" s="100">
        <v>0</v>
      </c>
      <c r="O718" s="98">
        <v>0</v>
      </c>
      <c r="P718" s="101">
        <f t="shared" si="524"/>
        <v>0</v>
      </c>
      <c r="Q718" s="100">
        <v>0</v>
      </c>
      <c r="R718" s="98">
        <v>0</v>
      </c>
      <c r="S718" s="101">
        <f t="shared" si="525"/>
        <v>0</v>
      </c>
      <c r="T718" s="100">
        <v>0</v>
      </c>
      <c r="U718" s="98">
        <v>0</v>
      </c>
      <c r="V718" s="101">
        <f t="shared" ref="V718:V723" si="527">T718*U718</f>
        <v>0</v>
      </c>
      <c r="W718" s="100">
        <v>0</v>
      </c>
      <c r="X718" s="98">
        <v>0</v>
      </c>
      <c r="Y718" s="147">
        <f t="shared" si="526"/>
        <v>0</v>
      </c>
      <c r="Z718" s="150"/>
    </row>
    <row r="719" spans="2:26" s="35" customFormat="1" ht="17.100000000000001" customHeight="1">
      <c r="B719" s="105"/>
      <c r="C719" s="54"/>
      <c r="D719" s="96"/>
      <c r="E719" s="111"/>
      <c r="F719" s="112"/>
      <c r="G719" s="113"/>
      <c r="H719" s="100">
        <v>0</v>
      </c>
      <c r="I719" s="98">
        <v>0</v>
      </c>
      <c r="J719" s="101">
        <f t="shared" si="522"/>
        <v>0</v>
      </c>
      <c r="K719" s="100">
        <v>0</v>
      </c>
      <c r="L719" s="98">
        <v>0</v>
      </c>
      <c r="M719" s="101">
        <f t="shared" si="523"/>
        <v>0</v>
      </c>
      <c r="N719" s="100">
        <v>0</v>
      </c>
      <c r="O719" s="98">
        <v>0</v>
      </c>
      <c r="P719" s="101">
        <f t="shared" si="524"/>
        <v>0</v>
      </c>
      <c r="Q719" s="100">
        <v>0</v>
      </c>
      <c r="R719" s="98">
        <v>0</v>
      </c>
      <c r="S719" s="101">
        <f t="shared" si="525"/>
        <v>0</v>
      </c>
      <c r="T719" s="100">
        <v>0</v>
      </c>
      <c r="U719" s="98">
        <v>0</v>
      </c>
      <c r="V719" s="101">
        <f t="shared" si="527"/>
        <v>0</v>
      </c>
      <c r="W719" s="100">
        <v>0</v>
      </c>
      <c r="X719" s="98">
        <v>0</v>
      </c>
      <c r="Y719" s="147">
        <f t="shared" si="526"/>
        <v>0</v>
      </c>
      <c r="Z719" s="150"/>
    </row>
    <row r="720" spans="2:26" s="35" customFormat="1" ht="17.100000000000001" customHeight="1">
      <c r="B720" s="105"/>
      <c r="C720" s="54"/>
      <c r="D720" s="96"/>
      <c r="E720" s="111"/>
      <c r="F720" s="112"/>
      <c r="G720" s="113"/>
      <c r="H720" s="100">
        <v>0</v>
      </c>
      <c r="I720" s="98">
        <v>0</v>
      </c>
      <c r="J720" s="101">
        <f t="shared" si="522"/>
        <v>0</v>
      </c>
      <c r="K720" s="100">
        <v>0</v>
      </c>
      <c r="L720" s="98">
        <v>0</v>
      </c>
      <c r="M720" s="101">
        <f t="shared" si="523"/>
        <v>0</v>
      </c>
      <c r="N720" s="100">
        <v>0</v>
      </c>
      <c r="O720" s="98">
        <v>0</v>
      </c>
      <c r="P720" s="101">
        <f t="shared" si="524"/>
        <v>0</v>
      </c>
      <c r="Q720" s="100">
        <v>0</v>
      </c>
      <c r="R720" s="98">
        <v>0</v>
      </c>
      <c r="S720" s="101">
        <f t="shared" si="525"/>
        <v>0</v>
      </c>
      <c r="T720" s="100">
        <v>0</v>
      </c>
      <c r="U720" s="98">
        <v>0</v>
      </c>
      <c r="V720" s="101">
        <f t="shared" si="527"/>
        <v>0</v>
      </c>
      <c r="W720" s="100">
        <v>0</v>
      </c>
      <c r="X720" s="98">
        <v>0</v>
      </c>
      <c r="Y720" s="147">
        <f t="shared" si="526"/>
        <v>0</v>
      </c>
      <c r="Z720" s="150"/>
    </row>
    <row r="721" spans="2:26" s="35" customFormat="1" ht="17.100000000000001" customHeight="1">
      <c r="B721" s="105"/>
      <c r="C721" s="54"/>
      <c r="D721" s="96"/>
      <c r="E721" s="111"/>
      <c r="F721" s="112"/>
      <c r="G721" s="113"/>
      <c r="H721" s="100">
        <v>0</v>
      </c>
      <c r="I721" s="98">
        <v>0</v>
      </c>
      <c r="J721" s="101">
        <f t="shared" si="522"/>
        <v>0</v>
      </c>
      <c r="K721" s="100">
        <v>0</v>
      </c>
      <c r="L721" s="98">
        <v>0</v>
      </c>
      <c r="M721" s="101">
        <f t="shared" si="523"/>
        <v>0</v>
      </c>
      <c r="N721" s="100">
        <v>0</v>
      </c>
      <c r="O721" s="98">
        <v>0</v>
      </c>
      <c r="P721" s="101">
        <f t="shared" si="524"/>
        <v>0</v>
      </c>
      <c r="Q721" s="100">
        <v>0</v>
      </c>
      <c r="R721" s="98">
        <v>0</v>
      </c>
      <c r="S721" s="101">
        <f t="shared" si="525"/>
        <v>0</v>
      </c>
      <c r="T721" s="100">
        <v>0</v>
      </c>
      <c r="U721" s="98">
        <v>0</v>
      </c>
      <c r="V721" s="101">
        <f t="shared" si="527"/>
        <v>0</v>
      </c>
      <c r="W721" s="100">
        <v>0</v>
      </c>
      <c r="X721" s="98">
        <v>0</v>
      </c>
      <c r="Y721" s="147">
        <f t="shared" si="526"/>
        <v>0</v>
      </c>
      <c r="Z721" s="150"/>
    </row>
    <row r="722" spans="2:26" s="35" customFormat="1" ht="17.100000000000001" customHeight="1">
      <c r="B722" s="105"/>
      <c r="C722" s="54"/>
      <c r="D722" s="96"/>
      <c r="E722" s="111"/>
      <c r="F722" s="112"/>
      <c r="G722" s="113"/>
      <c r="H722" s="100">
        <v>0</v>
      </c>
      <c r="I722" s="98">
        <v>0</v>
      </c>
      <c r="J722" s="101">
        <f t="shared" si="522"/>
        <v>0</v>
      </c>
      <c r="K722" s="100">
        <v>0</v>
      </c>
      <c r="L722" s="98">
        <v>0</v>
      </c>
      <c r="M722" s="101">
        <f t="shared" si="523"/>
        <v>0</v>
      </c>
      <c r="N722" s="100">
        <v>0</v>
      </c>
      <c r="O722" s="98">
        <v>0</v>
      </c>
      <c r="P722" s="101">
        <f t="shared" si="524"/>
        <v>0</v>
      </c>
      <c r="Q722" s="100">
        <v>0</v>
      </c>
      <c r="R722" s="98">
        <v>0</v>
      </c>
      <c r="S722" s="101">
        <f t="shared" si="525"/>
        <v>0</v>
      </c>
      <c r="T722" s="100">
        <v>0</v>
      </c>
      <c r="U722" s="98">
        <v>0</v>
      </c>
      <c r="V722" s="101">
        <f t="shared" si="527"/>
        <v>0</v>
      </c>
      <c r="W722" s="100">
        <v>0</v>
      </c>
      <c r="X722" s="98">
        <v>0</v>
      </c>
      <c r="Y722" s="147">
        <f t="shared" si="526"/>
        <v>0</v>
      </c>
      <c r="Z722" s="150"/>
    </row>
    <row r="723" spans="2:26" s="35" customFormat="1" ht="17.100000000000001" customHeight="1">
      <c r="B723" s="105"/>
      <c r="C723" s="54"/>
      <c r="D723" s="96"/>
      <c r="E723" s="111"/>
      <c r="F723" s="112"/>
      <c r="G723" s="113"/>
      <c r="H723" s="100">
        <v>0</v>
      </c>
      <c r="I723" s="98">
        <v>0</v>
      </c>
      <c r="J723" s="101">
        <f t="shared" si="522"/>
        <v>0</v>
      </c>
      <c r="K723" s="100">
        <v>0</v>
      </c>
      <c r="L723" s="98">
        <v>0</v>
      </c>
      <c r="M723" s="101">
        <f t="shared" si="523"/>
        <v>0</v>
      </c>
      <c r="N723" s="100">
        <v>0</v>
      </c>
      <c r="O723" s="98">
        <v>0</v>
      </c>
      <c r="P723" s="101">
        <f t="shared" si="524"/>
        <v>0</v>
      </c>
      <c r="Q723" s="100">
        <v>0</v>
      </c>
      <c r="R723" s="98">
        <v>0</v>
      </c>
      <c r="S723" s="101">
        <f t="shared" si="525"/>
        <v>0</v>
      </c>
      <c r="T723" s="100">
        <v>0</v>
      </c>
      <c r="U723" s="98">
        <v>0</v>
      </c>
      <c r="V723" s="101">
        <f t="shared" si="527"/>
        <v>0</v>
      </c>
      <c r="W723" s="100">
        <v>0</v>
      </c>
      <c r="X723" s="98">
        <v>0</v>
      </c>
      <c r="Y723" s="147">
        <f t="shared" si="526"/>
        <v>0</v>
      </c>
      <c r="Z723" s="150"/>
    </row>
    <row r="724" spans="2:26" s="126" customFormat="1" ht="17.100000000000001" customHeight="1">
      <c r="B724" s="118"/>
      <c r="C724" s="119"/>
      <c r="D724" s="120"/>
      <c r="E724" s="121"/>
      <c r="F724" s="122"/>
      <c r="G724" s="123"/>
      <c r="H724" s="341" t="s">
        <v>201</v>
      </c>
      <c r="I724" s="342"/>
      <c r="J724" s="124">
        <f>SUM(J717:J723)</f>
        <v>0</v>
      </c>
      <c r="K724" s="341" t="s">
        <v>201</v>
      </c>
      <c r="L724" s="342"/>
      <c r="M724" s="124">
        <f>SUM(M717:M723)</f>
        <v>75</v>
      </c>
      <c r="N724" s="341" t="s">
        <v>201</v>
      </c>
      <c r="O724" s="342"/>
      <c r="P724" s="124">
        <f>SUM(P717:P723)</f>
        <v>0</v>
      </c>
      <c r="Q724" s="341" t="s">
        <v>201</v>
      </c>
      <c r="R724" s="342"/>
      <c r="S724" s="124">
        <f>SUM(S717:S723)</f>
        <v>0</v>
      </c>
      <c r="T724" s="341" t="s">
        <v>201</v>
      </c>
      <c r="U724" s="342"/>
      <c r="V724" s="124">
        <f>SUM(V717:V723)</f>
        <v>0</v>
      </c>
      <c r="W724" s="341" t="s">
        <v>201</v>
      </c>
      <c r="X724" s="342"/>
      <c r="Y724" s="127">
        <f>SUM(Y717:Y723)</f>
        <v>0</v>
      </c>
      <c r="Z724" s="151"/>
    </row>
    <row r="725" spans="2:26" s="35" customFormat="1" ht="17.100000000000001" customHeight="1">
      <c r="B725" s="105"/>
      <c r="C725" s="54">
        <f>'2. Rekap Back Up Beton'!C109</f>
        <v>18600</v>
      </c>
      <c r="D725" s="96">
        <f>'2. Rekap Back Up Beton'!D109</f>
        <v>18700</v>
      </c>
      <c r="E725" s="111">
        <f>'2. Rekap Back Up Beton'!E109</f>
        <v>5</v>
      </c>
      <c r="F725" s="112">
        <f>(100/((D725-C725)*E725))*((J732*0.5)+(M732*1)+(P732*2)+(S732*20)+(V732*15)+(Y732*1.5))</f>
        <v>4</v>
      </c>
      <c r="G725" s="113" t="str">
        <f>IF(F725&lt;=25,"B",IF(F725&lt;=75,"S",IF(F725&lt;=100,"RR","RB")))</f>
        <v>B</v>
      </c>
      <c r="H725" s="100">
        <v>0</v>
      </c>
      <c r="I725" s="98">
        <v>0</v>
      </c>
      <c r="J725" s="101">
        <f t="shared" ref="J725:J731" si="528">H725*I725</f>
        <v>0</v>
      </c>
      <c r="K725" s="100">
        <v>20</v>
      </c>
      <c r="L725" s="98">
        <v>1</v>
      </c>
      <c r="M725" s="101">
        <f t="shared" ref="M725:M731" si="529">K725*L725</f>
        <v>20</v>
      </c>
      <c r="N725" s="100">
        <v>0</v>
      </c>
      <c r="O725" s="98">
        <v>4</v>
      </c>
      <c r="P725" s="101">
        <f t="shared" ref="P725:P731" si="530">N725*O725</f>
        <v>0</v>
      </c>
      <c r="Q725" s="100">
        <v>0</v>
      </c>
      <c r="R725" s="98">
        <v>0</v>
      </c>
      <c r="S725" s="101">
        <f t="shared" ref="S725:S731" si="531">Q725*R725</f>
        <v>0</v>
      </c>
      <c r="T725" s="100">
        <v>0</v>
      </c>
      <c r="U725" s="98">
        <v>0</v>
      </c>
      <c r="V725" s="101">
        <f>T725*U725</f>
        <v>0</v>
      </c>
      <c r="W725" s="100">
        <v>0</v>
      </c>
      <c r="X725" s="98">
        <v>0</v>
      </c>
      <c r="Y725" s="147">
        <f t="shared" ref="Y725:Y731" si="532">W725*X725</f>
        <v>0</v>
      </c>
      <c r="Z725" s="150"/>
    </row>
    <row r="726" spans="2:26" s="35" customFormat="1" ht="17.100000000000001" customHeight="1">
      <c r="B726" s="105"/>
      <c r="C726" s="54"/>
      <c r="D726" s="96"/>
      <c r="E726" s="111"/>
      <c r="F726" s="112"/>
      <c r="G726" s="113"/>
      <c r="H726" s="100">
        <v>0</v>
      </c>
      <c r="I726" s="98">
        <v>0</v>
      </c>
      <c r="J726" s="101">
        <f t="shared" si="528"/>
        <v>0</v>
      </c>
      <c r="K726" s="100">
        <v>0</v>
      </c>
      <c r="L726" s="98">
        <v>0</v>
      </c>
      <c r="M726" s="101">
        <f t="shared" si="529"/>
        <v>0</v>
      </c>
      <c r="N726" s="100">
        <v>0</v>
      </c>
      <c r="O726" s="98">
        <v>0</v>
      </c>
      <c r="P726" s="101">
        <f t="shared" si="530"/>
        <v>0</v>
      </c>
      <c r="Q726" s="100">
        <v>0</v>
      </c>
      <c r="R726" s="98">
        <v>0</v>
      </c>
      <c r="S726" s="101">
        <f t="shared" si="531"/>
        <v>0</v>
      </c>
      <c r="T726" s="100">
        <v>0</v>
      </c>
      <c r="U726" s="98">
        <v>0</v>
      </c>
      <c r="V726" s="101">
        <f t="shared" ref="V726:V731" si="533">T726*U726</f>
        <v>0</v>
      </c>
      <c r="W726" s="100">
        <v>0</v>
      </c>
      <c r="X726" s="98">
        <v>0</v>
      </c>
      <c r="Y726" s="147">
        <f t="shared" si="532"/>
        <v>0</v>
      </c>
      <c r="Z726" s="150"/>
    </row>
    <row r="727" spans="2:26" s="35" customFormat="1" ht="17.100000000000001" customHeight="1">
      <c r="B727" s="105"/>
      <c r="C727" s="54"/>
      <c r="D727" s="96"/>
      <c r="E727" s="111"/>
      <c r="F727" s="112"/>
      <c r="G727" s="113"/>
      <c r="H727" s="100">
        <v>0</v>
      </c>
      <c r="I727" s="98">
        <v>0</v>
      </c>
      <c r="J727" s="101">
        <f t="shared" si="528"/>
        <v>0</v>
      </c>
      <c r="K727" s="100">
        <v>0</v>
      </c>
      <c r="L727" s="98">
        <v>0</v>
      </c>
      <c r="M727" s="101">
        <f t="shared" si="529"/>
        <v>0</v>
      </c>
      <c r="N727" s="100">
        <v>0</v>
      </c>
      <c r="O727" s="98">
        <v>0</v>
      </c>
      <c r="P727" s="101">
        <f t="shared" si="530"/>
        <v>0</v>
      </c>
      <c r="Q727" s="100">
        <v>0</v>
      </c>
      <c r="R727" s="98">
        <v>0</v>
      </c>
      <c r="S727" s="101">
        <f t="shared" si="531"/>
        <v>0</v>
      </c>
      <c r="T727" s="100">
        <v>0</v>
      </c>
      <c r="U727" s="98">
        <v>0</v>
      </c>
      <c r="V727" s="101">
        <f t="shared" si="533"/>
        <v>0</v>
      </c>
      <c r="W727" s="100">
        <v>0</v>
      </c>
      <c r="X727" s="98">
        <v>0</v>
      </c>
      <c r="Y727" s="147">
        <f t="shared" si="532"/>
        <v>0</v>
      </c>
      <c r="Z727" s="150"/>
    </row>
    <row r="728" spans="2:26" s="35" customFormat="1" ht="17.100000000000001" customHeight="1">
      <c r="B728" s="105"/>
      <c r="C728" s="54"/>
      <c r="D728" s="96"/>
      <c r="E728" s="111"/>
      <c r="F728" s="112"/>
      <c r="G728" s="113"/>
      <c r="H728" s="100">
        <v>0</v>
      </c>
      <c r="I728" s="98">
        <v>0</v>
      </c>
      <c r="J728" s="101">
        <f t="shared" si="528"/>
        <v>0</v>
      </c>
      <c r="K728" s="100">
        <v>0</v>
      </c>
      <c r="L728" s="98">
        <v>0</v>
      </c>
      <c r="M728" s="101">
        <f t="shared" si="529"/>
        <v>0</v>
      </c>
      <c r="N728" s="100">
        <v>0</v>
      </c>
      <c r="O728" s="98">
        <v>0</v>
      </c>
      <c r="P728" s="101">
        <f t="shared" si="530"/>
        <v>0</v>
      </c>
      <c r="Q728" s="100">
        <v>0</v>
      </c>
      <c r="R728" s="98">
        <v>0</v>
      </c>
      <c r="S728" s="101">
        <f t="shared" si="531"/>
        <v>0</v>
      </c>
      <c r="T728" s="100">
        <v>0</v>
      </c>
      <c r="U728" s="98">
        <v>0</v>
      </c>
      <c r="V728" s="101">
        <f t="shared" si="533"/>
        <v>0</v>
      </c>
      <c r="W728" s="100">
        <v>0</v>
      </c>
      <c r="X728" s="98">
        <v>0</v>
      </c>
      <c r="Y728" s="147">
        <f t="shared" si="532"/>
        <v>0</v>
      </c>
      <c r="Z728" s="150"/>
    </row>
    <row r="729" spans="2:26" s="35" customFormat="1" ht="17.100000000000001" customHeight="1">
      <c r="B729" s="105"/>
      <c r="C729" s="54"/>
      <c r="D729" s="96"/>
      <c r="E729" s="111"/>
      <c r="F729" s="112"/>
      <c r="G729" s="113"/>
      <c r="H729" s="100">
        <v>0</v>
      </c>
      <c r="I729" s="98">
        <v>0</v>
      </c>
      <c r="J729" s="101">
        <f t="shared" si="528"/>
        <v>0</v>
      </c>
      <c r="K729" s="100">
        <v>0</v>
      </c>
      <c r="L729" s="98">
        <v>0</v>
      </c>
      <c r="M729" s="101">
        <f t="shared" si="529"/>
        <v>0</v>
      </c>
      <c r="N729" s="100">
        <v>0</v>
      </c>
      <c r="O729" s="98">
        <v>0</v>
      </c>
      <c r="P729" s="101">
        <f t="shared" si="530"/>
        <v>0</v>
      </c>
      <c r="Q729" s="100">
        <v>0</v>
      </c>
      <c r="R729" s="98">
        <v>0</v>
      </c>
      <c r="S729" s="101">
        <f t="shared" si="531"/>
        <v>0</v>
      </c>
      <c r="T729" s="100">
        <v>0</v>
      </c>
      <c r="U729" s="98">
        <v>0</v>
      </c>
      <c r="V729" s="101">
        <f t="shared" si="533"/>
        <v>0</v>
      </c>
      <c r="W729" s="100">
        <v>0</v>
      </c>
      <c r="X729" s="98">
        <v>0</v>
      </c>
      <c r="Y729" s="147">
        <f t="shared" si="532"/>
        <v>0</v>
      </c>
      <c r="Z729" s="150"/>
    </row>
    <row r="730" spans="2:26" s="35" customFormat="1" ht="17.100000000000001" customHeight="1">
      <c r="B730" s="105"/>
      <c r="C730" s="54"/>
      <c r="D730" s="96"/>
      <c r="E730" s="111"/>
      <c r="F730" s="112"/>
      <c r="G730" s="113"/>
      <c r="H730" s="100">
        <v>0</v>
      </c>
      <c r="I730" s="98">
        <v>0</v>
      </c>
      <c r="J730" s="101">
        <f t="shared" si="528"/>
        <v>0</v>
      </c>
      <c r="K730" s="100">
        <v>0</v>
      </c>
      <c r="L730" s="98">
        <v>0</v>
      </c>
      <c r="M730" s="101">
        <f t="shared" si="529"/>
        <v>0</v>
      </c>
      <c r="N730" s="100">
        <v>0</v>
      </c>
      <c r="O730" s="98">
        <v>0</v>
      </c>
      <c r="P730" s="101">
        <f t="shared" si="530"/>
        <v>0</v>
      </c>
      <c r="Q730" s="100">
        <v>0</v>
      </c>
      <c r="R730" s="98">
        <v>0</v>
      </c>
      <c r="S730" s="101">
        <f t="shared" si="531"/>
        <v>0</v>
      </c>
      <c r="T730" s="100">
        <v>0</v>
      </c>
      <c r="U730" s="98">
        <v>0</v>
      </c>
      <c r="V730" s="101">
        <f t="shared" si="533"/>
        <v>0</v>
      </c>
      <c r="W730" s="100">
        <v>0</v>
      </c>
      <c r="X730" s="98">
        <v>0</v>
      </c>
      <c r="Y730" s="147">
        <f t="shared" si="532"/>
        <v>0</v>
      </c>
      <c r="Z730" s="150"/>
    </row>
    <row r="731" spans="2:26" s="35" customFormat="1" ht="17.100000000000001" customHeight="1">
      <c r="B731" s="105"/>
      <c r="C731" s="54"/>
      <c r="D731" s="96"/>
      <c r="E731" s="111"/>
      <c r="F731" s="112"/>
      <c r="G731" s="113"/>
      <c r="H731" s="100">
        <v>0</v>
      </c>
      <c r="I731" s="98">
        <v>0</v>
      </c>
      <c r="J731" s="101">
        <f t="shared" si="528"/>
        <v>0</v>
      </c>
      <c r="K731" s="100">
        <v>0</v>
      </c>
      <c r="L731" s="98">
        <v>0</v>
      </c>
      <c r="M731" s="101">
        <f t="shared" si="529"/>
        <v>0</v>
      </c>
      <c r="N731" s="100">
        <v>0</v>
      </c>
      <c r="O731" s="98">
        <v>0</v>
      </c>
      <c r="P731" s="101">
        <f t="shared" si="530"/>
        <v>0</v>
      </c>
      <c r="Q731" s="100">
        <v>0</v>
      </c>
      <c r="R731" s="98">
        <v>0</v>
      </c>
      <c r="S731" s="101">
        <f t="shared" si="531"/>
        <v>0</v>
      </c>
      <c r="T731" s="100">
        <v>0</v>
      </c>
      <c r="U731" s="98">
        <v>0</v>
      </c>
      <c r="V731" s="101">
        <f t="shared" si="533"/>
        <v>0</v>
      </c>
      <c r="W731" s="100">
        <v>0</v>
      </c>
      <c r="X731" s="98">
        <v>0</v>
      </c>
      <c r="Y731" s="147">
        <f t="shared" si="532"/>
        <v>0</v>
      </c>
      <c r="Z731" s="150"/>
    </row>
    <row r="732" spans="2:26" s="126" customFormat="1" ht="17.100000000000001" customHeight="1">
      <c r="B732" s="118"/>
      <c r="C732" s="119"/>
      <c r="D732" s="120"/>
      <c r="E732" s="121"/>
      <c r="F732" s="122"/>
      <c r="G732" s="123"/>
      <c r="H732" s="341" t="s">
        <v>201</v>
      </c>
      <c r="I732" s="342"/>
      <c r="J732" s="124">
        <f>SUM(J725:J731)</f>
        <v>0</v>
      </c>
      <c r="K732" s="341" t="s">
        <v>201</v>
      </c>
      <c r="L732" s="342"/>
      <c r="M732" s="124">
        <f>SUM(M725:M731)</f>
        <v>20</v>
      </c>
      <c r="N732" s="341" t="s">
        <v>201</v>
      </c>
      <c r="O732" s="342"/>
      <c r="P732" s="124">
        <f>SUM(P725:P731)</f>
        <v>0</v>
      </c>
      <c r="Q732" s="341" t="s">
        <v>201</v>
      </c>
      <c r="R732" s="342"/>
      <c r="S732" s="124">
        <f>SUM(S725:S731)</f>
        <v>0</v>
      </c>
      <c r="T732" s="341" t="s">
        <v>201</v>
      </c>
      <c r="U732" s="342"/>
      <c r="V732" s="124">
        <f>SUM(V725:V731)</f>
        <v>0</v>
      </c>
      <c r="W732" s="341" t="s">
        <v>201</v>
      </c>
      <c r="X732" s="342"/>
      <c r="Y732" s="127">
        <f>SUM(Y725:Y731)</f>
        <v>0</v>
      </c>
      <c r="Z732" s="151"/>
    </row>
    <row r="733" spans="2:26" s="35" customFormat="1" ht="17.100000000000001" customHeight="1">
      <c r="B733" s="105"/>
      <c r="C733" s="54">
        <f>'2. Rekap Back Up Beton'!C110</f>
        <v>18700</v>
      </c>
      <c r="D733" s="96">
        <f>'2. Rekap Back Up Beton'!D110</f>
        <v>18800</v>
      </c>
      <c r="E733" s="111">
        <f>'2. Rekap Back Up Beton'!E110</f>
        <v>5</v>
      </c>
      <c r="F733" s="112">
        <f>(100/((D733-C733)*E733))*((J740*0.5)+(M740*1)+(P740*2)+(S740*20)+(V740*15)+(Y740*1.5))</f>
        <v>140</v>
      </c>
      <c r="G733" s="113" t="str">
        <f>IF(F733&lt;=25,"B",IF(F733&lt;=75,"S",IF(F733&lt;=100,"RR","RB")))</f>
        <v>RB</v>
      </c>
      <c r="H733" s="100">
        <v>0</v>
      </c>
      <c r="I733" s="98">
        <v>0</v>
      </c>
      <c r="J733" s="101">
        <f t="shared" ref="J733:J739" si="534">H733*I733</f>
        <v>0</v>
      </c>
      <c r="K733" s="100">
        <v>60</v>
      </c>
      <c r="L733" s="98">
        <v>5</v>
      </c>
      <c r="M733" s="101">
        <f t="shared" ref="M733:M739" si="535">K733*L733</f>
        <v>300</v>
      </c>
      <c r="N733" s="100">
        <v>40</v>
      </c>
      <c r="O733" s="98">
        <v>5</v>
      </c>
      <c r="P733" s="101">
        <f t="shared" ref="P733:P739" si="536">N733*O733</f>
        <v>200</v>
      </c>
      <c r="Q733" s="100">
        <v>0</v>
      </c>
      <c r="R733" s="98">
        <v>0</v>
      </c>
      <c r="S733" s="101">
        <f t="shared" ref="S733:S739" si="537">Q733*R733</f>
        <v>0</v>
      </c>
      <c r="T733" s="100">
        <v>0</v>
      </c>
      <c r="U733" s="98">
        <v>0</v>
      </c>
      <c r="V733" s="101">
        <f>T733*U733</f>
        <v>0</v>
      </c>
      <c r="W733" s="100">
        <v>0</v>
      </c>
      <c r="X733" s="98">
        <v>0</v>
      </c>
      <c r="Y733" s="147">
        <f t="shared" ref="Y733:Y739" si="538">W733*X733</f>
        <v>0</v>
      </c>
      <c r="Z733" s="150"/>
    </row>
    <row r="734" spans="2:26" s="35" customFormat="1" ht="17.100000000000001" customHeight="1">
      <c r="B734" s="105"/>
      <c r="C734" s="54"/>
      <c r="D734" s="96"/>
      <c r="E734" s="111"/>
      <c r="F734" s="112"/>
      <c r="G734" s="113"/>
      <c r="H734" s="100">
        <v>0</v>
      </c>
      <c r="I734" s="98">
        <v>0</v>
      </c>
      <c r="J734" s="101">
        <f t="shared" si="534"/>
        <v>0</v>
      </c>
      <c r="K734" s="100">
        <v>0</v>
      </c>
      <c r="L734" s="98">
        <v>0</v>
      </c>
      <c r="M734" s="101">
        <f t="shared" si="535"/>
        <v>0</v>
      </c>
      <c r="N734" s="100">
        <v>0</v>
      </c>
      <c r="O734" s="98">
        <v>0</v>
      </c>
      <c r="P734" s="101">
        <f t="shared" si="536"/>
        <v>0</v>
      </c>
      <c r="Q734" s="100">
        <v>0</v>
      </c>
      <c r="R734" s="98">
        <v>0</v>
      </c>
      <c r="S734" s="101">
        <f t="shared" si="537"/>
        <v>0</v>
      </c>
      <c r="T734" s="100">
        <v>0</v>
      </c>
      <c r="U734" s="98">
        <v>0</v>
      </c>
      <c r="V734" s="101">
        <f t="shared" ref="V734:V739" si="539">T734*U734</f>
        <v>0</v>
      </c>
      <c r="W734" s="100">
        <v>0</v>
      </c>
      <c r="X734" s="98">
        <v>0</v>
      </c>
      <c r="Y734" s="147">
        <f t="shared" si="538"/>
        <v>0</v>
      </c>
      <c r="Z734" s="150"/>
    </row>
    <row r="735" spans="2:26" s="35" customFormat="1" ht="17.100000000000001" customHeight="1">
      <c r="B735" s="105"/>
      <c r="C735" s="54"/>
      <c r="D735" s="96"/>
      <c r="E735" s="111"/>
      <c r="F735" s="112"/>
      <c r="G735" s="113"/>
      <c r="H735" s="100">
        <v>0</v>
      </c>
      <c r="I735" s="98">
        <v>0</v>
      </c>
      <c r="J735" s="101">
        <f t="shared" si="534"/>
        <v>0</v>
      </c>
      <c r="K735" s="100">
        <v>0</v>
      </c>
      <c r="L735" s="98">
        <v>0</v>
      </c>
      <c r="M735" s="101">
        <f t="shared" si="535"/>
        <v>0</v>
      </c>
      <c r="N735" s="100">
        <v>0</v>
      </c>
      <c r="O735" s="98">
        <v>0</v>
      </c>
      <c r="P735" s="101">
        <f t="shared" si="536"/>
        <v>0</v>
      </c>
      <c r="Q735" s="100">
        <v>0</v>
      </c>
      <c r="R735" s="98">
        <v>0</v>
      </c>
      <c r="S735" s="101">
        <f t="shared" si="537"/>
        <v>0</v>
      </c>
      <c r="T735" s="100">
        <v>0</v>
      </c>
      <c r="U735" s="98">
        <v>0</v>
      </c>
      <c r="V735" s="101">
        <f t="shared" si="539"/>
        <v>0</v>
      </c>
      <c r="W735" s="100">
        <v>0</v>
      </c>
      <c r="X735" s="98">
        <v>0</v>
      </c>
      <c r="Y735" s="147">
        <f t="shared" si="538"/>
        <v>0</v>
      </c>
      <c r="Z735" s="150"/>
    </row>
    <row r="736" spans="2:26" s="35" customFormat="1" ht="17.100000000000001" customHeight="1">
      <c r="B736" s="105"/>
      <c r="C736" s="54"/>
      <c r="D736" s="96"/>
      <c r="E736" s="111"/>
      <c r="F736" s="112"/>
      <c r="G736" s="113"/>
      <c r="H736" s="100">
        <v>0</v>
      </c>
      <c r="I736" s="98">
        <v>0</v>
      </c>
      <c r="J736" s="101">
        <f t="shared" si="534"/>
        <v>0</v>
      </c>
      <c r="K736" s="100">
        <v>0</v>
      </c>
      <c r="L736" s="98">
        <v>0</v>
      </c>
      <c r="M736" s="101">
        <f t="shared" si="535"/>
        <v>0</v>
      </c>
      <c r="N736" s="100">
        <v>0</v>
      </c>
      <c r="O736" s="98">
        <v>0</v>
      </c>
      <c r="P736" s="101">
        <f t="shared" si="536"/>
        <v>0</v>
      </c>
      <c r="Q736" s="100">
        <v>0</v>
      </c>
      <c r="R736" s="98">
        <v>0</v>
      </c>
      <c r="S736" s="101">
        <f t="shared" si="537"/>
        <v>0</v>
      </c>
      <c r="T736" s="100">
        <v>0</v>
      </c>
      <c r="U736" s="98">
        <v>0</v>
      </c>
      <c r="V736" s="101">
        <f t="shared" si="539"/>
        <v>0</v>
      </c>
      <c r="W736" s="100">
        <v>0</v>
      </c>
      <c r="X736" s="98">
        <v>0</v>
      </c>
      <c r="Y736" s="147">
        <f t="shared" si="538"/>
        <v>0</v>
      </c>
      <c r="Z736" s="150"/>
    </row>
    <row r="737" spans="2:26" s="35" customFormat="1" ht="17.100000000000001" customHeight="1">
      <c r="B737" s="105"/>
      <c r="C737" s="54"/>
      <c r="D737" s="96"/>
      <c r="E737" s="111"/>
      <c r="F737" s="112"/>
      <c r="G737" s="113"/>
      <c r="H737" s="100">
        <v>0</v>
      </c>
      <c r="I737" s="98">
        <v>0</v>
      </c>
      <c r="J737" s="101">
        <f t="shared" si="534"/>
        <v>0</v>
      </c>
      <c r="K737" s="100">
        <v>0</v>
      </c>
      <c r="L737" s="98">
        <v>0</v>
      </c>
      <c r="M737" s="101">
        <f t="shared" si="535"/>
        <v>0</v>
      </c>
      <c r="N737" s="100">
        <v>0</v>
      </c>
      <c r="O737" s="98">
        <v>0</v>
      </c>
      <c r="P737" s="101">
        <f t="shared" si="536"/>
        <v>0</v>
      </c>
      <c r="Q737" s="100">
        <v>0</v>
      </c>
      <c r="R737" s="98">
        <v>0</v>
      </c>
      <c r="S737" s="101">
        <f t="shared" si="537"/>
        <v>0</v>
      </c>
      <c r="T737" s="100">
        <v>0</v>
      </c>
      <c r="U737" s="98">
        <v>0</v>
      </c>
      <c r="V737" s="101">
        <f t="shared" si="539"/>
        <v>0</v>
      </c>
      <c r="W737" s="100">
        <v>0</v>
      </c>
      <c r="X737" s="98">
        <v>0</v>
      </c>
      <c r="Y737" s="147">
        <f t="shared" si="538"/>
        <v>0</v>
      </c>
      <c r="Z737" s="150"/>
    </row>
    <row r="738" spans="2:26" s="35" customFormat="1" ht="17.100000000000001" customHeight="1">
      <c r="B738" s="105"/>
      <c r="C738" s="54"/>
      <c r="D738" s="96"/>
      <c r="E738" s="111"/>
      <c r="F738" s="112"/>
      <c r="G738" s="113"/>
      <c r="H738" s="100">
        <v>0</v>
      </c>
      <c r="I738" s="98">
        <v>0</v>
      </c>
      <c r="J738" s="101">
        <f t="shared" si="534"/>
        <v>0</v>
      </c>
      <c r="K738" s="100">
        <v>0</v>
      </c>
      <c r="L738" s="98">
        <v>0</v>
      </c>
      <c r="M738" s="101">
        <f t="shared" si="535"/>
        <v>0</v>
      </c>
      <c r="N738" s="100">
        <v>0</v>
      </c>
      <c r="O738" s="98">
        <v>0</v>
      </c>
      <c r="P738" s="101">
        <f t="shared" si="536"/>
        <v>0</v>
      </c>
      <c r="Q738" s="100">
        <v>0</v>
      </c>
      <c r="R738" s="98">
        <v>0</v>
      </c>
      <c r="S738" s="101">
        <f t="shared" si="537"/>
        <v>0</v>
      </c>
      <c r="T738" s="100">
        <v>0</v>
      </c>
      <c r="U738" s="98">
        <v>0</v>
      </c>
      <c r="V738" s="101">
        <f t="shared" si="539"/>
        <v>0</v>
      </c>
      <c r="W738" s="100">
        <v>0</v>
      </c>
      <c r="X738" s="98">
        <v>0</v>
      </c>
      <c r="Y738" s="147">
        <f t="shared" si="538"/>
        <v>0</v>
      </c>
      <c r="Z738" s="150"/>
    </row>
    <row r="739" spans="2:26" s="35" customFormat="1" ht="17.100000000000001" customHeight="1">
      <c r="B739" s="105"/>
      <c r="C739" s="54"/>
      <c r="D739" s="96"/>
      <c r="E739" s="111"/>
      <c r="F739" s="112"/>
      <c r="G739" s="113"/>
      <c r="H739" s="100">
        <v>0</v>
      </c>
      <c r="I739" s="98">
        <v>0</v>
      </c>
      <c r="J739" s="101">
        <f t="shared" si="534"/>
        <v>0</v>
      </c>
      <c r="K739" s="100">
        <v>0</v>
      </c>
      <c r="L739" s="98">
        <v>0</v>
      </c>
      <c r="M739" s="101">
        <f t="shared" si="535"/>
        <v>0</v>
      </c>
      <c r="N739" s="100">
        <v>0</v>
      </c>
      <c r="O739" s="98">
        <v>0</v>
      </c>
      <c r="P739" s="101">
        <f t="shared" si="536"/>
        <v>0</v>
      </c>
      <c r="Q739" s="100">
        <v>0</v>
      </c>
      <c r="R739" s="98">
        <v>0</v>
      </c>
      <c r="S739" s="101">
        <f t="shared" si="537"/>
        <v>0</v>
      </c>
      <c r="T739" s="100">
        <v>0</v>
      </c>
      <c r="U739" s="98">
        <v>0</v>
      </c>
      <c r="V739" s="101">
        <f t="shared" si="539"/>
        <v>0</v>
      </c>
      <c r="W739" s="100">
        <v>0</v>
      </c>
      <c r="X739" s="98">
        <v>0</v>
      </c>
      <c r="Y739" s="147">
        <f t="shared" si="538"/>
        <v>0</v>
      </c>
      <c r="Z739" s="150"/>
    </row>
    <row r="740" spans="2:26" s="126" customFormat="1" ht="17.100000000000001" customHeight="1">
      <c r="B740" s="118"/>
      <c r="C740" s="119"/>
      <c r="D740" s="120"/>
      <c r="E740" s="121"/>
      <c r="F740" s="122"/>
      <c r="G740" s="123"/>
      <c r="H740" s="341" t="s">
        <v>201</v>
      </c>
      <c r="I740" s="342"/>
      <c r="J740" s="124">
        <f>SUM(J733:J739)</f>
        <v>0</v>
      </c>
      <c r="K740" s="341" t="s">
        <v>201</v>
      </c>
      <c r="L740" s="342"/>
      <c r="M740" s="124">
        <f>SUM(M733:M739)</f>
        <v>300</v>
      </c>
      <c r="N740" s="341" t="s">
        <v>201</v>
      </c>
      <c r="O740" s="342"/>
      <c r="P740" s="124">
        <f>SUM(P733:P739)</f>
        <v>200</v>
      </c>
      <c r="Q740" s="341" t="s">
        <v>201</v>
      </c>
      <c r="R740" s="342"/>
      <c r="S740" s="124">
        <f>SUM(S733:S739)</f>
        <v>0</v>
      </c>
      <c r="T740" s="341" t="s">
        <v>201</v>
      </c>
      <c r="U740" s="342"/>
      <c r="V740" s="124">
        <f>SUM(V733:V739)</f>
        <v>0</v>
      </c>
      <c r="W740" s="341" t="s">
        <v>201</v>
      </c>
      <c r="X740" s="342"/>
      <c r="Y740" s="127">
        <f>SUM(Y733:Y739)</f>
        <v>0</v>
      </c>
      <c r="Z740" s="151"/>
    </row>
    <row r="741" spans="2:26" s="35" customFormat="1" ht="17.100000000000001" customHeight="1">
      <c r="B741" s="105"/>
      <c r="C741" s="54">
        <f>'2. Rekap Back Up Beton'!C111</f>
        <v>18800</v>
      </c>
      <c r="D741" s="96">
        <f>'2. Rekap Back Up Beton'!D111</f>
        <v>18900</v>
      </c>
      <c r="E741" s="111">
        <f>'2. Rekap Back Up Beton'!E111</f>
        <v>5</v>
      </c>
      <c r="F741" s="112">
        <f>(100/((D741-C741)*E741))*((J748*0.5)+(M748*1)+(P748*2)+(S748*20)+(V748*15)+(Y748*1.5))</f>
        <v>140</v>
      </c>
      <c r="G741" s="113" t="str">
        <f>IF(F741&lt;=25,"B",IF(F741&lt;=75,"S",IF(F741&lt;=100,"RR","RB")))</f>
        <v>RB</v>
      </c>
      <c r="H741" s="100">
        <v>0</v>
      </c>
      <c r="I741" s="98">
        <v>0</v>
      </c>
      <c r="J741" s="101">
        <f t="shared" ref="J741:J747" si="540">H741*I741</f>
        <v>0</v>
      </c>
      <c r="K741" s="100">
        <v>40</v>
      </c>
      <c r="L741" s="98">
        <v>5</v>
      </c>
      <c r="M741" s="101">
        <f t="shared" ref="M741:M747" si="541">K741*L741</f>
        <v>200</v>
      </c>
      <c r="N741" s="100">
        <v>50</v>
      </c>
      <c r="O741" s="98">
        <v>5</v>
      </c>
      <c r="P741" s="101">
        <f t="shared" ref="P741:P747" si="542">N741*O741</f>
        <v>250</v>
      </c>
      <c r="Q741" s="100">
        <v>0</v>
      </c>
      <c r="R741" s="98">
        <v>0</v>
      </c>
      <c r="S741" s="101">
        <f t="shared" ref="S741:S747" si="543">Q741*R741</f>
        <v>0</v>
      </c>
      <c r="T741" s="100">
        <v>0</v>
      </c>
      <c r="U741" s="98">
        <v>0</v>
      </c>
      <c r="V741" s="101">
        <f>T741*U741</f>
        <v>0</v>
      </c>
      <c r="W741" s="100">
        <v>0</v>
      </c>
      <c r="X741" s="98">
        <v>0</v>
      </c>
      <c r="Y741" s="147">
        <f t="shared" ref="Y741:Y747" si="544">W741*X741</f>
        <v>0</v>
      </c>
      <c r="Z741" s="150"/>
    </row>
    <row r="742" spans="2:26" s="35" customFormat="1" ht="17.100000000000001" customHeight="1">
      <c r="B742" s="105"/>
      <c r="C742" s="54"/>
      <c r="D742" s="96"/>
      <c r="E742" s="111"/>
      <c r="F742" s="112"/>
      <c r="G742" s="113"/>
      <c r="H742" s="100">
        <v>0</v>
      </c>
      <c r="I742" s="98">
        <v>0</v>
      </c>
      <c r="J742" s="101">
        <f t="shared" si="540"/>
        <v>0</v>
      </c>
      <c r="K742" s="100">
        <v>0</v>
      </c>
      <c r="L742" s="98">
        <v>0</v>
      </c>
      <c r="M742" s="101">
        <f t="shared" si="541"/>
        <v>0</v>
      </c>
      <c r="N742" s="100">
        <v>0</v>
      </c>
      <c r="O742" s="98">
        <v>0</v>
      </c>
      <c r="P742" s="101">
        <f t="shared" si="542"/>
        <v>0</v>
      </c>
      <c r="Q742" s="100">
        <v>0</v>
      </c>
      <c r="R742" s="98">
        <v>0</v>
      </c>
      <c r="S742" s="101">
        <f t="shared" si="543"/>
        <v>0</v>
      </c>
      <c r="T742" s="100">
        <v>0</v>
      </c>
      <c r="U742" s="98">
        <v>0</v>
      </c>
      <c r="V742" s="101">
        <f t="shared" ref="V742:V747" si="545">T742*U742</f>
        <v>0</v>
      </c>
      <c r="W742" s="100">
        <v>0</v>
      </c>
      <c r="X742" s="98">
        <v>0</v>
      </c>
      <c r="Y742" s="147">
        <f t="shared" si="544"/>
        <v>0</v>
      </c>
      <c r="Z742" s="150"/>
    </row>
    <row r="743" spans="2:26" s="35" customFormat="1" ht="17.100000000000001" customHeight="1">
      <c r="B743" s="105"/>
      <c r="C743" s="54"/>
      <c r="D743" s="96"/>
      <c r="E743" s="111"/>
      <c r="F743" s="112"/>
      <c r="G743" s="113"/>
      <c r="H743" s="100">
        <v>0</v>
      </c>
      <c r="I743" s="98">
        <v>0</v>
      </c>
      <c r="J743" s="101">
        <f t="shared" si="540"/>
        <v>0</v>
      </c>
      <c r="K743" s="100">
        <v>0</v>
      </c>
      <c r="L743" s="98">
        <v>0</v>
      </c>
      <c r="M743" s="101">
        <f t="shared" si="541"/>
        <v>0</v>
      </c>
      <c r="N743" s="100">
        <v>0</v>
      </c>
      <c r="O743" s="98">
        <v>0</v>
      </c>
      <c r="P743" s="101">
        <f t="shared" si="542"/>
        <v>0</v>
      </c>
      <c r="Q743" s="100">
        <v>0</v>
      </c>
      <c r="R743" s="98">
        <v>0</v>
      </c>
      <c r="S743" s="101">
        <f t="shared" si="543"/>
        <v>0</v>
      </c>
      <c r="T743" s="100">
        <v>0</v>
      </c>
      <c r="U743" s="98">
        <v>0</v>
      </c>
      <c r="V743" s="101">
        <f t="shared" si="545"/>
        <v>0</v>
      </c>
      <c r="W743" s="100">
        <v>0</v>
      </c>
      <c r="X743" s="98">
        <v>0</v>
      </c>
      <c r="Y743" s="147">
        <f t="shared" si="544"/>
        <v>0</v>
      </c>
      <c r="Z743" s="150"/>
    </row>
    <row r="744" spans="2:26" s="35" customFormat="1" ht="17.100000000000001" customHeight="1">
      <c r="B744" s="105"/>
      <c r="C744" s="54"/>
      <c r="D744" s="96"/>
      <c r="E744" s="111"/>
      <c r="F744" s="112"/>
      <c r="G744" s="113"/>
      <c r="H744" s="100">
        <v>0</v>
      </c>
      <c r="I744" s="98">
        <v>0</v>
      </c>
      <c r="J744" s="101">
        <f t="shared" si="540"/>
        <v>0</v>
      </c>
      <c r="K744" s="100">
        <v>0</v>
      </c>
      <c r="L744" s="98">
        <v>0</v>
      </c>
      <c r="M744" s="101">
        <f t="shared" si="541"/>
        <v>0</v>
      </c>
      <c r="N744" s="100">
        <v>0</v>
      </c>
      <c r="O744" s="98">
        <v>0</v>
      </c>
      <c r="P744" s="101">
        <f t="shared" si="542"/>
        <v>0</v>
      </c>
      <c r="Q744" s="100">
        <v>0</v>
      </c>
      <c r="R744" s="98">
        <v>0</v>
      </c>
      <c r="S744" s="101">
        <f t="shared" si="543"/>
        <v>0</v>
      </c>
      <c r="T744" s="100">
        <v>0</v>
      </c>
      <c r="U744" s="98">
        <v>0</v>
      </c>
      <c r="V744" s="101">
        <f t="shared" si="545"/>
        <v>0</v>
      </c>
      <c r="W744" s="100">
        <v>0</v>
      </c>
      <c r="X744" s="98">
        <v>0</v>
      </c>
      <c r="Y744" s="147">
        <f t="shared" si="544"/>
        <v>0</v>
      </c>
      <c r="Z744" s="150"/>
    </row>
    <row r="745" spans="2:26" s="35" customFormat="1" ht="17.100000000000001" customHeight="1">
      <c r="B745" s="105"/>
      <c r="C745" s="54"/>
      <c r="D745" s="96"/>
      <c r="E745" s="111"/>
      <c r="F745" s="112"/>
      <c r="G745" s="113"/>
      <c r="H745" s="100">
        <v>0</v>
      </c>
      <c r="I745" s="98">
        <v>0</v>
      </c>
      <c r="J745" s="101">
        <f t="shared" si="540"/>
        <v>0</v>
      </c>
      <c r="K745" s="100">
        <v>0</v>
      </c>
      <c r="L745" s="98">
        <v>0</v>
      </c>
      <c r="M745" s="101">
        <f t="shared" si="541"/>
        <v>0</v>
      </c>
      <c r="N745" s="100">
        <v>0</v>
      </c>
      <c r="O745" s="98">
        <v>0</v>
      </c>
      <c r="P745" s="101">
        <f t="shared" si="542"/>
        <v>0</v>
      </c>
      <c r="Q745" s="100">
        <v>0</v>
      </c>
      <c r="R745" s="98">
        <v>0</v>
      </c>
      <c r="S745" s="101">
        <f t="shared" si="543"/>
        <v>0</v>
      </c>
      <c r="T745" s="100">
        <v>0</v>
      </c>
      <c r="U745" s="98">
        <v>0</v>
      </c>
      <c r="V745" s="101">
        <f t="shared" si="545"/>
        <v>0</v>
      </c>
      <c r="W745" s="100">
        <v>0</v>
      </c>
      <c r="X745" s="98">
        <v>0</v>
      </c>
      <c r="Y745" s="147">
        <f t="shared" si="544"/>
        <v>0</v>
      </c>
      <c r="Z745" s="150"/>
    </row>
    <row r="746" spans="2:26" s="35" customFormat="1" ht="17.100000000000001" customHeight="1">
      <c r="B746" s="105"/>
      <c r="C746" s="54"/>
      <c r="D746" s="96"/>
      <c r="E746" s="111"/>
      <c r="F746" s="112"/>
      <c r="G746" s="113"/>
      <c r="H746" s="100">
        <v>0</v>
      </c>
      <c r="I746" s="98">
        <v>0</v>
      </c>
      <c r="J746" s="101">
        <f t="shared" si="540"/>
        <v>0</v>
      </c>
      <c r="K746" s="100">
        <v>0</v>
      </c>
      <c r="L746" s="98">
        <v>0</v>
      </c>
      <c r="M746" s="101">
        <f t="shared" si="541"/>
        <v>0</v>
      </c>
      <c r="N746" s="100">
        <v>0</v>
      </c>
      <c r="O746" s="98">
        <v>0</v>
      </c>
      <c r="P746" s="101">
        <f t="shared" si="542"/>
        <v>0</v>
      </c>
      <c r="Q746" s="100">
        <v>0</v>
      </c>
      <c r="R746" s="98">
        <v>0</v>
      </c>
      <c r="S746" s="101">
        <f t="shared" si="543"/>
        <v>0</v>
      </c>
      <c r="T746" s="100">
        <v>0</v>
      </c>
      <c r="U746" s="98">
        <v>0</v>
      </c>
      <c r="V746" s="101">
        <f t="shared" si="545"/>
        <v>0</v>
      </c>
      <c r="W746" s="100">
        <v>0</v>
      </c>
      <c r="X746" s="98">
        <v>0</v>
      </c>
      <c r="Y746" s="147">
        <f t="shared" si="544"/>
        <v>0</v>
      </c>
      <c r="Z746" s="150"/>
    </row>
    <row r="747" spans="2:26" s="35" customFormat="1" ht="17.100000000000001" customHeight="1">
      <c r="B747" s="105"/>
      <c r="C747" s="54"/>
      <c r="D747" s="96"/>
      <c r="E747" s="111"/>
      <c r="F747" s="112"/>
      <c r="G747" s="113"/>
      <c r="H747" s="100">
        <v>0</v>
      </c>
      <c r="I747" s="98">
        <v>0</v>
      </c>
      <c r="J747" s="101">
        <f t="shared" si="540"/>
        <v>0</v>
      </c>
      <c r="K747" s="100">
        <v>0</v>
      </c>
      <c r="L747" s="98">
        <v>0</v>
      </c>
      <c r="M747" s="101">
        <f t="shared" si="541"/>
        <v>0</v>
      </c>
      <c r="N747" s="100">
        <v>0</v>
      </c>
      <c r="O747" s="98">
        <v>0</v>
      </c>
      <c r="P747" s="101">
        <f t="shared" si="542"/>
        <v>0</v>
      </c>
      <c r="Q747" s="100">
        <v>0</v>
      </c>
      <c r="R747" s="98">
        <v>0</v>
      </c>
      <c r="S747" s="101">
        <f t="shared" si="543"/>
        <v>0</v>
      </c>
      <c r="T747" s="100">
        <v>0</v>
      </c>
      <c r="U747" s="98">
        <v>0</v>
      </c>
      <c r="V747" s="101">
        <f t="shared" si="545"/>
        <v>0</v>
      </c>
      <c r="W747" s="100">
        <v>0</v>
      </c>
      <c r="X747" s="98">
        <v>0</v>
      </c>
      <c r="Y747" s="147">
        <f t="shared" si="544"/>
        <v>0</v>
      </c>
      <c r="Z747" s="150"/>
    </row>
    <row r="748" spans="2:26" s="126" customFormat="1" ht="17.100000000000001" customHeight="1">
      <c r="B748" s="118"/>
      <c r="C748" s="119"/>
      <c r="D748" s="120"/>
      <c r="E748" s="121"/>
      <c r="F748" s="122"/>
      <c r="G748" s="123"/>
      <c r="H748" s="341" t="s">
        <v>201</v>
      </c>
      <c r="I748" s="342"/>
      <c r="J748" s="124">
        <f>SUM(J741:J747)</f>
        <v>0</v>
      </c>
      <c r="K748" s="341" t="s">
        <v>201</v>
      </c>
      <c r="L748" s="342"/>
      <c r="M748" s="124">
        <f>SUM(M741:M747)</f>
        <v>200</v>
      </c>
      <c r="N748" s="341" t="s">
        <v>201</v>
      </c>
      <c r="O748" s="342"/>
      <c r="P748" s="124">
        <f>SUM(P741:P747)</f>
        <v>250</v>
      </c>
      <c r="Q748" s="341" t="s">
        <v>201</v>
      </c>
      <c r="R748" s="342"/>
      <c r="S748" s="124">
        <f>SUM(S741:S747)</f>
        <v>0</v>
      </c>
      <c r="T748" s="341" t="s">
        <v>201</v>
      </c>
      <c r="U748" s="342"/>
      <c r="V748" s="124">
        <f>SUM(V741:V747)</f>
        <v>0</v>
      </c>
      <c r="W748" s="341" t="s">
        <v>201</v>
      </c>
      <c r="X748" s="342"/>
      <c r="Y748" s="127">
        <f>SUM(Y741:Y747)</f>
        <v>0</v>
      </c>
      <c r="Z748" s="151"/>
    </row>
    <row r="749" spans="2:26" s="35" customFormat="1" ht="17.100000000000001" customHeight="1">
      <c r="B749" s="105"/>
      <c r="C749" s="54">
        <f>'2. Rekap Back Up Beton'!C112</f>
        <v>18900</v>
      </c>
      <c r="D749" s="96">
        <f>'2. Rekap Back Up Beton'!D112</f>
        <v>19000</v>
      </c>
      <c r="E749" s="111">
        <f>'2. Rekap Back Up Beton'!E112</f>
        <v>5</v>
      </c>
      <c r="F749" s="112">
        <f>(100/((D749-C749)*E749))*((J756*0.5)+(M756*1)+(P756*2)+(S756*20)+(V756*15)+(Y756*1.5))</f>
        <v>200</v>
      </c>
      <c r="G749" s="113" t="str">
        <f>IF(F749&lt;=25,"B",IF(F749&lt;=75,"S",IF(F749&lt;=100,"RR","RB")))</f>
        <v>RB</v>
      </c>
      <c r="H749" s="100">
        <v>0</v>
      </c>
      <c r="I749" s="98">
        <v>0</v>
      </c>
      <c r="J749" s="101">
        <f t="shared" ref="J749:J755" si="546">H749*I749</f>
        <v>0</v>
      </c>
      <c r="K749" s="100">
        <v>0</v>
      </c>
      <c r="L749" s="98">
        <v>0</v>
      </c>
      <c r="M749" s="101">
        <f t="shared" ref="M749:M755" si="547">K749*L749</f>
        <v>0</v>
      </c>
      <c r="N749" s="100">
        <v>100</v>
      </c>
      <c r="O749" s="98">
        <v>5</v>
      </c>
      <c r="P749" s="101">
        <f t="shared" ref="P749:P755" si="548">N749*O749</f>
        <v>500</v>
      </c>
      <c r="Q749" s="100">
        <v>0</v>
      </c>
      <c r="R749" s="98">
        <v>0</v>
      </c>
      <c r="S749" s="101">
        <f t="shared" ref="S749:S755" si="549">Q749*R749</f>
        <v>0</v>
      </c>
      <c r="T749" s="100">
        <v>0</v>
      </c>
      <c r="U749" s="98">
        <v>0</v>
      </c>
      <c r="V749" s="101">
        <f>T749*U749</f>
        <v>0</v>
      </c>
      <c r="W749" s="100">
        <v>0</v>
      </c>
      <c r="X749" s="98">
        <v>0</v>
      </c>
      <c r="Y749" s="147">
        <f t="shared" ref="Y749:Y755" si="550">W749*X749</f>
        <v>0</v>
      </c>
      <c r="Z749" s="150"/>
    </row>
    <row r="750" spans="2:26" s="35" customFormat="1" ht="17.100000000000001" customHeight="1">
      <c r="B750" s="105"/>
      <c r="C750" s="54"/>
      <c r="D750" s="96"/>
      <c r="E750" s="111"/>
      <c r="F750" s="112"/>
      <c r="G750" s="113"/>
      <c r="H750" s="100">
        <v>0</v>
      </c>
      <c r="I750" s="98">
        <v>0</v>
      </c>
      <c r="J750" s="101">
        <f t="shared" si="546"/>
        <v>0</v>
      </c>
      <c r="K750" s="100">
        <v>0</v>
      </c>
      <c r="L750" s="98">
        <v>0</v>
      </c>
      <c r="M750" s="101">
        <f t="shared" si="547"/>
        <v>0</v>
      </c>
      <c r="N750" s="100">
        <v>0</v>
      </c>
      <c r="O750" s="98">
        <v>0</v>
      </c>
      <c r="P750" s="101">
        <f t="shared" si="548"/>
        <v>0</v>
      </c>
      <c r="Q750" s="100">
        <v>0</v>
      </c>
      <c r="R750" s="98">
        <v>0</v>
      </c>
      <c r="S750" s="101">
        <f t="shared" si="549"/>
        <v>0</v>
      </c>
      <c r="T750" s="100">
        <v>0</v>
      </c>
      <c r="U750" s="98">
        <v>0</v>
      </c>
      <c r="V750" s="101">
        <f t="shared" ref="V750:V755" si="551">T750*U750</f>
        <v>0</v>
      </c>
      <c r="W750" s="100">
        <v>0</v>
      </c>
      <c r="X750" s="98">
        <v>0</v>
      </c>
      <c r="Y750" s="147">
        <f t="shared" si="550"/>
        <v>0</v>
      </c>
      <c r="Z750" s="150"/>
    </row>
    <row r="751" spans="2:26" s="35" customFormat="1" ht="17.100000000000001" customHeight="1">
      <c r="B751" s="105"/>
      <c r="C751" s="54"/>
      <c r="D751" s="96"/>
      <c r="E751" s="111"/>
      <c r="F751" s="112"/>
      <c r="G751" s="113"/>
      <c r="H751" s="100">
        <v>0</v>
      </c>
      <c r="I751" s="98">
        <v>0</v>
      </c>
      <c r="J751" s="101">
        <f t="shared" si="546"/>
        <v>0</v>
      </c>
      <c r="K751" s="100">
        <v>0</v>
      </c>
      <c r="L751" s="98">
        <v>0</v>
      </c>
      <c r="M751" s="101">
        <f t="shared" si="547"/>
        <v>0</v>
      </c>
      <c r="N751" s="100">
        <v>0</v>
      </c>
      <c r="O751" s="98">
        <v>0</v>
      </c>
      <c r="P751" s="101">
        <f t="shared" si="548"/>
        <v>0</v>
      </c>
      <c r="Q751" s="100">
        <v>0</v>
      </c>
      <c r="R751" s="98">
        <v>0</v>
      </c>
      <c r="S751" s="101">
        <f t="shared" si="549"/>
        <v>0</v>
      </c>
      <c r="T751" s="100">
        <v>0</v>
      </c>
      <c r="U751" s="98">
        <v>0</v>
      </c>
      <c r="V751" s="101">
        <f t="shared" si="551"/>
        <v>0</v>
      </c>
      <c r="W751" s="100">
        <v>0</v>
      </c>
      <c r="X751" s="98">
        <v>0</v>
      </c>
      <c r="Y751" s="147">
        <f t="shared" si="550"/>
        <v>0</v>
      </c>
      <c r="Z751" s="150"/>
    </row>
    <row r="752" spans="2:26" s="35" customFormat="1" ht="17.100000000000001" customHeight="1">
      <c r="B752" s="105"/>
      <c r="C752" s="54"/>
      <c r="D752" s="96"/>
      <c r="E752" s="111"/>
      <c r="F752" s="112"/>
      <c r="G752" s="113"/>
      <c r="H752" s="100">
        <v>0</v>
      </c>
      <c r="I752" s="98">
        <v>0</v>
      </c>
      <c r="J752" s="101">
        <f t="shared" si="546"/>
        <v>0</v>
      </c>
      <c r="K752" s="100">
        <v>0</v>
      </c>
      <c r="L752" s="98">
        <v>0</v>
      </c>
      <c r="M752" s="101">
        <f t="shared" si="547"/>
        <v>0</v>
      </c>
      <c r="N752" s="100">
        <v>0</v>
      </c>
      <c r="O752" s="98">
        <v>0</v>
      </c>
      <c r="P752" s="101">
        <f t="shared" si="548"/>
        <v>0</v>
      </c>
      <c r="Q752" s="100">
        <v>0</v>
      </c>
      <c r="R752" s="98">
        <v>0</v>
      </c>
      <c r="S752" s="101">
        <f t="shared" si="549"/>
        <v>0</v>
      </c>
      <c r="T752" s="100">
        <v>0</v>
      </c>
      <c r="U752" s="98">
        <v>0</v>
      </c>
      <c r="V752" s="101">
        <f t="shared" si="551"/>
        <v>0</v>
      </c>
      <c r="W752" s="100">
        <v>0</v>
      </c>
      <c r="X752" s="98">
        <v>0</v>
      </c>
      <c r="Y752" s="147">
        <f t="shared" si="550"/>
        <v>0</v>
      </c>
      <c r="Z752" s="150"/>
    </row>
    <row r="753" spans="2:26" s="35" customFormat="1" ht="17.100000000000001" customHeight="1">
      <c r="B753" s="105"/>
      <c r="C753" s="54"/>
      <c r="D753" s="96"/>
      <c r="E753" s="111"/>
      <c r="F753" s="112"/>
      <c r="G753" s="113"/>
      <c r="H753" s="100">
        <v>0</v>
      </c>
      <c r="I753" s="98">
        <v>0</v>
      </c>
      <c r="J753" s="101">
        <f t="shared" si="546"/>
        <v>0</v>
      </c>
      <c r="K753" s="100">
        <v>0</v>
      </c>
      <c r="L753" s="98">
        <v>0</v>
      </c>
      <c r="M753" s="101">
        <f t="shared" si="547"/>
        <v>0</v>
      </c>
      <c r="N753" s="100">
        <v>0</v>
      </c>
      <c r="O753" s="98">
        <v>0</v>
      </c>
      <c r="P753" s="101">
        <f t="shared" si="548"/>
        <v>0</v>
      </c>
      <c r="Q753" s="100">
        <v>0</v>
      </c>
      <c r="R753" s="98">
        <v>0</v>
      </c>
      <c r="S753" s="101">
        <f t="shared" si="549"/>
        <v>0</v>
      </c>
      <c r="T753" s="100">
        <v>0</v>
      </c>
      <c r="U753" s="98">
        <v>0</v>
      </c>
      <c r="V753" s="101">
        <f t="shared" si="551"/>
        <v>0</v>
      </c>
      <c r="W753" s="100">
        <v>0</v>
      </c>
      <c r="X753" s="98">
        <v>0</v>
      </c>
      <c r="Y753" s="147">
        <f t="shared" si="550"/>
        <v>0</v>
      </c>
      <c r="Z753" s="150"/>
    </row>
    <row r="754" spans="2:26" s="35" customFormat="1" ht="17.100000000000001" customHeight="1">
      <c r="B754" s="105"/>
      <c r="C754" s="54"/>
      <c r="D754" s="96"/>
      <c r="E754" s="111"/>
      <c r="F754" s="112"/>
      <c r="G754" s="113"/>
      <c r="H754" s="100">
        <v>0</v>
      </c>
      <c r="I754" s="98">
        <v>0</v>
      </c>
      <c r="J754" s="101">
        <f t="shared" si="546"/>
        <v>0</v>
      </c>
      <c r="K754" s="100">
        <v>0</v>
      </c>
      <c r="L754" s="98">
        <v>0</v>
      </c>
      <c r="M754" s="101">
        <f t="shared" si="547"/>
        <v>0</v>
      </c>
      <c r="N754" s="100">
        <v>0</v>
      </c>
      <c r="O754" s="98">
        <v>0</v>
      </c>
      <c r="P754" s="101">
        <f t="shared" si="548"/>
        <v>0</v>
      </c>
      <c r="Q754" s="100">
        <v>0</v>
      </c>
      <c r="R754" s="98">
        <v>0</v>
      </c>
      <c r="S754" s="101">
        <f t="shared" si="549"/>
        <v>0</v>
      </c>
      <c r="T754" s="100">
        <v>0</v>
      </c>
      <c r="U754" s="98">
        <v>0</v>
      </c>
      <c r="V754" s="101">
        <f t="shared" si="551"/>
        <v>0</v>
      </c>
      <c r="W754" s="100">
        <v>0</v>
      </c>
      <c r="X754" s="98">
        <v>0</v>
      </c>
      <c r="Y754" s="147">
        <f t="shared" si="550"/>
        <v>0</v>
      </c>
      <c r="Z754" s="150"/>
    </row>
    <row r="755" spans="2:26" s="35" customFormat="1" ht="17.100000000000001" customHeight="1">
      <c r="B755" s="105"/>
      <c r="C755" s="54"/>
      <c r="D755" s="96"/>
      <c r="E755" s="111"/>
      <c r="F755" s="112"/>
      <c r="G755" s="113"/>
      <c r="H755" s="100">
        <v>0</v>
      </c>
      <c r="I755" s="98">
        <v>0</v>
      </c>
      <c r="J755" s="101">
        <f t="shared" si="546"/>
        <v>0</v>
      </c>
      <c r="K755" s="100">
        <v>0</v>
      </c>
      <c r="L755" s="98">
        <v>0</v>
      </c>
      <c r="M755" s="101">
        <f t="shared" si="547"/>
        <v>0</v>
      </c>
      <c r="N755" s="100">
        <v>0</v>
      </c>
      <c r="O755" s="98">
        <v>0</v>
      </c>
      <c r="P755" s="101">
        <f t="shared" si="548"/>
        <v>0</v>
      </c>
      <c r="Q755" s="100">
        <v>0</v>
      </c>
      <c r="R755" s="98">
        <v>0</v>
      </c>
      <c r="S755" s="101">
        <f t="shared" si="549"/>
        <v>0</v>
      </c>
      <c r="T755" s="100">
        <v>0</v>
      </c>
      <c r="U755" s="98">
        <v>0</v>
      </c>
      <c r="V755" s="101">
        <f t="shared" si="551"/>
        <v>0</v>
      </c>
      <c r="W755" s="100">
        <v>0</v>
      </c>
      <c r="X755" s="98">
        <v>0</v>
      </c>
      <c r="Y755" s="147">
        <f t="shared" si="550"/>
        <v>0</v>
      </c>
      <c r="Z755" s="150"/>
    </row>
    <row r="756" spans="2:26" s="126" customFormat="1" ht="17.100000000000001" customHeight="1" thickBot="1">
      <c r="B756" s="128"/>
      <c r="C756" s="154"/>
      <c r="D756" s="155"/>
      <c r="E756" s="156"/>
      <c r="F756" s="129"/>
      <c r="G756" s="130"/>
      <c r="H756" s="344" t="s">
        <v>201</v>
      </c>
      <c r="I756" s="345"/>
      <c r="J756" s="131">
        <f>SUM(J749:J755)</f>
        <v>0</v>
      </c>
      <c r="K756" s="344" t="s">
        <v>201</v>
      </c>
      <c r="L756" s="345"/>
      <c r="M756" s="131">
        <f>SUM(M749:M755)</f>
        <v>0</v>
      </c>
      <c r="N756" s="344" t="s">
        <v>201</v>
      </c>
      <c r="O756" s="345"/>
      <c r="P756" s="131">
        <f>SUM(P749:P755)</f>
        <v>500</v>
      </c>
      <c r="Q756" s="344" t="s">
        <v>201</v>
      </c>
      <c r="R756" s="345"/>
      <c r="S756" s="131">
        <f>SUM(S749:S755)</f>
        <v>0</v>
      </c>
      <c r="T756" s="344" t="s">
        <v>201</v>
      </c>
      <c r="U756" s="345"/>
      <c r="V756" s="131">
        <f>SUM(V749:V755)</f>
        <v>0</v>
      </c>
      <c r="W756" s="344" t="s">
        <v>201</v>
      </c>
      <c r="X756" s="345"/>
      <c r="Y756" s="132">
        <f>SUM(Y749:Y755)</f>
        <v>0</v>
      </c>
      <c r="Z756" s="152"/>
    </row>
    <row r="757" spans="2:26" s="35" customFormat="1" ht="17.100000000000001" customHeight="1">
      <c r="B757" s="114"/>
      <c r="C757" s="157">
        <f>'2. Rekap Back Up Beton'!C113</f>
        <v>19000</v>
      </c>
      <c r="D757" s="158">
        <f>'2. Rekap Back Up Beton'!D113</f>
        <v>19100</v>
      </c>
      <c r="E757" s="159">
        <f>'2. Rekap Back Up Beton'!E113</f>
        <v>5</v>
      </c>
      <c r="F757" s="115">
        <f>(100/((D757-C757)*E757))*((J764*0.5)+(M764*1)+(P764*2)+(S764*20)+(V764*15)+(Y764*1.5))</f>
        <v>200</v>
      </c>
      <c r="G757" s="116" t="str">
        <f>IF(F757&lt;=25,"B",IF(F757&lt;=75,"S",IF(F757&lt;=100,"RR","RB")))</f>
        <v>RB</v>
      </c>
      <c r="H757" s="135">
        <v>0</v>
      </c>
      <c r="I757" s="136">
        <v>0</v>
      </c>
      <c r="J757" s="137">
        <f t="shared" ref="J757:J763" si="552">H757*I757</f>
        <v>0</v>
      </c>
      <c r="K757" s="135">
        <v>0</v>
      </c>
      <c r="L757" s="136">
        <v>0</v>
      </c>
      <c r="M757" s="137">
        <f t="shared" ref="M757:M763" si="553">K757*L757</f>
        <v>0</v>
      </c>
      <c r="N757" s="135">
        <v>100</v>
      </c>
      <c r="O757" s="136">
        <v>5</v>
      </c>
      <c r="P757" s="137">
        <f t="shared" ref="P757:P763" si="554">N757*O757</f>
        <v>500</v>
      </c>
      <c r="Q757" s="135">
        <v>0</v>
      </c>
      <c r="R757" s="136">
        <v>0</v>
      </c>
      <c r="S757" s="137">
        <f t="shared" ref="S757:S763" si="555">Q757*R757</f>
        <v>0</v>
      </c>
      <c r="T757" s="135">
        <v>0</v>
      </c>
      <c r="U757" s="136">
        <v>0</v>
      </c>
      <c r="V757" s="137">
        <f>T757*U757</f>
        <v>0</v>
      </c>
      <c r="W757" s="135">
        <v>0</v>
      </c>
      <c r="X757" s="136">
        <v>0</v>
      </c>
      <c r="Y757" s="148">
        <f t="shared" ref="Y757:Y763" si="556">W757*X757</f>
        <v>0</v>
      </c>
      <c r="Z757" s="153"/>
    </row>
    <row r="758" spans="2:26" s="35" customFormat="1" ht="17.100000000000001" customHeight="1">
      <c r="B758" s="105"/>
      <c r="C758" s="54"/>
      <c r="D758" s="96"/>
      <c r="E758" s="111"/>
      <c r="F758" s="112"/>
      <c r="G758" s="113"/>
      <c r="H758" s="100">
        <v>0</v>
      </c>
      <c r="I758" s="98">
        <v>0</v>
      </c>
      <c r="J758" s="101">
        <f t="shared" si="552"/>
        <v>0</v>
      </c>
      <c r="K758" s="100">
        <v>0</v>
      </c>
      <c r="L758" s="98">
        <v>0</v>
      </c>
      <c r="M758" s="101">
        <f t="shared" si="553"/>
        <v>0</v>
      </c>
      <c r="N758" s="100">
        <v>0</v>
      </c>
      <c r="O758" s="98">
        <v>0</v>
      </c>
      <c r="P758" s="101">
        <f t="shared" si="554"/>
        <v>0</v>
      </c>
      <c r="Q758" s="100">
        <v>0</v>
      </c>
      <c r="R758" s="98">
        <v>0</v>
      </c>
      <c r="S758" s="101">
        <f t="shared" si="555"/>
        <v>0</v>
      </c>
      <c r="T758" s="100">
        <v>0</v>
      </c>
      <c r="U758" s="98">
        <v>0</v>
      </c>
      <c r="V758" s="101">
        <f t="shared" ref="V758:V763" si="557">T758*U758</f>
        <v>0</v>
      </c>
      <c r="W758" s="100">
        <v>0</v>
      </c>
      <c r="X758" s="98">
        <v>0</v>
      </c>
      <c r="Y758" s="147">
        <f t="shared" si="556"/>
        <v>0</v>
      </c>
      <c r="Z758" s="150"/>
    </row>
    <row r="759" spans="2:26" s="35" customFormat="1" ht="17.100000000000001" customHeight="1">
      <c r="B759" s="105"/>
      <c r="C759" s="54"/>
      <c r="D759" s="96"/>
      <c r="E759" s="111"/>
      <c r="F759" s="112"/>
      <c r="G759" s="113"/>
      <c r="H759" s="100">
        <v>0</v>
      </c>
      <c r="I759" s="98">
        <v>0</v>
      </c>
      <c r="J759" s="101">
        <f t="shared" si="552"/>
        <v>0</v>
      </c>
      <c r="K759" s="100">
        <v>0</v>
      </c>
      <c r="L759" s="98">
        <v>0</v>
      </c>
      <c r="M759" s="101">
        <f t="shared" si="553"/>
        <v>0</v>
      </c>
      <c r="N759" s="100">
        <v>0</v>
      </c>
      <c r="O759" s="98">
        <v>0</v>
      </c>
      <c r="P759" s="101">
        <f t="shared" si="554"/>
        <v>0</v>
      </c>
      <c r="Q759" s="100">
        <v>0</v>
      </c>
      <c r="R759" s="98">
        <v>0</v>
      </c>
      <c r="S759" s="101">
        <f t="shared" si="555"/>
        <v>0</v>
      </c>
      <c r="T759" s="100">
        <v>0</v>
      </c>
      <c r="U759" s="98">
        <v>0</v>
      </c>
      <c r="V759" s="101">
        <f t="shared" si="557"/>
        <v>0</v>
      </c>
      <c r="W759" s="100">
        <v>0</v>
      </c>
      <c r="X759" s="98">
        <v>0</v>
      </c>
      <c r="Y759" s="147">
        <f t="shared" si="556"/>
        <v>0</v>
      </c>
      <c r="Z759" s="150"/>
    </row>
    <row r="760" spans="2:26" s="35" customFormat="1" ht="17.100000000000001" customHeight="1">
      <c r="B760" s="105"/>
      <c r="C760" s="54"/>
      <c r="D760" s="96"/>
      <c r="E760" s="111"/>
      <c r="F760" s="112"/>
      <c r="G760" s="113"/>
      <c r="H760" s="100">
        <v>0</v>
      </c>
      <c r="I760" s="98">
        <v>0</v>
      </c>
      <c r="J760" s="101">
        <f t="shared" si="552"/>
        <v>0</v>
      </c>
      <c r="K760" s="100">
        <v>0</v>
      </c>
      <c r="L760" s="98">
        <v>0</v>
      </c>
      <c r="M760" s="101">
        <f t="shared" si="553"/>
        <v>0</v>
      </c>
      <c r="N760" s="100">
        <v>0</v>
      </c>
      <c r="O760" s="98">
        <v>0</v>
      </c>
      <c r="P760" s="101">
        <f t="shared" si="554"/>
        <v>0</v>
      </c>
      <c r="Q760" s="100">
        <v>0</v>
      </c>
      <c r="R760" s="98">
        <v>0</v>
      </c>
      <c r="S760" s="101">
        <f t="shared" si="555"/>
        <v>0</v>
      </c>
      <c r="T760" s="100">
        <v>0</v>
      </c>
      <c r="U760" s="98">
        <v>0</v>
      </c>
      <c r="V760" s="101">
        <f t="shared" si="557"/>
        <v>0</v>
      </c>
      <c r="W760" s="100">
        <v>0</v>
      </c>
      <c r="X760" s="98">
        <v>0</v>
      </c>
      <c r="Y760" s="147">
        <f t="shared" si="556"/>
        <v>0</v>
      </c>
      <c r="Z760" s="150"/>
    </row>
    <row r="761" spans="2:26" s="35" customFormat="1" ht="17.100000000000001" customHeight="1">
      <c r="B761" s="105"/>
      <c r="C761" s="54"/>
      <c r="D761" s="96"/>
      <c r="E761" s="111"/>
      <c r="F761" s="112"/>
      <c r="G761" s="113"/>
      <c r="H761" s="100">
        <v>0</v>
      </c>
      <c r="I761" s="98">
        <v>0</v>
      </c>
      <c r="J761" s="101">
        <f t="shared" si="552"/>
        <v>0</v>
      </c>
      <c r="K761" s="100">
        <v>0</v>
      </c>
      <c r="L761" s="98">
        <v>0</v>
      </c>
      <c r="M761" s="101">
        <f t="shared" si="553"/>
        <v>0</v>
      </c>
      <c r="N761" s="100">
        <v>0</v>
      </c>
      <c r="O761" s="98">
        <v>0</v>
      </c>
      <c r="P761" s="101">
        <f t="shared" si="554"/>
        <v>0</v>
      </c>
      <c r="Q761" s="100">
        <v>0</v>
      </c>
      <c r="R761" s="98">
        <v>0</v>
      </c>
      <c r="S761" s="101">
        <f t="shared" si="555"/>
        <v>0</v>
      </c>
      <c r="T761" s="100">
        <v>0</v>
      </c>
      <c r="U761" s="98">
        <v>0</v>
      </c>
      <c r="V761" s="101">
        <f t="shared" si="557"/>
        <v>0</v>
      </c>
      <c r="W761" s="100">
        <v>0</v>
      </c>
      <c r="X761" s="98">
        <v>0</v>
      </c>
      <c r="Y761" s="147">
        <f t="shared" si="556"/>
        <v>0</v>
      </c>
      <c r="Z761" s="150"/>
    </row>
    <row r="762" spans="2:26" s="35" customFormat="1" ht="17.100000000000001" customHeight="1">
      <c r="B762" s="105"/>
      <c r="C762" s="54"/>
      <c r="D762" s="96"/>
      <c r="E762" s="111"/>
      <c r="F762" s="112"/>
      <c r="G762" s="113"/>
      <c r="H762" s="100">
        <v>0</v>
      </c>
      <c r="I762" s="98">
        <v>0</v>
      </c>
      <c r="J762" s="101">
        <f t="shared" si="552"/>
        <v>0</v>
      </c>
      <c r="K762" s="100">
        <v>0</v>
      </c>
      <c r="L762" s="98">
        <v>0</v>
      </c>
      <c r="M762" s="101">
        <f t="shared" si="553"/>
        <v>0</v>
      </c>
      <c r="N762" s="100">
        <v>0</v>
      </c>
      <c r="O762" s="98">
        <v>0</v>
      </c>
      <c r="P762" s="101">
        <f t="shared" si="554"/>
        <v>0</v>
      </c>
      <c r="Q762" s="100">
        <v>0</v>
      </c>
      <c r="R762" s="98">
        <v>0</v>
      </c>
      <c r="S762" s="101">
        <f t="shared" si="555"/>
        <v>0</v>
      </c>
      <c r="T762" s="100">
        <v>0</v>
      </c>
      <c r="U762" s="98">
        <v>0</v>
      </c>
      <c r="V762" s="101">
        <f t="shared" si="557"/>
        <v>0</v>
      </c>
      <c r="W762" s="100">
        <v>0</v>
      </c>
      <c r="X762" s="98">
        <v>0</v>
      </c>
      <c r="Y762" s="147">
        <f t="shared" si="556"/>
        <v>0</v>
      </c>
      <c r="Z762" s="150"/>
    </row>
    <row r="763" spans="2:26" s="35" customFormat="1" ht="17.100000000000001" customHeight="1">
      <c r="B763" s="105"/>
      <c r="C763" s="54"/>
      <c r="D763" s="96"/>
      <c r="E763" s="111"/>
      <c r="F763" s="112"/>
      <c r="G763" s="113"/>
      <c r="H763" s="100">
        <v>0</v>
      </c>
      <c r="I763" s="98">
        <v>0</v>
      </c>
      <c r="J763" s="101">
        <f t="shared" si="552"/>
        <v>0</v>
      </c>
      <c r="K763" s="100">
        <v>0</v>
      </c>
      <c r="L763" s="98">
        <v>0</v>
      </c>
      <c r="M763" s="101">
        <f t="shared" si="553"/>
        <v>0</v>
      </c>
      <c r="N763" s="100">
        <v>0</v>
      </c>
      <c r="O763" s="98">
        <v>0</v>
      </c>
      <c r="P763" s="101">
        <f t="shared" si="554"/>
        <v>0</v>
      </c>
      <c r="Q763" s="100">
        <v>0</v>
      </c>
      <c r="R763" s="98">
        <v>0</v>
      </c>
      <c r="S763" s="101">
        <f t="shared" si="555"/>
        <v>0</v>
      </c>
      <c r="T763" s="100">
        <v>0</v>
      </c>
      <c r="U763" s="98">
        <v>0</v>
      </c>
      <c r="V763" s="101">
        <f t="shared" si="557"/>
        <v>0</v>
      </c>
      <c r="W763" s="100">
        <v>0</v>
      </c>
      <c r="X763" s="98">
        <v>0</v>
      </c>
      <c r="Y763" s="147">
        <f t="shared" si="556"/>
        <v>0</v>
      </c>
      <c r="Z763" s="150"/>
    </row>
    <row r="764" spans="2:26" s="126" customFormat="1" ht="17.100000000000001" customHeight="1">
      <c r="B764" s="118"/>
      <c r="C764" s="119"/>
      <c r="D764" s="120"/>
      <c r="E764" s="121"/>
      <c r="F764" s="122"/>
      <c r="G764" s="123"/>
      <c r="H764" s="341" t="s">
        <v>201</v>
      </c>
      <c r="I764" s="342"/>
      <c r="J764" s="124">
        <f>SUM(J757:J763)</f>
        <v>0</v>
      </c>
      <c r="K764" s="341" t="s">
        <v>201</v>
      </c>
      <c r="L764" s="342"/>
      <c r="M764" s="124">
        <f>SUM(M757:M763)</f>
        <v>0</v>
      </c>
      <c r="N764" s="341" t="s">
        <v>201</v>
      </c>
      <c r="O764" s="342"/>
      <c r="P764" s="124">
        <f>SUM(P757:P763)</f>
        <v>500</v>
      </c>
      <c r="Q764" s="341" t="s">
        <v>201</v>
      </c>
      <c r="R764" s="342"/>
      <c r="S764" s="124">
        <f>SUM(S757:S763)</f>
        <v>0</v>
      </c>
      <c r="T764" s="341" t="s">
        <v>201</v>
      </c>
      <c r="U764" s="342"/>
      <c r="V764" s="124">
        <f>SUM(V757:V763)</f>
        <v>0</v>
      </c>
      <c r="W764" s="341" t="s">
        <v>201</v>
      </c>
      <c r="X764" s="342"/>
      <c r="Y764" s="127">
        <f>SUM(Y757:Y763)</f>
        <v>0</v>
      </c>
      <c r="Z764" s="151"/>
    </row>
    <row r="765" spans="2:26" s="35" customFormat="1" ht="17.100000000000001" customHeight="1">
      <c r="B765" s="105"/>
      <c r="C765" s="54">
        <f>'2. Rekap Back Up Beton'!C114</f>
        <v>19100</v>
      </c>
      <c r="D765" s="96">
        <f>'2. Rekap Back Up Beton'!D114</f>
        <v>19200</v>
      </c>
      <c r="E765" s="111">
        <f>'2. Rekap Back Up Beton'!E114</f>
        <v>5</v>
      </c>
      <c r="F765" s="112">
        <f>(100/((D765-C765)*E765))*((J772*0.5)+(M772*1)+(P772*2)+(S772*20)+(V772*15)+(Y772*1.5))</f>
        <v>100</v>
      </c>
      <c r="G765" s="113" t="str">
        <f>IF(F765&lt;=25,"B",IF(F765&lt;=75,"S",IF(F765&lt;=100,"RR","RB")))</f>
        <v>RR</v>
      </c>
      <c r="H765" s="100">
        <v>0</v>
      </c>
      <c r="I765" s="98">
        <v>0</v>
      </c>
      <c r="J765" s="101">
        <f t="shared" ref="J765:J771" si="558">H765*I765</f>
        <v>0</v>
      </c>
      <c r="K765" s="100">
        <v>100</v>
      </c>
      <c r="L765" s="98">
        <v>5</v>
      </c>
      <c r="M765" s="101">
        <f t="shared" ref="M765:M771" si="559">K765*L765</f>
        <v>500</v>
      </c>
      <c r="N765" s="100">
        <v>0</v>
      </c>
      <c r="O765" s="98">
        <v>0</v>
      </c>
      <c r="P765" s="101">
        <f t="shared" ref="P765:P771" si="560">N765*O765</f>
        <v>0</v>
      </c>
      <c r="Q765" s="100">
        <v>0</v>
      </c>
      <c r="R765" s="98">
        <v>0</v>
      </c>
      <c r="S765" s="101">
        <f t="shared" ref="S765:S771" si="561">Q765*R765</f>
        <v>0</v>
      </c>
      <c r="T765" s="100">
        <v>0</v>
      </c>
      <c r="U765" s="98">
        <v>0</v>
      </c>
      <c r="V765" s="101">
        <f>T765*U765</f>
        <v>0</v>
      </c>
      <c r="W765" s="100">
        <v>0</v>
      </c>
      <c r="X765" s="98">
        <v>0</v>
      </c>
      <c r="Y765" s="147">
        <f t="shared" ref="Y765:Y771" si="562">W765*X765</f>
        <v>0</v>
      </c>
      <c r="Z765" s="150"/>
    </row>
    <row r="766" spans="2:26" s="35" customFormat="1" ht="17.100000000000001" customHeight="1">
      <c r="B766" s="105"/>
      <c r="C766" s="54"/>
      <c r="D766" s="96"/>
      <c r="E766" s="111"/>
      <c r="F766" s="112"/>
      <c r="G766" s="113"/>
      <c r="H766" s="100">
        <v>0</v>
      </c>
      <c r="I766" s="98">
        <v>0</v>
      </c>
      <c r="J766" s="101">
        <f t="shared" si="558"/>
        <v>0</v>
      </c>
      <c r="K766" s="100">
        <v>0</v>
      </c>
      <c r="L766" s="98">
        <v>0</v>
      </c>
      <c r="M766" s="101">
        <f t="shared" si="559"/>
        <v>0</v>
      </c>
      <c r="N766" s="100">
        <v>0</v>
      </c>
      <c r="O766" s="98">
        <v>0</v>
      </c>
      <c r="P766" s="101">
        <f t="shared" si="560"/>
        <v>0</v>
      </c>
      <c r="Q766" s="100">
        <v>0</v>
      </c>
      <c r="R766" s="98">
        <v>0</v>
      </c>
      <c r="S766" s="101">
        <f t="shared" si="561"/>
        <v>0</v>
      </c>
      <c r="T766" s="100">
        <v>0</v>
      </c>
      <c r="U766" s="98">
        <v>0</v>
      </c>
      <c r="V766" s="101">
        <f t="shared" ref="V766:V771" si="563">T766*U766</f>
        <v>0</v>
      </c>
      <c r="W766" s="100">
        <v>0</v>
      </c>
      <c r="X766" s="98">
        <v>0</v>
      </c>
      <c r="Y766" s="147">
        <f t="shared" si="562"/>
        <v>0</v>
      </c>
      <c r="Z766" s="150"/>
    </row>
    <row r="767" spans="2:26" s="35" customFormat="1" ht="17.100000000000001" customHeight="1">
      <c r="B767" s="105"/>
      <c r="C767" s="54"/>
      <c r="D767" s="96"/>
      <c r="E767" s="111"/>
      <c r="F767" s="112"/>
      <c r="G767" s="113"/>
      <c r="H767" s="100">
        <v>0</v>
      </c>
      <c r="I767" s="98">
        <v>0</v>
      </c>
      <c r="J767" s="101">
        <f t="shared" si="558"/>
        <v>0</v>
      </c>
      <c r="K767" s="100">
        <v>0</v>
      </c>
      <c r="L767" s="98">
        <v>0</v>
      </c>
      <c r="M767" s="101">
        <f t="shared" si="559"/>
        <v>0</v>
      </c>
      <c r="N767" s="100">
        <v>0</v>
      </c>
      <c r="O767" s="98">
        <v>0</v>
      </c>
      <c r="P767" s="101">
        <f t="shared" si="560"/>
        <v>0</v>
      </c>
      <c r="Q767" s="100">
        <v>0</v>
      </c>
      <c r="R767" s="98">
        <v>0</v>
      </c>
      <c r="S767" s="101">
        <f t="shared" si="561"/>
        <v>0</v>
      </c>
      <c r="T767" s="100">
        <v>0</v>
      </c>
      <c r="U767" s="98">
        <v>0</v>
      </c>
      <c r="V767" s="101">
        <f t="shared" si="563"/>
        <v>0</v>
      </c>
      <c r="W767" s="100">
        <v>0</v>
      </c>
      <c r="X767" s="98">
        <v>0</v>
      </c>
      <c r="Y767" s="147">
        <f t="shared" si="562"/>
        <v>0</v>
      </c>
      <c r="Z767" s="150"/>
    </row>
    <row r="768" spans="2:26" s="35" customFormat="1" ht="17.100000000000001" customHeight="1">
      <c r="B768" s="105"/>
      <c r="C768" s="54"/>
      <c r="D768" s="96"/>
      <c r="E768" s="111"/>
      <c r="F768" s="112"/>
      <c r="G768" s="113"/>
      <c r="H768" s="100">
        <v>0</v>
      </c>
      <c r="I768" s="98">
        <v>0</v>
      </c>
      <c r="J768" s="101">
        <f t="shared" si="558"/>
        <v>0</v>
      </c>
      <c r="K768" s="100">
        <v>0</v>
      </c>
      <c r="L768" s="98">
        <v>0</v>
      </c>
      <c r="M768" s="101">
        <f t="shared" si="559"/>
        <v>0</v>
      </c>
      <c r="N768" s="100">
        <v>0</v>
      </c>
      <c r="O768" s="98">
        <v>0</v>
      </c>
      <c r="P768" s="101">
        <f t="shared" si="560"/>
        <v>0</v>
      </c>
      <c r="Q768" s="100">
        <v>0</v>
      </c>
      <c r="R768" s="98">
        <v>0</v>
      </c>
      <c r="S768" s="101">
        <f t="shared" si="561"/>
        <v>0</v>
      </c>
      <c r="T768" s="100">
        <v>0</v>
      </c>
      <c r="U768" s="98">
        <v>0</v>
      </c>
      <c r="V768" s="101">
        <f t="shared" si="563"/>
        <v>0</v>
      </c>
      <c r="W768" s="100">
        <v>0</v>
      </c>
      <c r="X768" s="98">
        <v>0</v>
      </c>
      <c r="Y768" s="147">
        <f t="shared" si="562"/>
        <v>0</v>
      </c>
      <c r="Z768" s="150"/>
    </row>
    <row r="769" spans="2:26" s="35" customFormat="1" ht="17.100000000000001" customHeight="1">
      <c r="B769" s="105"/>
      <c r="C769" s="54"/>
      <c r="D769" s="96"/>
      <c r="E769" s="111"/>
      <c r="F769" s="112"/>
      <c r="G769" s="113"/>
      <c r="H769" s="100">
        <v>0</v>
      </c>
      <c r="I769" s="98">
        <v>0</v>
      </c>
      <c r="J769" s="101">
        <f t="shared" si="558"/>
        <v>0</v>
      </c>
      <c r="K769" s="100">
        <v>0</v>
      </c>
      <c r="L769" s="98">
        <v>0</v>
      </c>
      <c r="M769" s="101">
        <f t="shared" si="559"/>
        <v>0</v>
      </c>
      <c r="N769" s="100">
        <v>0</v>
      </c>
      <c r="O769" s="98">
        <v>0</v>
      </c>
      <c r="P769" s="101">
        <f t="shared" si="560"/>
        <v>0</v>
      </c>
      <c r="Q769" s="100">
        <v>0</v>
      </c>
      <c r="R769" s="98">
        <v>0</v>
      </c>
      <c r="S769" s="101">
        <f t="shared" si="561"/>
        <v>0</v>
      </c>
      <c r="T769" s="100">
        <v>0</v>
      </c>
      <c r="U769" s="98">
        <v>0</v>
      </c>
      <c r="V769" s="101">
        <f t="shared" si="563"/>
        <v>0</v>
      </c>
      <c r="W769" s="100">
        <v>0</v>
      </c>
      <c r="X769" s="98">
        <v>0</v>
      </c>
      <c r="Y769" s="147">
        <f t="shared" si="562"/>
        <v>0</v>
      </c>
      <c r="Z769" s="150"/>
    </row>
    <row r="770" spans="2:26" s="35" customFormat="1" ht="17.100000000000001" customHeight="1">
      <c r="B770" s="105"/>
      <c r="C770" s="54"/>
      <c r="D770" s="96"/>
      <c r="E770" s="111"/>
      <c r="F770" s="112"/>
      <c r="G770" s="113"/>
      <c r="H770" s="100">
        <v>0</v>
      </c>
      <c r="I770" s="98">
        <v>0</v>
      </c>
      <c r="J770" s="101">
        <f t="shared" si="558"/>
        <v>0</v>
      </c>
      <c r="K770" s="100">
        <v>0</v>
      </c>
      <c r="L770" s="98">
        <v>0</v>
      </c>
      <c r="M770" s="101">
        <f t="shared" si="559"/>
        <v>0</v>
      </c>
      <c r="N770" s="100">
        <v>0</v>
      </c>
      <c r="O770" s="98">
        <v>0</v>
      </c>
      <c r="P770" s="101">
        <f t="shared" si="560"/>
        <v>0</v>
      </c>
      <c r="Q770" s="100">
        <v>0</v>
      </c>
      <c r="R770" s="98">
        <v>0</v>
      </c>
      <c r="S770" s="101">
        <f t="shared" si="561"/>
        <v>0</v>
      </c>
      <c r="T770" s="100">
        <v>0</v>
      </c>
      <c r="U770" s="98">
        <v>0</v>
      </c>
      <c r="V770" s="101">
        <f t="shared" si="563"/>
        <v>0</v>
      </c>
      <c r="W770" s="100">
        <v>0</v>
      </c>
      <c r="X770" s="98">
        <v>0</v>
      </c>
      <c r="Y770" s="147">
        <f t="shared" si="562"/>
        <v>0</v>
      </c>
      <c r="Z770" s="150"/>
    </row>
    <row r="771" spans="2:26" s="35" customFormat="1" ht="17.100000000000001" customHeight="1">
      <c r="B771" s="105"/>
      <c r="C771" s="54"/>
      <c r="D771" s="96"/>
      <c r="E771" s="111"/>
      <c r="F771" s="112"/>
      <c r="G771" s="113"/>
      <c r="H771" s="100">
        <v>0</v>
      </c>
      <c r="I771" s="98">
        <v>0</v>
      </c>
      <c r="J771" s="101">
        <f t="shared" si="558"/>
        <v>0</v>
      </c>
      <c r="K771" s="100">
        <v>0</v>
      </c>
      <c r="L771" s="98">
        <v>0</v>
      </c>
      <c r="M771" s="101">
        <f t="shared" si="559"/>
        <v>0</v>
      </c>
      <c r="N771" s="100">
        <v>0</v>
      </c>
      <c r="O771" s="98">
        <v>0</v>
      </c>
      <c r="P771" s="101">
        <f t="shared" si="560"/>
        <v>0</v>
      </c>
      <c r="Q771" s="100">
        <v>0</v>
      </c>
      <c r="R771" s="98">
        <v>0</v>
      </c>
      <c r="S771" s="101">
        <f t="shared" si="561"/>
        <v>0</v>
      </c>
      <c r="T771" s="100">
        <v>0</v>
      </c>
      <c r="U771" s="98">
        <v>0</v>
      </c>
      <c r="V771" s="101">
        <f t="shared" si="563"/>
        <v>0</v>
      </c>
      <c r="W771" s="100">
        <v>0</v>
      </c>
      <c r="X771" s="98">
        <v>0</v>
      </c>
      <c r="Y771" s="147">
        <f t="shared" si="562"/>
        <v>0</v>
      </c>
      <c r="Z771" s="150"/>
    </row>
    <row r="772" spans="2:26" s="126" customFormat="1" ht="17.100000000000001" customHeight="1">
      <c r="B772" s="118"/>
      <c r="C772" s="119"/>
      <c r="D772" s="120"/>
      <c r="E772" s="121"/>
      <c r="F772" s="122"/>
      <c r="G772" s="123"/>
      <c r="H772" s="341" t="s">
        <v>201</v>
      </c>
      <c r="I772" s="342"/>
      <c r="J772" s="124">
        <f>SUM(J765:J771)</f>
        <v>0</v>
      </c>
      <c r="K772" s="341" t="s">
        <v>201</v>
      </c>
      <c r="L772" s="342"/>
      <c r="M772" s="124">
        <f>SUM(M765:M771)</f>
        <v>500</v>
      </c>
      <c r="N772" s="341" t="s">
        <v>201</v>
      </c>
      <c r="O772" s="342"/>
      <c r="P772" s="124">
        <f>SUM(P765:P771)</f>
        <v>0</v>
      </c>
      <c r="Q772" s="341" t="s">
        <v>201</v>
      </c>
      <c r="R772" s="342"/>
      <c r="S772" s="124">
        <f>SUM(S765:S771)</f>
        <v>0</v>
      </c>
      <c r="T772" s="341" t="s">
        <v>201</v>
      </c>
      <c r="U772" s="342"/>
      <c r="V772" s="124">
        <f>SUM(V765:V771)</f>
        <v>0</v>
      </c>
      <c r="W772" s="341" t="s">
        <v>201</v>
      </c>
      <c r="X772" s="342"/>
      <c r="Y772" s="127">
        <f>SUM(Y765:Y771)</f>
        <v>0</v>
      </c>
      <c r="Z772" s="151"/>
    </row>
    <row r="773" spans="2:26" s="35" customFormat="1" ht="17.100000000000001" customHeight="1">
      <c r="B773" s="105"/>
      <c r="C773" s="54">
        <f>'2. Rekap Back Up Beton'!C115</f>
        <v>19200</v>
      </c>
      <c r="D773" s="96">
        <f>'2. Rekap Back Up Beton'!D115</f>
        <v>19300</v>
      </c>
      <c r="E773" s="111">
        <f>'2. Rekap Back Up Beton'!E115</f>
        <v>5</v>
      </c>
      <c r="F773" s="112">
        <f>(100/((D773-C773)*E773))*((J780*0.5)+(M780*1)+(P780*2)+(S780*20)+(V780*15)+(Y780*1.5))</f>
        <v>45</v>
      </c>
      <c r="G773" s="113" t="str">
        <f>IF(F773&lt;=25,"B",IF(F773&lt;=75,"S",IF(F773&lt;=100,"RR","RB")))</f>
        <v>S</v>
      </c>
      <c r="H773" s="100">
        <v>0</v>
      </c>
      <c r="I773" s="98">
        <v>0</v>
      </c>
      <c r="J773" s="101">
        <f t="shared" ref="J773:J779" si="564">H773*I773</f>
        <v>0</v>
      </c>
      <c r="K773" s="100">
        <v>20</v>
      </c>
      <c r="L773" s="98">
        <v>5</v>
      </c>
      <c r="M773" s="101">
        <f t="shared" ref="M773:M779" si="565">K773*L773</f>
        <v>100</v>
      </c>
      <c r="N773" s="100">
        <v>0</v>
      </c>
      <c r="O773" s="187">
        <v>0</v>
      </c>
      <c r="P773" s="101">
        <f t="shared" ref="P773:P779" si="566">N773*O773</f>
        <v>0</v>
      </c>
      <c r="Q773" s="100">
        <v>0</v>
      </c>
      <c r="R773" s="98">
        <v>0</v>
      </c>
      <c r="S773" s="101">
        <f t="shared" ref="S773:S779" si="567">Q773*R773</f>
        <v>0</v>
      </c>
      <c r="T773" s="100">
        <v>0</v>
      </c>
      <c r="U773" s="98">
        <v>0</v>
      </c>
      <c r="V773" s="101">
        <f>T773*U773</f>
        <v>0</v>
      </c>
      <c r="W773" s="100">
        <v>0</v>
      </c>
      <c r="X773" s="98">
        <v>0</v>
      </c>
      <c r="Y773" s="147">
        <f t="shared" ref="Y773:Y779" si="568">W773*X773</f>
        <v>0</v>
      </c>
      <c r="Z773" s="150"/>
    </row>
    <row r="774" spans="2:26" s="35" customFormat="1" ht="17.100000000000001" customHeight="1">
      <c r="B774" s="105"/>
      <c r="C774" s="54"/>
      <c r="D774" s="96"/>
      <c r="E774" s="111"/>
      <c r="F774" s="112"/>
      <c r="G774" s="113"/>
      <c r="H774" s="100">
        <v>0</v>
      </c>
      <c r="I774" s="98">
        <v>0</v>
      </c>
      <c r="J774" s="101">
        <f t="shared" si="564"/>
        <v>0</v>
      </c>
      <c r="K774" s="100">
        <v>15</v>
      </c>
      <c r="L774" s="98">
        <v>5</v>
      </c>
      <c r="M774" s="101">
        <f t="shared" si="565"/>
        <v>75</v>
      </c>
      <c r="N774" s="100">
        <v>0</v>
      </c>
      <c r="O774" s="98">
        <v>0</v>
      </c>
      <c r="P774" s="101">
        <f t="shared" si="566"/>
        <v>0</v>
      </c>
      <c r="Q774" s="100">
        <v>0</v>
      </c>
      <c r="R774" s="98">
        <v>0</v>
      </c>
      <c r="S774" s="101">
        <f t="shared" si="567"/>
        <v>0</v>
      </c>
      <c r="T774" s="100">
        <v>0</v>
      </c>
      <c r="U774" s="98">
        <v>0</v>
      </c>
      <c r="V774" s="101">
        <f t="shared" ref="V774:V779" si="569">T774*U774</f>
        <v>0</v>
      </c>
      <c r="W774" s="100">
        <v>0</v>
      </c>
      <c r="X774" s="98">
        <v>0</v>
      </c>
      <c r="Y774" s="147">
        <f t="shared" si="568"/>
        <v>0</v>
      </c>
      <c r="Z774" s="150"/>
    </row>
    <row r="775" spans="2:26" s="35" customFormat="1" ht="17.100000000000001" customHeight="1">
      <c r="B775" s="105"/>
      <c r="C775" s="54"/>
      <c r="D775" s="96"/>
      <c r="E775" s="111"/>
      <c r="F775" s="112"/>
      <c r="G775" s="113"/>
      <c r="H775" s="100">
        <v>0</v>
      </c>
      <c r="I775" s="98">
        <v>0</v>
      </c>
      <c r="J775" s="101">
        <f t="shared" si="564"/>
        <v>0</v>
      </c>
      <c r="K775" s="100">
        <v>10</v>
      </c>
      <c r="L775" s="98">
        <v>5</v>
      </c>
      <c r="M775" s="101">
        <f t="shared" si="565"/>
        <v>50</v>
      </c>
      <c r="N775" s="100">
        <v>0</v>
      </c>
      <c r="O775" s="98">
        <v>0</v>
      </c>
      <c r="P775" s="101">
        <f t="shared" si="566"/>
        <v>0</v>
      </c>
      <c r="Q775" s="100">
        <v>0</v>
      </c>
      <c r="R775" s="98">
        <v>0</v>
      </c>
      <c r="S775" s="101">
        <f t="shared" si="567"/>
        <v>0</v>
      </c>
      <c r="T775" s="100">
        <v>0</v>
      </c>
      <c r="U775" s="98">
        <v>0</v>
      </c>
      <c r="V775" s="101">
        <f t="shared" si="569"/>
        <v>0</v>
      </c>
      <c r="W775" s="100">
        <v>0</v>
      </c>
      <c r="X775" s="98">
        <v>0</v>
      </c>
      <c r="Y775" s="147">
        <f t="shared" si="568"/>
        <v>0</v>
      </c>
      <c r="Z775" s="150"/>
    </row>
    <row r="776" spans="2:26" s="35" customFormat="1" ht="17.100000000000001" customHeight="1">
      <c r="B776" s="105"/>
      <c r="C776" s="54"/>
      <c r="D776" s="96"/>
      <c r="E776" s="111"/>
      <c r="F776" s="112"/>
      <c r="G776" s="113"/>
      <c r="H776" s="100">
        <v>0</v>
      </c>
      <c r="I776" s="98">
        <v>0</v>
      </c>
      <c r="J776" s="101">
        <f t="shared" si="564"/>
        <v>0</v>
      </c>
      <c r="K776" s="100">
        <v>0</v>
      </c>
      <c r="L776" s="98">
        <v>0</v>
      </c>
      <c r="M776" s="101">
        <f t="shared" si="565"/>
        <v>0</v>
      </c>
      <c r="N776" s="100">
        <v>0</v>
      </c>
      <c r="O776" s="98">
        <v>0</v>
      </c>
      <c r="P776" s="101">
        <f t="shared" si="566"/>
        <v>0</v>
      </c>
      <c r="Q776" s="100">
        <v>0</v>
      </c>
      <c r="R776" s="98">
        <v>0</v>
      </c>
      <c r="S776" s="101">
        <f t="shared" si="567"/>
        <v>0</v>
      </c>
      <c r="T776" s="100">
        <v>0</v>
      </c>
      <c r="U776" s="98">
        <v>0</v>
      </c>
      <c r="V776" s="101">
        <f t="shared" si="569"/>
        <v>0</v>
      </c>
      <c r="W776" s="100">
        <v>0</v>
      </c>
      <c r="X776" s="98">
        <v>0</v>
      </c>
      <c r="Y776" s="147">
        <f t="shared" si="568"/>
        <v>0</v>
      </c>
      <c r="Z776" s="150"/>
    </row>
    <row r="777" spans="2:26" s="35" customFormat="1" ht="17.100000000000001" customHeight="1">
      <c r="B777" s="105"/>
      <c r="C777" s="54"/>
      <c r="D777" s="96"/>
      <c r="E777" s="111"/>
      <c r="F777" s="112"/>
      <c r="G777" s="113"/>
      <c r="H777" s="100">
        <v>0</v>
      </c>
      <c r="I777" s="98">
        <v>0</v>
      </c>
      <c r="J777" s="101">
        <f t="shared" si="564"/>
        <v>0</v>
      </c>
      <c r="K777" s="100">
        <v>0</v>
      </c>
      <c r="L777" s="98">
        <v>0</v>
      </c>
      <c r="M777" s="101">
        <f t="shared" si="565"/>
        <v>0</v>
      </c>
      <c r="N777" s="100">
        <v>0</v>
      </c>
      <c r="O777" s="98">
        <v>0</v>
      </c>
      <c r="P777" s="101">
        <f t="shared" si="566"/>
        <v>0</v>
      </c>
      <c r="Q777" s="100">
        <v>0</v>
      </c>
      <c r="R777" s="98">
        <v>0</v>
      </c>
      <c r="S777" s="101">
        <f t="shared" si="567"/>
        <v>0</v>
      </c>
      <c r="T777" s="100">
        <v>0</v>
      </c>
      <c r="U777" s="98">
        <v>0</v>
      </c>
      <c r="V777" s="101">
        <f t="shared" si="569"/>
        <v>0</v>
      </c>
      <c r="W777" s="100">
        <v>0</v>
      </c>
      <c r="X777" s="98">
        <v>0</v>
      </c>
      <c r="Y777" s="147">
        <f t="shared" si="568"/>
        <v>0</v>
      </c>
      <c r="Z777" s="150"/>
    </row>
    <row r="778" spans="2:26" s="35" customFormat="1" ht="17.100000000000001" customHeight="1">
      <c r="B778" s="105"/>
      <c r="C778" s="54"/>
      <c r="D778" s="96"/>
      <c r="E778" s="111"/>
      <c r="F778" s="112"/>
      <c r="G778" s="113"/>
      <c r="H778" s="100">
        <v>0</v>
      </c>
      <c r="I778" s="98">
        <v>0</v>
      </c>
      <c r="J778" s="101">
        <f t="shared" si="564"/>
        <v>0</v>
      </c>
      <c r="K778" s="100">
        <v>0</v>
      </c>
      <c r="L778" s="98">
        <v>0</v>
      </c>
      <c r="M778" s="101">
        <f t="shared" si="565"/>
        <v>0</v>
      </c>
      <c r="N778" s="100">
        <v>0</v>
      </c>
      <c r="O778" s="98">
        <v>0</v>
      </c>
      <c r="P778" s="101">
        <f t="shared" si="566"/>
        <v>0</v>
      </c>
      <c r="Q778" s="100">
        <v>0</v>
      </c>
      <c r="R778" s="98">
        <v>0</v>
      </c>
      <c r="S778" s="101">
        <f t="shared" si="567"/>
        <v>0</v>
      </c>
      <c r="T778" s="100">
        <v>0</v>
      </c>
      <c r="U778" s="98">
        <v>0</v>
      </c>
      <c r="V778" s="101">
        <f t="shared" si="569"/>
        <v>0</v>
      </c>
      <c r="W778" s="100">
        <v>0</v>
      </c>
      <c r="X778" s="98">
        <v>0</v>
      </c>
      <c r="Y778" s="147">
        <f t="shared" si="568"/>
        <v>0</v>
      </c>
      <c r="Z778" s="150"/>
    </row>
    <row r="779" spans="2:26" s="35" customFormat="1" ht="17.100000000000001" customHeight="1">
      <c r="B779" s="105"/>
      <c r="C779" s="54"/>
      <c r="D779" s="96"/>
      <c r="E779" s="111"/>
      <c r="F779" s="112"/>
      <c r="G779" s="113"/>
      <c r="H779" s="100">
        <v>0</v>
      </c>
      <c r="I779" s="98">
        <v>0</v>
      </c>
      <c r="J779" s="101">
        <f t="shared" si="564"/>
        <v>0</v>
      </c>
      <c r="K779" s="100">
        <v>0</v>
      </c>
      <c r="L779" s="98">
        <v>0</v>
      </c>
      <c r="M779" s="101">
        <f t="shared" si="565"/>
        <v>0</v>
      </c>
      <c r="N779" s="100">
        <v>0</v>
      </c>
      <c r="O779" s="98">
        <v>0</v>
      </c>
      <c r="P779" s="101">
        <f t="shared" si="566"/>
        <v>0</v>
      </c>
      <c r="Q779" s="100">
        <v>0</v>
      </c>
      <c r="R779" s="98">
        <v>0</v>
      </c>
      <c r="S779" s="101">
        <f t="shared" si="567"/>
        <v>0</v>
      </c>
      <c r="T779" s="100">
        <v>0</v>
      </c>
      <c r="U779" s="98">
        <v>0</v>
      </c>
      <c r="V779" s="101">
        <f t="shared" si="569"/>
        <v>0</v>
      </c>
      <c r="W779" s="100">
        <v>0</v>
      </c>
      <c r="X779" s="98">
        <v>0</v>
      </c>
      <c r="Y779" s="147">
        <f t="shared" si="568"/>
        <v>0</v>
      </c>
      <c r="Z779" s="150"/>
    </row>
    <row r="780" spans="2:26" s="126" customFormat="1" ht="17.100000000000001" customHeight="1">
      <c r="B780" s="118"/>
      <c r="C780" s="119"/>
      <c r="D780" s="120"/>
      <c r="E780" s="121"/>
      <c r="F780" s="122"/>
      <c r="G780" s="123"/>
      <c r="H780" s="341" t="s">
        <v>201</v>
      </c>
      <c r="I780" s="342"/>
      <c r="J780" s="124">
        <f>SUM(J773:J779)</f>
        <v>0</v>
      </c>
      <c r="K780" s="341" t="s">
        <v>201</v>
      </c>
      <c r="L780" s="342"/>
      <c r="M780" s="124">
        <f>SUM(M773:M779)</f>
        <v>225</v>
      </c>
      <c r="N780" s="341" t="s">
        <v>201</v>
      </c>
      <c r="O780" s="342"/>
      <c r="P780" s="124">
        <f>SUM(P773:P779)</f>
        <v>0</v>
      </c>
      <c r="Q780" s="341" t="s">
        <v>201</v>
      </c>
      <c r="R780" s="342"/>
      <c r="S780" s="124">
        <f>SUM(S773:S779)</f>
        <v>0</v>
      </c>
      <c r="T780" s="341" t="s">
        <v>201</v>
      </c>
      <c r="U780" s="342"/>
      <c r="V780" s="124">
        <f>SUM(V773:V779)</f>
        <v>0</v>
      </c>
      <c r="W780" s="341" t="s">
        <v>201</v>
      </c>
      <c r="X780" s="342"/>
      <c r="Y780" s="127">
        <f>SUM(Y773:Y779)</f>
        <v>0</v>
      </c>
      <c r="Z780" s="151"/>
    </row>
    <row r="781" spans="2:26" s="35" customFormat="1" ht="17.100000000000001" customHeight="1">
      <c r="B781" s="105"/>
      <c r="C781" s="54">
        <f>'2. Rekap Back Up Beton'!C116</f>
        <v>19300</v>
      </c>
      <c r="D781" s="96">
        <f>'2. Rekap Back Up Beton'!D116</f>
        <v>19400</v>
      </c>
      <c r="E781" s="111">
        <f>'2. Rekap Back Up Beton'!E116</f>
        <v>5</v>
      </c>
      <c r="F781" s="112">
        <f>(100/((D781-C781)*E781))*((J788*0.5)+(M788*1)+(P788*2)+(S788*20)+(V788*15)+(Y788*1.5))</f>
        <v>50</v>
      </c>
      <c r="G781" s="113" t="str">
        <f>IF(F781&lt;=25,"B",IF(F781&lt;=75,"S",IF(F781&lt;=100,"RR","RB")))</f>
        <v>S</v>
      </c>
      <c r="H781" s="100">
        <v>0</v>
      </c>
      <c r="I781" s="98">
        <v>0</v>
      </c>
      <c r="J781" s="101">
        <f t="shared" ref="J781:J787" si="570">H781*I781</f>
        <v>0</v>
      </c>
      <c r="K781" s="100">
        <v>50</v>
      </c>
      <c r="L781" s="98">
        <v>5</v>
      </c>
      <c r="M781" s="101">
        <f t="shared" ref="M781:M787" si="571">K781*L781</f>
        <v>250</v>
      </c>
      <c r="N781" s="100">
        <v>0</v>
      </c>
      <c r="O781" s="98">
        <v>4</v>
      </c>
      <c r="P781" s="101">
        <f t="shared" ref="P781:P787" si="572">N781*O781</f>
        <v>0</v>
      </c>
      <c r="Q781" s="100">
        <v>0</v>
      </c>
      <c r="R781" s="98">
        <v>0</v>
      </c>
      <c r="S781" s="101">
        <f t="shared" ref="S781:S787" si="573">Q781*R781</f>
        <v>0</v>
      </c>
      <c r="T781" s="100">
        <v>0</v>
      </c>
      <c r="U781" s="98">
        <v>0</v>
      </c>
      <c r="V781" s="101">
        <f>T781*U781</f>
        <v>0</v>
      </c>
      <c r="W781" s="100">
        <v>0</v>
      </c>
      <c r="X781" s="98">
        <v>0</v>
      </c>
      <c r="Y781" s="147">
        <f t="shared" ref="Y781:Y787" si="574">W781*X781</f>
        <v>0</v>
      </c>
      <c r="Z781" s="150"/>
    </row>
    <row r="782" spans="2:26" s="35" customFormat="1" ht="17.100000000000001" customHeight="1">
      <c r="B782" s="105"/>
      <c r="C782" s="54"/>
      <c r="D782" s="96"/>
      <c r="E782" s="111"/>
      <c r="F782" s="112"/>
      <c r="G782" s="113"/>
      <c r="H782" s="100">
        <v>0</v>
      </c>
      <c r="I782" s="98">
        <v>0</v>
      </c>
      <c r="J782" s="101">
        <f t="shared" si="570"/>
        <v>0</v>
      </c>
      <c r="K782" s="100">
        <v>0</v>
      </c>
      <c r="L782" s="98">
        <v>0</v>
      </c>
      <c r="M782" s="101">
        <f t="shared" si="571"/>
        <v>0</v>
      </c>
      <c r="N782" s="100">
        <v>0</v>
      </c>
      <c r="O782" s="98">
        <v>0</v>
      </c>
      <c r="P782" s="101">
        <f t="shared" si="572"/>
        <v>0</v>
      </c>
      <c r="Q782" s="100">
        <v>0</v>
      </c>
      <c r="R782" s="98">
        <v>0</v>
      </c>
      <c r="S782" s="101">
        <f t="shared" si="573"/>
        <v>0</v>
      </c>
      <c r="T782" s="100">
        <v>0</v>
      </c>
      <c r="U782" s="98">
        <v>0</v>
      </c>
      <c r="V782" s="101">
        <f t="shared" ref="V782:V787" si="575">T782*U782</f>
        <v>0</v>
      </c>
      <c r="W782" s="100">
        <v>0</v>
      </c>
      <c r="X782" s="98">
        <v>0</v>
      </c>
      <c r="Y782" s="147">
        <f t="shared" si="574"/>
        <v>0</v>
      </c>
      <c r="Z782" s="150"/>
    </row>
    <row r="783" spans="2:26" s="35" customFormat="1" ht="17.100000000000001" customHeight="1">
      <c r="B783" s="105"/>
      <c r="C783" s="54"/>
      <c r="D783" s="96"/>
      <c r="E783" s="111"/>
      <c r="F783" s="112"/>
      <c r="G783" s="113"/>
      <c r="H783" s="100">
        <v>0</v>
      </c>
      <c r="I783" s="98">
        <v>0</v>
      </c>
      <c r="J783" s="101">
        <f t="shared" si="570"/>
        <v>0</v>
      </c>
      <c r="K783" s="100">
        <v>0</v>
      </c>
      <c r="L783" s="98">
        <v>0</v>
      </c>
      <c r="M783" s="101">
        <f t="shared" si="571"/>
        <v>0</v>
      </c>
      <c r="N783" s="100">
        <v>0</v>
      </c>
      <c r="O783" s="98">
        <v>0</v>
      </c>
      <c r="P783" s="101">
        <f t="shared" si="572"/>
        <v>0</v>
      </c>
      <c r="Q783" s="100">
        <v>0</v>
      </c>
      <c r="R783" s="98">
        <v>0</v>
      </c>
      <c r="S783" s="101">
        <f t="shared" si="573"/>
        <v>0</v>
      </c>
      <c r="T783" s="100">
        <v>0</v>
      </c>
      <c r="U783" s="98">
        <v>0</v>
      </c>
      <c r="V783" s="101">
        <f t="shared" si="575"/>
        <v>0</v>
      </c>
      <c r="W783" s="100">
        <v>0</v>
      </c>
      <c r="X783" s="98">
        <v>0</v>
      </c>
      <c r="Y783" s="147">
        <f t="shared" si="574"/>
        <v>0</v>
      </c>
      <c r="Z783" s="150"/>
    </row>
    <row r="784" spans="2:26" s="35" customFormat="1" ht="17.100000000000001" customHeight="1">
      <c r="B784" s="105"/>
      <c r="C784" s="54"/>
      <c r="D784" s="96"/>
      <c r="E784" s="111"/>
      <c r="F784" s="112"/>
      <c r="G784" s="113"/>
      <c r="H784" s="100">
        <v>0</v>
      </c>
      <c r="I784" s="98">
        <v>0</v>
      </c>
      <c r="J784" s="101">
        <f t="shared" si="570"/>
        <v>0</v>
      </c>
      <c r="K784" s="100">
        <v>0</v>
      </c>
      <c r="L784" s="98">
        <v>0</v>
      </c>
      <c r="M784" s="101">
        <f t="shared" si="571"/>
        <v>0</v>
      </c>
      <c r="N784" s="100">
        <v>0</v>
      </c>
      <c r="O784" s="98">
        <v>0</v>
      </c>
      <c r="P784" s="101">
        <f t="shared" si="572"/>
        <v>0</v>
      </c>
      <c r="Q784" s="100">
        <v>0</v>
      </c>
      <c r="R784" s="98">
        <v>0</v>
      </c>
      <c r="S784" s="101">
        <f t="shared" si="573"/>
        <v>0</v>
      </c>
      <c r="T784" s="100">
        <v>0</v>
      </c>
      <c r="U784" s="98">
        <v>0</v>
      </c>
      <c r="V784" s="101">
        <f t="shared" si="575"/>
        <v>0</v>
      </c>
      <c r="W784" s="100">
        <v>0</v>
      </c>
      <c r="X784" s="98">
        <v>0</v>
      </c>
      <c r="Y784" s="147">
        <f t="shared" si="574"/>
        <v>0</v>
      </c>
      <c r="Z784" s="150"/>
    </row>
    <row r="785" spans="2:26" s="35" customFormat="1" ht="17.100000000000001" customHeight="1">
      <c r="B785" s="105"/>
      <c r="C785" s="54"/>
      <c r="D785" s="96"/>
      <c r="E785" s="111"/>
      <c r="F785" s="112"/>
      <c r="G785" s="113"/>
      <c r="H785" s="100">
        <v>0</v>
      </c>
      <c r="I785" s="98">
        <v>0</v>
      </c>
      <c r="J785" s="101">
        <f t="shared" si="570"/>
        <v>0</v>
      </c>
      <c r="K785" s="100">
        <v>0</v>
      </c>
      <c r="L785" s="98">
        <v>0</v>
      </c>
      <c r="M785" s="101">
        <f t="shared" si="571"/>
        <v>0</v>
      </c>
      <c r="N785" s="100">
        <v>0</v>
      </c>
      <c r="O785" s="98">
        <v>0</v>
      </c>
      <c r="P785" s="101">
        <f t="shared" si="572"/>
        <v>0</v>
      </c>
      <c r="Q785" s="100">
        <v>0</v>
      </c>
      <c r="R785" s="98">
        <v>0</v>
      </c>
      <c r="S785" s="101">
        <f t="shared" si="573"/>
        <v>0</v>
      </c>
      <c r="T785" s="100">
        <v>0</v>
      </c>
      <c r="U785" s="98">
        <v>0</v>
      </c>
      <c r="V785" s="101">
        <f t="shared" si="575"/>
        <v>0</v>
      </c>
      <c r="W785" s="100">
        <v>0</v>
      </c>
      <c r="X785" s="98">
        <v>0</v>
      </c>
      <c r="Y785" s="147">
        <f t="shared" si="574"/>
        <v>0</v>
      </c>
      <c r="Z785" s="150"/>
    </row>
    <row r="786" spans="2:26" s="35" customFormat="1" ht="17.100000000000001" customHeight="1">
      <c r="B786" s="105"/>
      <c r="C786" s="54"/>
      <c r="D786" s="96"/>
      <c r="E786" s="111"/>
      <c r="F786" s="112"/>
      <c r="G786" s="113"/>
      <c r="H786" s="100">
        <v>0</v>
      </c>
      <c r="I786" s="98">
        <v>0</v>
      </c>
      <c r="J786" s="101">
        <f t="shared" si="570"/>
        <v>0</v>
      </c>
      <c r="K786" s="100">
        <v>0</v>
      </c>
      <c r="L786" s="98">
        <v>0</v>
      </c>
      <c r="M786" s="101">
        <f t="shared" si="571"/>
        <v>0</v>
      </c>
      <c r="N786" s="100">
        <v>0</v>
      </c>
      <c r="O786" s="98">
        <v>0</v>
      </c>
      <c r="P786" s="101">
        <f t="shared" si="572"/>
        <v>0</v>
      </c>
      <c r="Q786" s="100">
        <v>0</v>
      </c>
      <c r="R786" s="98">
        <v>0</v>
      </c>
      <c r="S786" s="101">
        <f t="shared" si="573"/>
        <v>0</v>
      </c>
      <c r="T786" s="100">
        <v>0</v>
      </c>
      <c r="U786" s="98">
        <v>0</v>
      </c>
      <c r="V786" s="101">
        <f t="shared" si="575"/>
        <v>0</v>
      </c>
      <c r="W786" s="100">
        <v>0</v>
      </c>
      <c r="X786" s="98">
        <v>0</v>
      </c>
      <c r="Y786" s="147">
        <f t="shared" si="574"/>
        <v>0</v>
      </c>
      <c r="Z786" s="150"/>
    </row>
    <row r="787" spans="2:26" s="35" customFormat="1" ht="17.100000000000001" customHeight="1">
      <c r="B787" s="105"/>
      <c r="C787" s="54"/>
      <c r="D787" s="96"/>
      <c r="E787" s="111"/>
      <c r="F787" s="112"/>
      <c r="G787" s="113"/>
      <c r="H787" s="100">
        <v>0</v>
      </c>
      <c r="I787" s="98">
        <v>0</v>
      </c>
      <c r="J787" s="101">
        <f t="shared" si="570"/>
        <v>0</v>
      </c>
      <c r="K787" s="100">
        <v>0</v>
      </c>
      <c r="L787" s="98">
        <v>0</v>
      </c>
      <c r="M787" s="101">
        <f t="shared" si="571"/>
        <v>0</v>
      </c>
      <c r="N787" s="100">
        <v>0</v>
      </c>
      <c r="O787" s="98">
        <v>0</v>
      </c>
      <c r="P787" s="101">
        <f t="shared" si="572"/>
        <v>0</v>
      </c>
      <c r="Q787" s="100">
        <v>0</v>
      </c>
      <c r="R787" s="98">
        <v>0</v>
      </c>
      <c r="S787" s="101">
        <f t="shared" si="573"/>
        <v>0</v>
      </c>
      <c r="T787" s="100">
        <v>0</v>
      </c>
      <c r="U787" s="98">
        <v>0</v>
      </c>
      <c r="V787" s="101">
        <f t="shared" si="575"/>
        <v>0</v>
      </c>
      <c r="W787" s="100">
        <v>0</v>
      </c>
      <c r="X787" s="98">
        <v>0</v>
      </c>
      <c r="Y787" s="147">
        <f t="shared" si="574"/>
        <v>0</v>
      </c>
      <c r="Z787" s="150"/>
    </row>
    <row r="788" spans="2:26" s="126" customFormat="1" ht="17.100000000000001" customHeight="1">
      <c r="B788" s="118"/>
      <c r="C788" s="119"/>
      <c r="D788" s="120"/>
      <c r="E788" s="121"/>
      <c r="F788" s="122"/>
      <c r="G788" s="123"/>
      <c r="H788" s="341" t="s">
        <v>201</v>
      </c>
      <c r="I788" s="342"/>
      <c r="J788" s="124">
        <f>SUM(J781:J787)</f>
        <v>0</v>
      </c>
      <c r="K788" s="341" t="s">
        <v>201</v>
      </c>
      <c r="L788" s="342"/>
      <c r="M788" s="124">
        <f>SUM(M781:M787)</f>
        <v>250</v>
      </c>
      <c r="N788" s="341" t="s">
        <v>201</v>
      </c>
      <c r="O788" s="342"/>
      <c r="P788" s="124">
        <f>SUM(P781:P787)</f>
        <v>0</v>
      </c>
      <c r="Q788" s="341" t="s">
        <v>201</v>
      </c>
      <c r="R788" s="342"/>
      <c r="S788" s="124">
        <f>SUM(S781:S787)</f>
        <v>0</v>
      </c>
      <c r="T788" s="341" t="s">
        <v>201</v>
      </c>
      <c r="U788" s="342"/>
      <c r="V788" s="124">
        <f>SUM(V781:V787)</f>
        <v>0</v>
      </c>
      <c r="W788" s="341" t="s">
        <v>201</v>
      </c>
      <c r="X788" s="342"/>
      <c r="Y788" s="127">
        <f>SUM(Y781:Y787)</f>
        <v>0</v>
      </c>
      <c r="Z788" s="151"/>
    </row>
    <row r="789" spans="2:26" s="35" customFormat="1" ht="17.100000000000001" customHeight="1">
      <c r="B789" s="105"/>
      <c r="C789" s="54">
        <f>'2. Rekap Back Up Beton'!C117</f>
        <v>19400</v>
      </c>
      <c r="D789" s="96">
        <f>'2. Rekap Back Up Beton'!D117</f>
        <v>19500</v>
      </c>
      <c r="E789" s="111">
        <f>'2. Rekap Back Up Beton'!E117</f>
        <v>5</v>
      </c>
      <c r="F789" s="112">
        <f>(100/((D789-C789)*E789))*((J796*0.5)+(M796*1)+(P796*2)+(S796*20)+(V796*15)+(Y796*1.5))</f>
        <v>200</v>
      </c>
      <c r="G789" s="113" t="str">
        <f>IF(F789&lt;=25,"B",IF(F789&lt;=75,"S",IF(F789&lt;=100,"RR","RB")))</f>
        <v>RB</v>
      </c>
      <c r="H789" s="100">
        <v>0</v>
      </c>
      <c r="I789" s="98">
        <v>0</v>
      </c>
      <c r="J789" s="101">
        <f t="shared" ref="J789:J795" si="576">H789*I789</f>
        <v>0</v>
      </c>
      <c r="K789" s="100">
        <v>0</v>
      </c>
      <c r="L789" s="98">
        <v>0</v>
      </c>
      <c r="M789" s="101">
        <f t="shared" ref="M789:M795" si="577">K789*L789</f>
        <v>0</v>
      </c>
      <c r="N789" s="100">
        <v>100</v>
      </c>
      <c r="O789" s="98">
        <v>5</v>
      </c>
      <c r="P789" s="101">
        <f t="shared" ref="P789:P795" si="578">N789*O789</f>
        <v>500</v>
      </c>
      <c r="Q789" s="100">
        <v>0</v>
      </c>
      <c r="R789" s="98">
        <v>0</v>
      </c>
      <c r="S789" s="101">
        <f t="shared" ref="S789:S795" si="579">Q789*R789</f>
        <v>0</v>
      </c>
      <c r="T789" s="100">
        <v>0</v>
      </c>
      <c r="U789" s="98">
        <v>0</v>
      </c>
      <c r="V789" s="101">
        <f>T789*U789</f>
        <v>0</v>
      </c>
      <c r="W789" s="100">
        <v>0</v>
      </c>
      <c r="X789" s="98">
        <v>0</v>
      </c>
      <c r="Y789" s="147">
        <f t="shared" ref="Y789:Y795" si="580">W789*X789</f>
        <v>0</v>
      </c>
      <c r="Z789" s="150"/>
    </row>
    <row r="790" spans="2:26" s="35" customFormat="1" ht="17.100000000000001" customHeight="1">
      <c r="B790" s="105"/>
      <c r="C790" s="54"/>
      <c r="D790" s="96"/>
      <c r="E790" s="111"/>
      <c r="F790" s="112"/>
      <c r="G790" s="113"/>
      <c r="H790" s="100">
        <v>0</v>
      </c>
      <c r="I790" s="98">
        <v>0</v>
      </c>
      <c r="J790" s="101">
        <f t="shared" si="576"/>
        <v>0</v>
      </c>
      <c r="K790" s="100">
        <v>0</v>
      </c>
      <c r="L790" s="98">
        <v>0</v>
      </c>
      <c r="M790" s="101">
        <f t="shared" si="577"/>
        <v>0</v>
      </c>
      <c r="N790" s="100">
        <v>0</v>
      </c>
      <c r="O790" s="98">
        <v>0</v>
      </c>
      <c r="P790" s="101">
        <f t="shared" si="578"/>
        <v>0</v>
      </c>
      <c r="Q790" s="100">
        <v>0</v>
      </c>
      <c r="R790" s="98">
        <v>0</v>
      </c>
      <c r="S790" s="101">
        <f t="shared" si="579"/>
        <v>0</v>
      </c>
      <c r="T790" s="100">
        <v>0</v>
      </c>
      <c r="U790" s="98">
        <v>0</v>
      </c>
      <c r="V790" s="101">
        <f t="shared" ref="V790:V795" si="581">T790*U790</f>
        <v>0</v>
      </c>
      <c r="W790" s="100">
        <v>0</v>
      </c>
      <c r="X790" s="98">
        <v>0</v>
      </c>
      <c r="Y790" s="147">
        <f t="shared" si="580"/>
        <v>0</v>
      </c>
      <c r="Z790" s="150"/>
    </row>
    <row r="791" spans="2:26" s="35" customFormat="1" ht="17.100000000000001" customHeight="1">
      <c r="B791" s="105"/>
      <c r="C791" s="54"/>
      <c r="D791" s="96"/>
      <c r="E791" s="111"/>
      <c r="F791" s="112"/>
      <c r="G791" s="113"/>
      <c r="H791" s="100">
        <v>0</v>
      </c>
      <c r="I791" s="98">
        <v>0</v>
      </c>
      <c r="J791" s="101">
        <f t="shared" si="576"/>
        <v>0</v>
      </c>
      <c r="K791" s="100">
        <v>0</v>
      </c>
      <c r="L791" s="98">
        <v>0</v>
      </c>
      <c r="M791" s="101">
        <f t="shared" si="577"/>
        <v>0</v>
      </c>
      <c r="N791" s="100">
        <v>0</v>
      </c>
      <c r="O791" s="98">
        <v>0</v>
      </c>
      <c r="P791" s="101">
        <f t="shared" si="578"/>
        <v>0</v>
      </c>
      <c r="Q791" s="100">
        <v>0</v>
      </c>
      <c r="R791" s="98">
        <v>0</v>
      </c>
      <c r="S791" s="101">
        <f t="shared" si="579"/>
        <v>0</v>
      </c>
      <c r="T791" s="100">
        <v>0</v>
      </c>
      <c r="U791" s="98">
        <v>0</v>
      </c>
      <c r="V791" s="101">
        <f t="shared" si="581"/>
        <v>0</v>
      </c>
      <c r="W791" s="100">
        <v>0</v>
      </c>
      <c r="X791" s="98">
        <v>0</v>
      </c>
      <c r="Y791" s="147">
        <f t="shared" si="580"/>
        <v>0</v>
      </c>
      <c r="Z791" s="150"/>
    </row>
    <row r="792" spans="2:26" s="35" customFormat="1" ht="17.100000000000001" customHeight="1">
      <c r="B792" s="105"/>
      <c r="C792" s="54"/>
      <c r="D792" s="96"/>
      <c r="E792" s="111"/>
      <c r="F792" s="112"/>
      <c r="G792" s="113"/>
      <c r="H792" s="100">
        <v>0</v>
      </c>
      <c r="I792" s="98">
        <v>0</v>
      </c>
      <c r="J792" s="101">
        <f t="shared" si="576"/>
        <v>0</v>
      </c>
      <c r="K792" s="100">
        <v>0</v>
      </c>
      <c r="L792" s="98">
        <v>0</v>
      </c>
      <c r="M792" s="101">
        <f t="shared" si="577"/>
        <v>0</v>
      </c>
      <c r="N792" s="100">
        <v>0</v>
      </c>
      <c r="O792" s="98">
        <v>0</v>
      </c>
      <c r="P792" s="101">
        <f t="shared" si="578"/>
        <v>0</v>
      </c>
      <c r="Q792" s="100">
        <v>0</v>
      </c>
      <c r="R792" s="98">
        <v>0</v>
      </c>
      <c r="S792" s="101">
        <f t="shared" si="579"/>
        <v>0</v>
      </c>
      <c r="T792" s="100">
        <v>0</v>
      </c>
      <c r="U792" s="98">
        <v>0</v>
      </c>
      <c r="V792" s="101">
        <f t="shared" si="581"/>
        <v>0</v>
      </c>
      <c r="W792" s="100">
        <v>0</v>
      </c>
      <c r="X792" s="98">
        <v>0</v>
      </c>
      <c r="Y792" s="147">
        <f t="shared" si="580"/>
        <v>0</v>
      </c>
      <c r="Z792" s="150"/>
    </row>
    <row r="793" spans="2:26" s="35" customFormat="1" ht="17.100000000000001" customHeight="1">
      <c r="B793" s="105"/>
      <c r="C793" s="54"/>
      <c r="D793" s="96"/>
      <c r="E793" s="111"/>
      <c r="F793" s="112"/>
      <c r="G793" s="113"/>
      <c r="H793" s="100">
        <v>0</v>
      </c>
      <c r="I793" s="98">
        <v>0</v>
      </c>
      <c r="J793" s="101">
        <f t="shared" si="576"/>
        <v>0</v>
      </c>
      <c r="K793" s="100">
        <v>0</v>
      </c>
      <c r="L793" s="98">
        <v>0</v>
      </c>
      <c r="M793" s="101">
        <f t="shared" si="577"/>
        <v>0</v>
      </c>
      <c r="N793" s="100">
        <v>0</v>
      </c>
      <c r="O793" s="98">
        <v>0</v>
      </c>
      <c r="P793" s="101">
        <f t="shared" si="578"/>
        <v>0</v>
      </c>
      <c r="Q793" s="100">
        <v>0</v>
      </c>
      <c r="R793" s="98">
        <v>0</v>
      </c>
      <c r="S793" s="101">
        <f t="shared" si="579"/>
        <v>0</v>
      </c>
      <c r="T793" s="100">
        <v>0</v>
      </c>
      <c r="U793" s="98">
        <v>0</v>
      </c>
      <c r="V793" s="101">
        <f t="shared" si="581"/>
        <v>0</v>
      </c>
      <c r="W793" s="100">
        <v>0</v>
      </c>
      <c r="X793" s="98">
        <v>0</v>
      </c>
      <c r="Y793" s="147">
        <f t="shared" si="580"/>
        <v>0</v>
      </c>
      <c r="Z793" s="150"/>
    </row>
    <row r="794" spans="2:26" s="35" customFormat="1" ht="17.100000000000001" customHeight="1">
      <c r="B794" s="105"/>
      <c r="C794" s="54"/>
      <c r="D794" s="96"/>
      <c r="E794" s="111"/>
      <c r="F794" s="112"/>
      <c r="G794" s="113"/>
      <c r="H794" s="100">
        <v>0</v>
      </c>
      <c r="I794" s="98">
        <v>0</v>
      </c>
      <c r="J794" s="101">
        <f t="shared" si="576"/>
        <v>0</v>
      </c>
      <c r="K794" s="100">
        <v>0</v>
      </c>
      <c r="L794" s="98">
        <v>0</v>
      </c>
      <c r="M794" s="101">
        <f t="shared" si="577"/>
        <v>0</v>
      </c>
      <c r="N794" s="100">
        <v>0</v>
      </c>
      <c r="O794" s="98">
        <v>0</v>
      </c>
      <c r="P794" s="101">
        <f t="shared" si="578"/>
        <v>0</v>
      </c>
      <c r="Q794" s="100">
        <v>0</v>
      </c>
      <c r="R794" s="98">
        <v>0</v>
      </c>
      <c r="S794" s="101">
        <f t="shared" si="579"/>
        <v>0</v>
      </c>
      <c r="T794" s="100">
        <v>0</v>
      </c>
      <c r="U794" s="98">
        <v>0</v>
      </c>
      <c r="V794" s="101">
        <f t="shared" si="581"/>
        <v>0</v>
      </c>
      <c r="W794" s="100">
        <v>0</v>
      </c>
      <c r="X794" s="98">
        <v>0</v>
      </c>
      <c r="Y794" s="147">
        <f t="shared" si="580"/>
        <v>0</v>
      </c>
      <c r="Z794" s="150"/>
    </row>
    <row r="795" spans="2:26" s="35" customFormat="1" ht="17.100000000000001" customHeight="1">
      <c r="B795" s="105"/>
      <c r="C795" s="54"/>
      <c r="D795" s="96"/>
      <c r="E795" s="111"/>
      <c r="F795" s="112"/>
      <c r="G795" s="113"/>
      <c r="H795" s="100">
        <v>0</v>
      </c>
      <c r="I795" s="98">
        <v>0</v>
      </c>
      <c r="J795" s="101">
        <f t="shared" si="576"/>
        <v>0</v>
      </c>
      <c r="K795" s="100">
        <v>0</v>
      </c>
      <c r="L795" s="98">
        <v>0</v>
      </c>
      <c r="M795" s="101">
        <f t="shared" si="577"/>
        <v>0</v>
      </c>
      <c r="N795" s="100">
        <v>0</v>
      </c>
      <c r="O795" s="98">
        <v>0</v>
      </c>
      <c r="P795" s="101">
        <f t="shared" si="578"/>
        <v>0</v>
      </c>
      <c r="Q795" s="100">
        <v>0</v>
      </c>
      <c r="R795" s="98">
        <v>0</v>
      </c>
      <c r="S795" s="101">
        <f t="shared" si="579"/>
        <v>0</v>
      </c>
      <c r="T795" s="100">
        <v>0</v>
      </c>
      <c r="U795" s="98">
        <v>0</v>
      </c>
      <c r="V795" s="101">
        <f t="shared" si="581"/>
        <v>0</v>
      </c>
      <c r="W795" s="100">
        <v>0</v>
      </c>
      <c r="X795" s="98">
        <v>0</v>
      </c>
      <c r="Y795" s="147">
        <f t="shared" si="580"/>
        <v>0</v>
      </c>
      <c r="Z795" s="150"/>
    </row>
    <row r="796" spans="2:26" s="126" customFormat="1" ht="17.100000000000001" customHeight="1">
      <c r="B796" s="118"/>
      <c r="C796" s="119"/>
      <c r="D796" s="120"/>
      <c r="E796" s="121"/>
      <c r="F796" s="122"/>
      <c r="G796" s="123"/>
      <c r="H796" s="341" t="s">
        <v>201</v>
      </c>
      <c r="I796" s="342"/>
      <c r="J796" s="124">
        <f>SUM(J789:J795)</f>
        <v>0</v>
      </c>
      <c r="K796" s="341" t="s">
        <v>201</v>
      </c>
      <c r="L796" s="342"/>
      <c r="M796" s="124">
        <f>SUM(M789:M795)</f>
        <v>0</v>
      </c>
      <c r="N796" s="341" t="s">
        <v>201</v>
      </c>
      <c r="O796" s="342"/>
      <c r="P796" s="124">
        <f>SUM(P789:P795)</f>
        <v>500</v>
      </c>
      <c r="Q796" s="341" t="s">
        <v>201</v>
      </c>
      <c r="R796" s="342"/>
      <c r="S796" s="124">
        <f>SUM(S789:S795)</f>
        <v>0</v>
      </c>
      <c r="T796" s="341" t="s">
        <v>201</v>
      </c>
      <c r="U796" s="342"/>
      <c r="V796" s="124">
        <f>SUM(V789:V795)</f>
        <v>0</v>
      </c>
      <c r="W796" s="341" t="s">
        <v>201</v>
      </c>
      <c r="X796" s="342"/>
      <c r="Y796" s="127">
        <f>SUM(Y789:Y795)</f>
        <v>0</v>
      </c>
      <c r="Z796" s="151"/>
    </row>
    <row r="797" spans="2:26" s="35" customFormat="1" ht="17.100000000000001" customHeight="1">
      <c r="B797" s="105"/>
      <c r="C797" s="54">
        <f>'2. Rekap Back Up Beton'!C118</f>
        <v>19500</v>
      </c>
      <c r="D797" s="96">
        <f>'2. Rekap Back Up Beton'!D118</f>
        <v>19600</v>
      </c>
      <c r="E797" s="111">
        <f>'2. Rekap Back Up Beton'!E118</f>
        <v>5</v>
      </c>
      <c r="F797" s="112">
        <f>(100/((D797-C797)*E797))*((J804*0.5)+(M804*1)+(P804*2)+(S804*20)+(V804*15)+(Y804*1.5))</f>
        <v>12.5</v>
      </c>
      <c r="G797" s="113" t="str">
        <f>IF(F797&lt;=25,"B",IF(F797&lt;=75,"S",IF(F797&lt;=100,"RR","RB")))</f>
        <v>B</v>
      </c>
      <c r="H797" s="100">
        <v>25</v>
      </c>
      <c r="I797" s="98">
        <v>5</v>
      </c>
      <c r="J797" s="101">
        <f t="shared" ref="J797:J803" si="582">H797*I797</f>
        <v>125</v>
      </c>
      <c r="K797" s="100">
        <v>0</v>
      </c>
      <c r="L797" s="98">
        <v>0</v>
      </c>
      <c r="M797" s="101">
        <f t="shared" ref="M797:M803" si="583">K797*L797</f>
        <v>0</v>
      </c>
      <c r="N797" s="100">
        <v>0</v>
      </c>
      <c r="O797" s="98">
        <v>4</v>
      </c>
      <c r="P797" s="101">
        <f t="shared" ref="P797:P803" si="584">N797*O797</f>
        <v>0</v>
      </c>
      <c r="Q797" s="100">
        <v>0</v>
      </c>
      <c r="R797" s="98">
        <v>0</v>
      </c>
      <c r="S797" s="101">
        <f t="shared" ref="S797:S803" si="585">Q797*R797</f>
        <v>0</v>
      </c>
      <c r="T797" s="100">
        <v>0</v>
      </c>
      <c r="U797" s="98">
        <v>0</v>
      </c>
      <c r="V797" s="101">
        <f>T797*U797</f>
        <v>0</v>
      </c>
      <c r="W797" s="100">
        <v>0</v>
      </c>
      <c r="X797" s="98">
        <v>0</v>
      </c>
      <c r="Y797" s="147">
        <f t="shared" ref="Y797:Y803" si="586">W797*X797</f>
        <v>0</v>
      </c>
      <c r="Z797" s="150"/>
    </row>
    <row r="798" spans="2:26" s="35" customFormat="1" ht="17.100000000000001" customHeight="1">
      <c r="B798" s="105"/>
      <c r="C798" s="54"/>
      <c r="D798" s="96"/>
      <c r="E798" s="111"/>
      <c r="F798" s="112"/>
      <c r="G798" s="113"/>
      <c r="H798" s="100">
        <v>0</v>
      </c>
      <c r="I798" s="98">
        <v>0</v>
      </c>
      <c r="J798" s="101">
        <f t="shared" si="582"/>
        <v>0</v>
      </c>
      <c r="K798" s="100">
        <v>0</v>
      </c>
      <c r="L798" s="98">
        <v>0</v>
      </c>
      <c r="M798" s="101">
        <f t="shared" si="583"/>
        <v>0</v>
      </c>
      <c r="N798" s="100">
        <v>0</v>
      </c>
      <c r="O798" s="98">
        <v>0</v>
      </c>
      <c r="P798" s="101">
        <f t="shared" si="584"/>
        <v>0</v>
      </c>
      <c r="Q798" s="100">
        <v>0</v>
      </c>
      <c r="R798" s="98">
        <v>0</v>
      </c>
      <c r="S798" s="101">
        <f t="shared" si="585"/>
        <v>0</v>
      </c>
      <c r="T798" s="100">
        <v>0</v>
      </c>
      <c r="U798" s="98">
        <v>0</v>
      </c>
      <c r="V798" s="101">
        <f t="shared" ref="V798:V803" si="587">T798*U798</f>
        <v>0</v>
      </c>
      <c r="W798" s="100">
        <v>0</v>
      </c>
      <c r="X798" s="98">
        <v>0</v>
      </c>
      <c r="Y798" s="147">
        <f t="shared" si="586"/>
        <v>0</v>
      </c>
      <c r="Z798" s="150"/>
    </row>
    <row r="799" spans="2:26" s="35" customFormat="1" ht="17.100000000000001" customHeight="1">
      <c r="B799" s="105"/>
      <c r="C799" s="54"/>
      <c r="D799" s="96"/>
      <c r="E799" s="111"/>
      <c r="F799" s="112"/>
      <c r="G799" s="113"/>
      <c r="H799" s="100">
        <v>0</v>
      </c>
      <c r="I799" s="98">
        <v>0</v>
      </c>
      <c r="J799" s="101">
        <f t="shared" si="582"/>
        <v>0</v>
      </c>
      <c r="K799" s="100">
        <v>0</v>
      </c>
      <c r="L799" s="98">
        <v>0</v>
      </c>
      <c r="M799" s="101">
        <f t="shared" si="583"/>
        <v>0</v>
      </c>
      <c r="N799" s="100">
        <v>0</v>
      </c>
      <c r="O799" s="98">
        <v>0</v>
      </c>
      <c r="P799" s="101">
        <f t="shared" si="584"/>
        <v>0</v>
      </c>
      <c r="Q799" s="100">
        <v>0</v>
      </c>
      <c r="R799" s="98">
        <v>0</v>
      </c>
      <c r="S799" s="101">
        <f t="shared" si="585"/>
        <v>0</v>
      </c>
      <c r="T799" s="100">
        <v>0</v>
      </c>
      <c r="U799" s="98">
        <v>0</v>
      </c>
      <c r="V799" s="101">
        <f t="shared" si="587"/>
        <v>0</v>
      </c>
      <c r="W799" s="100">
        <v>0</v>
      </c>
      <c r="X799" s="98">
        <v>0</v>
      </c>
      <c r="Y799" s="147">
        <f t="shared" si="586"/>
        <v>0</v>
      </c>
      <c r="Z799" s="150"/>
    </row>
    <row r="800" spans="2:26" s="35" customFormat="1" ht="17.100000000000001" customHeight="1">
      <c r="B800" s="105"/>
      <c r="C800" s="54"/>
      <c r="D800" s="96"/>
      <c r="E800" s="111"/>
      <c r="F800" s="112"/>
      <c r="G800" s="113"/>
      <c r="H800" s="100">
        <v>0</v>
      </c>
      <c r="I800" s="98">
        <v>0</v>
      </c>
      <c r="J800" s="101">
        <f t="shared" si="582"/>
        <v>0</v>
      </c>
      <c r="K800" s="100">
        <v>0</v>
      </c>
      <c r="L800" s="98">
        <v>0</v>
      </c>
      <c r="M800" s="101">
        <f t="shared" si="583"/>
        <v>0</v>
      </c>
      <c r="N800" s="100">
        <v>0</v>
      </c>
      <c r="O800" s="98">
        <v>0</v>
      </c>
      <c r="P800" s="101">
        <f t="shared" si="584"/>
        <v>0</v>
      </c>
      <c r="Q800" s="100">
        <v>0</v>
      </c>
      <c r="R800" s="98">
        <v>0</v>
      </c>
      <c r="S800" s="101">
        <f t="shared" si="585"/>
        <v>0</v>
      </c>
      <c r="T800" s="100">
        <v>0</v>
      </c>
      <c r="U800" s="98">
        <v>0</v>
      </c>
      <c r="V800" s="101">
        <f t="shared" si="587"/>
        <v>0</v>
      </c>
      <c r="W800" s="100">
        <v>0</v>
      </c>
      <c r="X800" s="98">
        <v>0</v>
      </c>
      <c r="Y800" s="147">
        <f t="shared" si="586"/>
        <v>0</v>
      </c>
      <c r="Z800" s="150"/>
    </row>
    <row r="801" spans="2:26" s="35" customFormat="1" ht="17.100000000000001" customHeight="1">
      <c r="B801" s="105"/>
      <c r="C801" s="54"/>
      <c r="D801" s="96"/>
      <c r="E801" s="111"/>
      <c r="F801" s="112"/>
      <c r="G801" s="113"/>
      <c r="H801" s="100">
        <v>0</v>
      </c>
      <c r="I801" s="98">
        <v>0</v>
      </c>
      <c r="J801" s="101">
        <f t="shared" si="582"/>
        <v>0</v>
      </c>
      <c r="K801" s="100">
        <v>0</v>
      </c>
      <c r="L801" s="98">
        <v>0</v>
      </c>
      <c r="M801" s="101">
        <f t="shared" si="583"/>
        <v>0</v>
      </c>
      <c r="N801" s="100">
        <v>0</v>
      </c>
      <c r="O801" s="98">
        <v>0</v>
      </c>
      <c r="P801" s="101">
        <f t="shared" si="584"/>
        <v>0</v>
      </c>
      <c r="Q801" s="100">
        <v>0</v>
      </c>
      <c r="R801" s="98">
        <v>0</v>
      </c>
      <c r="S801" s="101">
        <f t="shared" si="585"/>
        <v>0</v>
      </c>
      <c r="T801" s="100">
        <v>0</v>
      </c>
      <c r="U801" s="98">
        <v>0</v>
      </c>
      <c r="V801" s="101">
        <f t="shared" si="587"/>
        <v>0</v>
      </c>
      <c r="W801" s="100">
        <v>0</v>
      </c>
      <c r="X801" s="98">
        <v>0</v>
      </c>
      <c r="Y801" s="147">
        <f t="shared" si="586"/>
        <v>0</v>
      </c>
      <c r="Z801" s="150"/>
    </row>
    <row r="802" spans="2:26" s="35" customFormat="1" ht="17.100000000000001" customHeight="1">
      <c r="B802" s="105"/>
      <c r="C802" s="54"/>
      <c r="D802" s="96"/>
      <c r="E802" s="111"/>
      <c r="F802" s="112"/>
      <c r="G802" s="113"/>
      <c r="H802" s="100">
        <v>0</v>
      </c>
      <c r="I802" s="98">
        <v>0</v>
      </c>
      <c r="J802" s="101">
        <f t="shared" si="582"/>
        <v>0</v>
      </c>
      <c r="K802" s="100">
        <v>0</v>
      </c>
      <c r="L802" s="98">
        <v>0</v>
      </c>
      <c r="M802" s="101">
        <f t="shared" si="583"/>
        <v>0</v>
      </c>
      <c r="N802" s="100">
        <v>0</v>
      </c>
      <c r="O802" s="98">
        <v>0</v>
      </c>
      <c r="P802" s="101">
        <f t="shared" si="584"/>
        <v>0</v>
      </c>
      <c r="Q802" s="100">
        <v>0</v>
      </c>
      <c r="R802" s="98">
        <v>0</v>
      </c>
      <c r="S802" s="101">
        <f t="shared" si="585"/>
        <v>0</v>
      </c>
      <c r="T802" s="100">
        <v>0</v>
      </c>
      <c r="U802" s="98">
        <v>0</v>
      </c>
      <c r="V802" s="101">
        <f t="shared" si="587"/>
        <v>0</v>
      </c>
      <c r="W802" s="100">
        <v>0</v>
      </c>
      <c r="X802" s="98">
        <v>0</v>
      </c>
      <c r="Y802" s="147">
        <f t="shared" si="586"/>
        <v>0</v>
      </c>
      <c r="Z802" s="150"/>
    </row>
    <row r="803" spans="2:26" s="35" customFormat="1" ht="17.100000000000001" customHeight="1">
      <c r="B803" s="105"/>
      <c r="C803" s="54"/>
      <c r="D803" s="96"/>
      <c r="E803" s="111"/>
      <c r="F803" s="112"/>
      <c r="G803" s="113"/>
      <c r="H803" s="100">
        <v>0</v>
      </c>
      <c r="I803" s="98">
        <v>0</v>
      </c>
      <c r="J803" s="101">
        <f t="shared" si="582"/>
        <v>0</v>
      </c>
      <c r="K803" s="100">
        <v>0</v>
      </c>
      <c r="L803" s="98">
        <v>0</v>
      </c>
      <c r="M803" s="101">
        <f t="shared" si="583"/>
        <v>0</v>
      </c>
      <c r="N803" s="100">
        <v>0</v>
      </c>
      <c r="O803" s="98">
        <v>0</v>
      </c>
      <c r="P803" s="101">
        <f t="shared" si="584"/>
        <v>0</v>
      </c>
      <c r="Q803" s="100">
        <v>0</v>
      </c>
      <c r="R803" s="98">
        <v>0</v>
      </c>
      <c r="S803" s="101">
        <f t="shared" si="585"/>
        <v>0</v>
      </c>
      <c r="T803" s="100">
        <v>0</v>
      </c>
      <c r="U803" s="98">
        <v>0</v>
      </c>
      <c r="V803" s="101">
        <f t="shared" si="587"/>
        <v>0</v>
      </c>
      <c r="W803" s="100">
        <v>0</v>
      </c>
      <c r="X803" s="98">
        <v>0</v>
      </c>
      <c r="Y803" s="147">
        <f t="shared" si="586"/>
        <v>0</v>
      </c>
      <c r="Z803" s="150"/>
    </row>
    <row r="804" spans="2:26" s="126" customFormat="1" ht="17.100000000000001" customHeight="1">
      <c r="B804" s="118"/>
      <c r="C804" s="119"/>
      <c r="D804" s="120"/>
      <c r="E804" s="121"/>
      <c r="F804" s="122"/>
      <c r="G804" s="123"/>
      <c r="H804" s="341" t="s">
        <v>201</v>
      </c>
      <c r="I804" s="342"/>
      <c r="J804" s="124">
        <f>SUM(J797:J803)</f>
        <v>125</v>
      </c>
      <c r="K804" s="341" t="s">
        <v>201</v>
      </c>
      <c r="L804" s="342"/>
      <c r="M804" s="124">
        <f>SUM(M797:M803)</f>
        <v>0</v>
      </c>
      <c r="N804" s="341" t="s">
        <v>201</v>
      </c>
      <c r="O804" s="342"/>
      <c r="P804" s="124">
        <f>SUM(P797:P803)</f>
        <v>0</v>
      </c>
      <c r="Q804" s="341" t="s">
        <v>201</v>
      </c>
      <c r="R804" s="342"/>
      <c r="S804" s="124">
        <f>SUM(S797:S803)</f>
        <v>0</v>
      </c>
      <c r="T804" s="341" t="s">
        <v>201</v>
      </c>
      <c r="U804" s="342"/>
      <c r="V804" s="124">
        <f>SUM(V797:V803)</f>
        <v>0</v>
      </c>
      <c r="W804" s="341" t="s">
        <v>201</v>
      </c>
      <c r="X804" s="342"/>
      <c r="Y804" s="127">
        <f>SUM(Y797:Y803)</f>
        <v>0</v>
      </c>
      <c r="Z804" s="151"/>
    </row>
    <row r="805" spans="2:26" s="35" customFormat="1" ht="17.100000000000001" customHeight="1">
      <c r="B805" s="105"/>
      <c r="C805" s="54">
        <f>'2. Rekap Back Up Beton'!C119</f>
        <v>19600</v>
      </c>
      <c r="D805" s="96">
        <f>'2. Rekap Back Up Beton'!D119</f>
        <v>19700</v>
      </c>
      <c r="E805" s="111">
        <f>'2. Rekap Back Up Beton'!E119</f>
        <v>5</v>
      </c>
      <c r="F805" s="112">
        <f>(100/((D805-C805)*E805))*((J812*0.5)+(M812*1)+(P812*2)+(S812*20)+(V812*15)+(Y812*1.5))</f>
        <v>10</v>
      </c>
      <c r="G805" s="113" t="str">
        <f>IF(F805&lt;=25,"B",IF(F805&lt;=75,"S",IF(F805&lt;=100,"RR","RB")))</f>
        <v>B</v>
      </c>
      <c r="H805" s="100">
        <v>20</v>
      </c>
      <c r="I805" s="98">
        <v>5</v>
      </c>
      <c r="J805" s="101">
        <f t="shared" ref="J805:J811" si="588">H805*I805</f>
        <v>100</v>
      </c>
      <c r="K805" s="100">
        <v>0</v>
      </c>
      <c r="L805" s="98">
        <v>0</v>
      </c>
      <c r="M805" s="101">
        <f t="shared" ref="M805:M811" si="589">K805*L805</f>
        <v>0</v>
      </c>
      <c r="N805" s="100">
        <v>0</v>
      </c>
      <c r="O805" s="98">
        <v>4</v>
      </c>
      <c r="P805" s="101">
        <f t="shared" ref="P805:P811" si="590">N805*O805</f>
        <v>0</v>
      </c>
      <c r="Q805" s="100">
        <v>0</v>
      </c>
      <c r="R805" s="98">
        <v>0</v>
      </c>
      <c r="S805" s="101">
        <f t="shared" ref="S805:S811" si="591">Q805*R805</f>
        <v>0</v>
      </c>
      <c r="T805" s="100">
        <v>0</v>
      </c>
      <c r="U805" s="98">
        <v>0</v>
      </c>
      <c r="V805" s="101">
        <f>T805*U805</f>
        <v>0</v>
      </c>
      <c r="W805" s="100">
        <v>0</v>
      </c>
      <c r="X805" s="98">
        <v>0</v>
      </c>
      <c r="Y805" s="147">
        <f t="shared" ref="Y805:Y811" si="592">W805*X805</f>
        <v>0</v>
      </c>
      <c r="Z805" s="150"/>
    </row>
    <row r="806" spans="2:26" s="35" customFormat="1" ht="17.100000000000001" customHeight="1">
      <c r="B806" s="105"/>
      <c r="C806" s="54"/>
      <c r="D806" s="96"/>
      <c r="E806" s="111"/>
      <c r="F806" s="112"/>
      <c r="G806" s="113"/>
      <c r="H806" s="100">
        <v>0</v>
      </c>
      <c r="I806" s="98">
        <v>0</v>
      </c>
      <c r="J806" s="101">
        <f t="shared" si="588"/>
        <v>0</v>
      </c>
      <c r="K806" s="100">
        <v>0</v>
      </c>
      <c r="L806" s="98">
        <v>0</v>
      </c>
      <c r="M806" s="101">
        <f t="shared" si="589"/>
        <v>0</v>
      </c>
      <c r="N806" s="100">
        <v>0</v>
      </c>
      <c r="O806" s="98">
        <v>0</v>
      </c>
      <c r="P806" s="101">
        <f t="shared" si="590"/>
        <v>0</v>
      </c>
      <c r="Q806" s="100">
        <v>0</v>
      </c>
      <c r="R806" s="98">
        <v>0</v>
      </c>
      <c r="S806" s="101">
        <f t="shared" si="591"/>
        <v>0</v>
      </c>
      <c r="T806" s="100">
        <v>0</v>
      </c>
      <c r="U806" s="98">
        <v>0</v>
      </c>
      <c r="V806" s="101">
        <f t="shared" ref="V806:V811" si="593">T806*U806</f>
        <v>0</v>
      </c>
      <c r="W806" s="100">
        <v>0</v>
      </c>
      <c r="X806" s="98">
        <v>0</v>
      </c>
      <c r="Y806" s="147">
        <f t="shared" si="592"/>
        <v>0</v>
      </c>
      <c r="Z806" s="150"/>
    </row>
    <row r="807" spans="2:26" s="35" customFormat="1" ht="17.100000000000001" customHeight="1">
      <c r="B807" s="105"/>
      <c r="C807" s="54"/>
      <c r="D807" s="96"/>
      <c r="E807" s="111"/>
      <c r="F807" s="112"/>
      <c r="G807" s="113"/>
      <c r="H807" s="100">
        <v>0</v>
      </c>
      <c r="I807" s="98">
        <v>0</v>
      </c>
      <c r="J807" s="101">
        <f t="shared" si="588"/>
        <v>0</v>
      </c>
      <c r="K807" s="100">
        <v>0</v>
      </c>
      <c r="L807" s="98">
        <v>0</v>
      </c>
      <c r="M807" s="101">
        <f t="shared" si="589"/>
        <v>0</v>
      </c>
      <c r="N807" s="100">
        <v>0</v>
      </c>
      <c r="O807" s="98">
        <v>0</v>
      </c>
      <c r="P807" s="101">
        <f t="shared" si="590"/>
        <v>0</v>
      </c>
      <c r="Q807" s="100">
        <v>0</v>
      </c>
      <c r="R807" s="98">
        <v>0</v>
      </c>
      <c r="S807" s="101">
        <f t="shared" si="591"/>
        <v>0</v>
      </c>
      <c r="T807" s="100">
        <v>0</v>
      </c>
      <c r="U807" s="98">
        <v>0</v>
      </c>
      <c r="V807" s="101">
        <f t="shared" si="593"/>
        <v>0</v>
      </c>
      <c r="W807" s="100">
        <v>0</v>
      </c>
      <c r="X807" s="98">
        <v>0</v>
      </c>
      <c r="Y807" s="147">
        <f t="shared" si="592"/>
        <v>0</v>
      </c>
      <c r="Z807" s="150"/>
    </row>
    <row r="808" spans="2:26" s="35" customFormat="1" ht="17.100000000000001" customHeight="1">
      <c r="B808" s="105"/>
      <c r="C808" s="54"/>
      <c r="D808" s="96"/>
      <c r="E808" s="111"/>
      <c r="F808" s="112"/>
      <c r="G808" s="113"/>
      <c r="H808" s="100">
        <v>0</v>
      </c>
      <c r="I808" s="98">
        <v>0</v>
      </c>
      <c r="J808" s="101">
        <f t="shared" si="588"/>
        <v>0</v>
      </c>
      <c r="K808" s="100">
        <v>0</v>
      </c>
      <c r="L808" s="98">
        <v>0</v>
      </c>
      <c r="M808" s="101">
        <f t="shared" si="589"/>
        <v>0</v>
      </c>
      <c r="N808" s="100">
        <v>0</v>
      </c>
      <c r="O808" s="98">
        <v>0</v>
      </c>
      <c r="P808" s="101">
        <f t="shared" si="590"/>
        <v>0</v>
      </c>
      <c r="Q808" s="100">
        <v>0</v>
      </c>
      <c r="R808" s="98">
        <v>0</v>
      </c>
      <c r="S808" s="101">
        <f t="shared" si="591"/>
        <v>0</v>
      </c>
      <c r="T808" s="100">
        <v>0</v>
      </c>
      <c r="U808" s="98">
        <v>0</v>
      </c>
      <c r="V808" s="101">
        <f t="shared" si="593"/>
        <v>0</v>
      </c>
      <c r="W808" s="100">
        <v>0</v>
      </c>
      <c r="X808" s="98">
        <v>0</v>
      </c>
      <c r="Y808" s="147">
        <f t="shared" si="592"/>
        <v>0</v>
      </c>
      <c r="Z808" s="150"/>
    </row>
    <row r="809" spans="2:26" s="35" customFormat="1" ht="17.100000000000001" customHeight="1">
      <c r="B809" s="105"/>
      <c r="C809" s="54"/>
      <c r="D809" s="96"/>
      <c r="E809" s="111"/>
      <c r="F809" s="112"/>
      <c r="G809" s="113"/>
      <c r="H809" s="100">
        <v>0</v>
      </c>
      <c r="I809" s="98">
        <v>0</v>
      </c>
      <c r="J809" s="101">
        <f t="shared" si="588"/>
        <v>0</v>
      </c>
      <c r="K809" s="100">
        <v>0</v>
      </c>
      <c r="L809" s="98">
        <v>0</v>
      </c>
      <c r="M809" s="101">
        <f t="shared" si="589"/>
        <v>0</v>
      </c>
      <c r="N809" s="100">
        <v>0</v>
      </c>
      <c r="O809" s="98">
        <v>0</v>
      </c>
      <c r="P809" s="101">
        <f t="shared" si="590"/>
        <v>0</v>
      </c>
      <c r="Q809" s="100">
        <v>0</v>
      </c>
      <c r="R809" s="98">
        <v>0</v>
      </c>
      <c r="S809" s="101">
        <f t="shared" si="591"/>
        <v>0</v>
      </c>
      <c r="T809" s="100">
        <v>0</v>
      </c>
      <c r="U809" s="98">
        <v>0</v>
      </c>
      <c r="V809" s="101">
        <f t="shared" si="593"/>
        <v>0</v>
      </c>
      <c r="W809" s="100">
        <v>0</v>
      </c>
      <c r="X809" s="98">
        <v>0</v>
      </c>
      <c r="Y809" s="147">
        <f t="shared" si="592"/>
        <v>0</v>
      </c>
      <c r="Z809" s="150"/>
    </row>
    <row r="810" spans="2:26" s="35" customFormat="1" ht="17.100000000000001" customHeight="1">
      <c r="B810" s="105"/>
      <c r="C810" s="54"/>
      <c r="D810" s="96"/>
      <c r="E810" s="111"/>
      <c r="F810" s="112"/>
      <c r="G810" s="113"/>
      <c r="H810" s="100">
        <v>0</v>
      </c>
      <c r="I810" s="98">
        <v>0</v>
      </c>
      <c r="J810" s="101">
        <f t="shared" si="588"/>
        <v>0</v>
      </c>
      <c r="K810" s="100">
        <v>0</v>
      </c>
      <c r="L810" s="98">
        <v>0</v>
      </c>
      <c r="M810" s="101">
        <f t="shared" si="589"/>
        <v>0</v>
      </c>
      <c r="N810" s="100">
        <v>0</v>
      </c>
      <c r="O810" s="98">
        <v>0</v>
      </c>
      <c r="P810" s="101">
        <f t="shared" si="590"/>
        <v>0</v>
      </c>
      <c r="Q810" s="100">
        <v>0</v>
      </c>
      <c r="R810" s="98">
        <v>0</v>
      </c>
      <c r="S810" s="101">
        <f t="shared" si="591"/>
        <v>0</v>
      </c>
      <c r="T810" s="100">
        <v>0</v>
      </c>
      <c r="U810" s="98">
        <v>0</v>
      </c>
      <c r="V810" s="101">
        <f t="shared" si="593"/>
        <v>0</v>
      </c>
      <c r="W810" s="100">
        <v>0</v>
      </c>
      <c r="X810" s="98">
        <v>0</v>
      </c>
      <c r="Y810" s="147">
        <f t="shared" si="592"/>
        <v>0</v>
      </c>
      <c r="Z810" s="150"/>
    </row>
    <row r="811" spans="2:26" s="35" customFormat="1" ht="17.100000000000001" customHeight="1">
      <c r="B811" s="105"/>
      <c r="C811" s="54"/>
      <c r="D811" s="96"/>
      <c r="E811" s="111"/>
      <c r="F811" s="112"/>
      <c r="G811" s="113"/>
      <c r="H811" s="100">
        <v>0</v>
      </c>
      <c r="I811" s="98">
        <v>0</v>
      </c>
      <c r="J811" s="101">
        <f t="shared" si="588"/>
        <v>0</v>
      </c>
      <c r="K811" s="100">
        <v>0</v>
      </c>
      <c r="L811" s="98">
        <v>0</v>
      </c>
      <c r="M811" s="101">
        <f t="shared" si="589"/>
        <v>0</v>
      </c>
      <c r="N811" s="100">
        <v>0</v>
      </c>
      <c r="O811" s="98">
        <v>0</v>
      </c>
      <c r="P811" s="101">
        <f t="shared" si="590"/>
        <v>0</v>
      </c>
      <c r="Q811" s="100">
        <v>0</v>
      </c>
      <c r="R811" s="98">
        <v>0</v>
      </c>
      <c r="S811" s="101">
        <f t="shared" si="591"/>
        <v>0</v>
      </c>
      <c r="T811" s="100">
        <v>0</v>
      </c>
      <c r="U811" s="98">
        <v>0</v>
      </c>
      <c r="V811" s="101">
        <f t="shared" si="593"/>
        <v>0</v>
      </c>
      <c r="W811" s="100">
        <v>0</v>
      </c>
      <c r="X811" s="98">
        <v>0</v>
      </c>
      <c r="Y811" s="147">
        <f t="shared" si="592"/>
        <v>0</v>
      </c>
      <c r="Z811" s="150"/>
    </row>
    <row r="812" spans="2:26" s="126" customFormat="1" ht="17.100000000000001" customHeight="1" thickBot="1">
      <c r="B812" s="128"/>
      <c r="C812" s="154"/>
      <c r="D812" s="155"/>
      <c r="E812" s="156"/>
      <c r="F812" s="129"/>
      <c r="G812" s="130"/>
      <c r="H812" s="344" t="s">
        <v>201</v>
      </c>
      <c r="I812" s="345"/>
      <c r="J812" s="131">
        <f>SUM(J805:J811)</f>
        <v>100</v>
      </c>
      <c r="K812" s="344" t="s">
        <v>201</v>
      </c>
      <c r="L812" s="345"/>
      <c r="M812" s="131">
        <f>SUM(M805:M811)</f>
        <v>0</v>
      </c>
      <c r="N812" s="344" t="s">
        <v>201</v>
      </c>
      <c r="O812" s="345"/>
      <c r="P812" s="131">
        <f>SUM(P805:P811)</f>
        <v>0</v>
      </c>
      <c r="Q812" s="344" t="s">
        <v>201</v>
      </c>
      <c r="R812" s="345"/>
      <c r="S812" s="131">
        <f>SUM(S805:S811)</f>
        <v>0</v>
      </c>
      <c r="T812" s="344" t="s">
        <v>201</v>
      </c>
      <c r="U812" s="345"/>
      <c r="V812" s="131">
        <f>SUM(V805:V811)</f>
        <v>0</v>
      </c>
      <c r="W812" s="344" t="s">
        <v>201</v>
      </c>
      <c r="X812" s="345"/>
      <c r="Y812" s="132">
        <f>SUM(Y805:Y811)</f>
        <v>0</v>
      </c>
      <c r="Z812" s="152"/>
    </row>
    <row r="813" spans="2:26" s="35" customFormat="1" ht="17.100000000000001" customHeight="1">
      <c r="B813" s="114"/>
      <c r="C813" s="157">
        <f>'2. Rekap Back Up Beton'!C120</f>
        <v>19700</v>
      </c>
      <c r="D813" s="158">
        <f>'2. Rekap Back Up Beton'!D120</f>
        <v>19800</v>
      </c>
      <c r="E813" s="159">
        <f>'2. Rekap Back Up Beton'!E120</f>
        <v>5</v>
      </c>
      <c r="F813" s="115">
        <f>(100/((D813-C813)*E813))*((J820*0.5)+(M820*1)+(P820*2)+(S820*20)+(V820*15)+(Y820*1.5))</f>
        <v>17.5</v>
      </c>
      <c r="G813" s="116" t="str">
        <f>IF(F813&lt;=25,"B",IF(F813&lt;=75,"S",IF(F813&lt;=100,"RR","RB")))</f>
        <v>B</v>
      </c>
      <c r="H813" s="135">
        <v>35</v>
      </c>
      <c r="I813" s="136">
        <v>5</v>
      </c>
      <c r="J813" s="137">
        <f t="shared" ref="J813:J819" si="594">H813*I813</f>
        <v>175</v>
      </c>
      <c r="K813" s="135">
        <v>0</v>
      </c>
      <c r="L813" s="136">
        <v>0</v>
      </c>
      <c r="M813" s="137">
        <f t="shared" ref="M813:M819" si="595">K813*L813</f>
        <v>0</v>
      </c>
      <c r="N813" s="135">
        <v>0</v>
      </c>
      <c r="O813" s="136">
        <v>4</v>
      </c>
      <c r="P813" s="137">
        <f t="shared" ref="P813:P819" si="596">N813*O813</f>
        <v>0</v>
      </c>
      <c r="Q813" s="135">
        <v>0</v>
      </c>
      <c r="R813" s="136">
        <v>0</v>
      </c>
      <c r="S813" s="137">
        <f t="shared" ref="S813:S819" si="597">Q813*R813</f>
        <v>0</v>
      </c>
      <c r="T813" s="135">
        <v>0</v>
      </c>
      <c r="U813" s="136">
        <v>0</v>
      </c>
      <c r="V813" s="137">
        <f>T813*U813</f>
        <v>0</v>
      </c>
      <c r="W813" s="135">
        <v>0</v>
      </c>
      <c r="X813" s="136">
        <v>0</v>
      </c>
      <c r="Y813" s="148">
        <f t="shared" ref="Y813:Y819" si="598">W813*X813</f>
        <v>0</v>
      </c>
      <c r="Z813" s="153"/>
    </row>
    <row r="814" spans="2:26" s="35" customFormat="1" ht="17.100000000000001" customHeight="1">
      <c r="B814" s="105"/>
      <c r="C814" s="54"/>
      <c r="D814" s="96"/>
      <c r="E814" s="111"/>
      <c r="F814" s="112"/>
      <c r="G814" s="113"/>
      <c r="H814" s="100">
        <v>0</v>
      </c>
      <c r="I814" s="98">
        <v>0</v>
      </c>
      <c r="J814" s="101">
        <f t="shared" si="594"/>
        <v>0</v>
      </c>
      <c r="K814" s="100">
        <v>0</v>
      </c>
      <c r="L814" s="98">
        <v>0</v>
      </c>
      <c r="M814" s="101">
        <f t="shared" si="595"/>
        <v>0</v>
      </c>
      <c r="N814" s="100">
        <v>0</v>
      </c>
      <c r="O814" s="98">
        <v>0</v>
      </c>
      <c r="P814" s="101">
        <f t="shared" si="596"/>
        <v>0</v>
      </c>
      <c r="Q814" s="100">
        <v>0</v>
      </c>
      <c r="R814" s="98">
        <v>0</v>
      </c>
      <c r="S814" s="101">
        <f t="shared" si="597"/>
        <v>0</v>
      </c>
      <c r="T814" s="100">
        <v>0</v>
      </c>
      <c r="U814" s="98">
        <v>0</v>
      </c>
      <c r="V814" s="101">
        <f t="shared" ref="V814:V819" si="599">T814*U814</f>
        <v>0</v>
      </c>
      <c r="W814" s="100">
        <v>0</v>
      </c>
      <c r="X814" s="98">
        <v>0</v>
      </c>
      <c r="Y814" s="147">
        <f t="shared" si="598"/>
        <v>0</v>
      </c>
      <c r="Z814" s="150"/>
    </row>
    <row r="815" spans="2:26" s="35" customFormat="1" ht="17.100000000000001" customHeight="1">
      <c r="B815" s="105"/>
      <c r="C815" s="54"/>
      <c r="D815" s="96"/>
      <c r="E815" s="111"/>
      <c r="F815" s="112"/>
      <c r="G815" s="113"/>
      <c r="H815" s="100">
        <v>0</v>
      </c>
      <c r="I815" s="98">
        <v>0</v>
      </c>
      <c r="J815" s="101">
        <f t="shared" si="594"/>
        <v>0</v>
      </c>
      <c r="K815" s="100">
        <v>0</v>
      </c>
      <c r="L815" s="98">
        <v>0</v>
      </c>
      <c r="M815" s="101">
        <f t="shared" si="595"/>
        <v>0</v>
      </c>
      <c r="N815" s="100">
        <v>0</v>
      </c>
      <c r="O815" s="98">
        <v>0</v>
      </c>
      <c r="P815" s="101">
        <f t="shared" si="596"/>
        <v>0</v>
      </c>
      <c r="Q815" s="100">
        <v>0</v>
      </c>
      <c r="R815" s="98">
        <v>0</v>
      </c>
      <c r="S815" s="101">
        <f t="shared" si="597"/>
        <v>0</v>
      </c>
      <c r="T815" s="100">
        <v>0</v>
      </c>
      <c r="U815" s="98">
        <v>0</v>
      </c>
      <c r="V815" s="101">
        <f t="shared" si="599"/>
        <v>0</v>
      </c>
      <c r="W815" s="100">
        <v>0</v>
      </c>
      <c r="X815" s="98">
        <v>0</v>
      </c>
      <c r="Y815" s="147">
        <f t="shared" si="598"/>
        <v>0</v>
      </c>
      <c r="Z815" s="150"/>
    </row>
    <row r="816" spans="2:26" s="35" customFormat="1" ht="17.100000000000001" customHeight="1">
      <c r="B816" s="105"/>
      <c r="C816" s="54"/>
      <c r="D816" s="96"/>
      <c r="E816" s="111"/>
      <c r="F816" s="112"/>
      <c r="G816" s="113"/>
      <c r="H816" s="100">
        <v>0</v>
      </c>
      <c r="I816" s="98">
        <v>0</v>
      </c>
      <c r="J816" s="101">
        <f t="shared" si="594"/>
        <v>0</v>
      </c>
      <c r="K816" s="100">
        <v>0</v>
      </c>
      <c r="L816" s="98">
        <v>0</v>
      </c>
      <c r="M816" s="101">
        <f t="shared" si="595"/>
        <v>0</v>
      </c>
      <c r="N816" s="100">
        <v>0</v>
      </c>
      <c r="O816" s="98">
        <v>0</v>
      </c>
      <c r="P816" s="101">
        <f t="shared" si="596"/>
        <v>0</v>
      </c>
      <c r="Q816" s="100">
        <v>0</v>
      </c>
      <c r="R816" s="98">
        <v>0</v>
      </c>
      <c r="S816" s="101">
        <f t="shared" si="597"/>
        <v>0</v>
      </c>
      <c r="T816" s="100">
        <v>0</v>
      </c>
      <c r="U816" s="98">
        <v>0</v>
      </c>
      <c r="V816" s="101">
        <f t="shared" si="599"/>
        <v>0</v>
      </c>
      <c r="W816" s="100">
        <v>0</v>
      </c>
      <c r="X816" s="98">
        <v>0</v>
      </c>
      <c r="Y816" s="147">
        <f t="shared" si="598"/>
        <v>0</v>
      </c>
      <c r="Z816" s="150"/>
    </row>
    <row r="817" spans="2:26" s="35" customFormat="1" ht="17.100000000000001" customHeight="1">
      <c r="B817" s="105"/>
      <c r="C817" s="54"/>
      <c r="D817" s="96"/>
      <c r="E817" s="111"/>
      <c r="F817" s="112"/>
      <c r="G817" s="113"/>
      <c r="H817" s="100">
        <v>0</v>
      </c>
      <c r="I817" s="98">
        <v>0</v>
      </c>
      <c r="J817" s="101">
        <f t="shared" si="594"/>
        <v>0</v>
      </c>
      <c r="K817" s="100">
        <v>0</v>
      </c>
      <c r="L817" s="98">
        <v>0</v>
      </c>
      <c r="M817" s="101">
        <f t="shared" si="595"/>
        <v>0</v>
      </c>
      <c r="N817" s="100">
        <v>0</v>
      </c>
      <c r="O817" s="98">
        <v>0</v>
      </c>
      <c r="P817" s="101">
        <f t="shared" si="596"/>
        <v>0</v>
      </c>
      <c r="Q817" s="100">
        <v>0</v>
      </c>
      <c r="R817" s="98">
        <v>0</v>
      </c>
      <c r="S817" s="101">
        <f t="shared" si="597"/>
        <v>0</v>
      </c>
      <c r="T817" s="100">
        <v>0</v>
      </c>
      <c r="U817" s="98">
        <v>0</v>
      </c>
      <c r="V817" s="101">
        <f t="shared" si="599"/>
        <v>0</v>
      </c>
      <c r="W817" s="100">
        <v>0</v>
      </c>
      <c r="X817" s="98">
        <v>0</v>
      </c>
      <c r="Y817" s="147">
        <f t="shared" si="598"/>
        <v>0</v>
      </c>
      <c r="Z817" s="150"/>
    </row>
    <row r="818" spans="2:26" s="35" customFormat="1" ht="17.100000000000001" customHeight="1">
      <c r="B818" s="105"/>
      <c r="C818" s="54"/>
      <c r="D818" s="96"/>
      <c r="E818" s="111"/>
      <c r="F818" s="112"/>
      <c r="G818" s="113"/>
      <c r="H818" s="100">
        <v>0</v>
      </c>
      <c r="I818" s="98">
        <v>0</v>
      </c>
      <c r="J818" s="101">
        <f t="shared" si="594"/>
        <v>0</v>
      </c>
      <c r="K818" s="100">
        <v>0</v>
      </c>
      <c r="L818" s="98">
        <v>0</v>
      </c>
      <c r="M818" s="101">
        <f t="shared" si="595"/>
        <v>0</v>
      </c>
      <c r="N818" s="100">
        <v>0</v>
      </c>
      <c r="O818" s="98">
        <v>0</v>
      </c>
      <c r="P818" s="101">
        <f t="shared" si="596"/>
        <v>0</v>
      </c>
      <c r="Q818" s="100">
        <v>0</v>
      </c>
      <c r="R818" s="98">
        <v>0</v>
      </c>
      <c r="S818" s="101">
        <f t="shared" si="597"/>
        <v>0</v>
      </c>
      <c r="T818" s="100">
        <v>0</v>
      </c>
      <c r="U818" s="98">
        <v>0</v>
      </c>
      <c r="V818" s="101">
        <f t="shared" si="599"/>
        <v>0</v>
      </c>
      <c r="W818" s="100">
        <v>0</v>
      </c>
      <c r="X818" s="98">
        <v>0</v>
      </c>
      <c r="Y818" s="147">
        <f t="shared" si="598"/>
        <v>0</v>
      </c>
      <c r="Z818" s="150"/>
    </row>
    <row r="819" spans="2:26" s="35" customFormat="1" ht="17.100000000000001" customHeight="1">
      <c r="B819" s="105"/>
      <c r="C819" s="54"/>
      <c r="D819" s="96"/>
      <c r="E819" s="111"/>
      <c r="F819" s="112"/>
      <c r="G819" s="113"/>
      <c r="H819" s="100">
        <v>0</v>
      </c>
      <c r="I819" s="98">
        <v>0</v>
      </c>
      <c r="J819" s="101">
        <f t="shared" si="594"/>
        <v>0</v>
      </c>
      <c r="K819" s="100">
        <v>0</v>
      </c>
      <c r="L819" s="98">
        <v>0</v>
      </c>
      <c r="M819" s="101">
        <f t="shared" si="595"/>
        <v>0</v>
      </c>
      <c r="N819" s="100">
        <v>0</v>
      </c>
      <c r="O819" s="98">
        <v>0</v>
      </c>
      <c r="P819" s="101">
        <f t="shared" si="596"/>
        <v>0</v>
      </c>
      <c r="Q819" s="100">
        <v>0</v>
      </c>
      <c r="R819" s="98">
        <v>0</v>
      </c>
      <c r="S819" s="101">
        <f t="shared" si="597"/>
        <v>0</v>
      </c>
      <c r="T819" s="100">
        <v>0</v>
      </c>
      <c r="U819" s="98">
        <v>0</v>
      </c>
      <c r="V819" s="101">
        <f t="shared" si="599"/>
        <v>0</v>
      </c>
      <c r="W819" s="100">
        <v>0</v>
      </c>
      <c r="X819" s="98">
        <v>0</v>
      </c>
      <c r="Y819" s="147">
        <f t="shared" si="598"/>
        <v>0</v>
      </c>
      <c r="Z819" s="150"/>
    </row>
    <row r="820" spans="2:26" s="126" customFormat="1" ht="17.100000000000001" customHeight="1">
      <c r="B820" s="118"/>
      <c r="C820" s="119"/>
      <c r="D820" s="120"/>
      <c r="E820" s="121"/>
      <c r="F820" s="122"/>
      <c r="G820" s="123"/>
      <c r="H820" s="341" t="s">
        <v>201</v>
      </c>
      <c r="I820" s="342"/>
      <c r="J820" s="124">
        <f>SUM(J813:J819)</f>
        <v>175</v>
      </c>
      <c r="K820" s="341" t="s">
        <v>201</v>
      </c>
      <c r="L820" s="342"/>
      <c r="M820" s="124">
        <f>SUM(M813:M819)</f>
        <v>0</v>
      </c>
      <c r="N820" s="341" t="s">
        <v>201</v>
      </c>
      <c r="O820" s="342"/>
      <c r="P820" s="124">
        <f>SUM(P813:P819)</f>
        <v>0</v>
      </c>
      <c r="Q820" s="341" t="s">
        <v>201</v>
      </c>
      <c r="R820" s="342"/>
      <c r="S820" s="124">
        <f>SUM(S813:S819)</f>
        <v>0</v>
      </c>
      <c r="T820" s="341" t="s">
        <v>201</v>
      </c>
      <c r="U820" s="342"/>
      <c r="V820" s="124">
        <f>SUM(V813:V819)</f>
        <v>0</v>
      </c>
      <c r="W820" s="341" t="s">
        <v>201</v>
      </c>
      <c r="X820" s="342"/>
      <c r="Y820" s="127">
        <f>SUM(Y813:Y819)</f>
        <v>0</v>
      </c>
      <c r="Z820" s="151"/>
    </row>
    <row r="821" spans="2:26" s="35" customFormat="1" ht="17.100000000000001" customHeight="1">
      <c r="B821" s="105"/>
      <c r="C821" s="54">
        <f>'2. Rekap Back Up Beton'!C121</f>
        <v>19800</v>
      </c>
      <c r="D821" s="96">
        <f>'2. Rekap Back Up Beton'!D121</f>
        <v>19900</v>
      </c>
      <c r="E821" s="111">
        <f>'2. Rekap Back Up Beton'!E121</f>
        <v>5</v>
      </c>
      <c r="F821" s="112">
        <f>(100/((D821-C821)*E821))*((J828*0.5)+(M828*1)+(P828*2)+(S828*20)+(V828*15)+(Y828*1.5))</f>
        <v>60</v>
      </c>
      <c r="G821" s="113" t="str">
        <f>IF(F821&lt;=25,"B",IF(F821&lt;=75,"S",IF(F821&lt;=100,"RR","RB")))</f>
        <v>S</v>
      </c>
      <c r="H821" s="100">
        <v>0</v>
      </c>
      <c r="I821" s="98">
        <v>0</v>
      </c>
      <c r="J821" s="101">
        <f t="shared" ref="J821:J827" si="600">H821*I821</f>
        <v>0</v>
      </c>
      <c r="K821" s="100">
        <v>100</v>
      </c>
      <c r="L821" s="98">
        <v>3</v>
      </c>
      <c r="M821" s="101">
        <f t="shared" ref="M821:M827" si="601">K821*L821</f>
        <v>300</v>
      </c>
      <c r="N821" s="100">
        <v>0</v>
      </c>
      <c r="O821" s="98">
        <v>0</v>
      </c>
      <c r="P821" s="101">
        <f t="shared" ref="P821:P827" si="602">N821*O821</f>
        <v>0</v>
      </c>
      <c r="Q821" s="100">
        <v>0</v>
      </c>
      <c r="R821" s="98">
        <v>0</v>
      </c>
      <c r="S821" s="101">
        <f t="shared" ref="S821:S827" si="603">Q821*R821</f>
        <v>0</v>
      </c>
      <c r="T821" s="100">
        <v>0</v>
      </c>
      <c r="U821" s="98">
        <v>0</v>
      </c>
      <c r="V821" s="101">
        <f>T821*U821</f>
        <v>0</v>
      </c>
      <c r="W821" s="100">
        <v>0</v>
      </c>
      <c r="X821" s="98">
        <v>0</v>
      </c>
      <c r="Y821" s="147">
        <f t="shared" ref="Y821:Y827" si="604">W821*X821</f>
        <v>0</v>
      </c>
      <c r="Z821" s="150"/>
    </row>
    <row r="822" spans="2:26" s="35" customFormat="1" ht="17.100000000000001" customHeight="1">
      <c r="B822" s="105"/>
      <c r="C822" s="54"/>
      <c r="D822" s="96"/>
      <c r="E822" s="111"/>
      <c r="F822" s="112"/>
      <c r="G822" s="113"/>
      <c r="H822" s="100">
        <v>0</v>
      </c>
      <c r="I822" s="98">
        <v>0</v>
      </c>
      <c r="J822" s="101">
        <f t="shared" si="600"/>
        <v>0</v>
      </c>
      <c r="K822" s="100">
        <v>0</v>
      </c>
      <c r="L822" s="98">
        <v>0</v>
      </c>
      <c r="M822" s="101">
        <f t="shared" si="601"/>
        <v>0</v>
      </c>
      <c r="N822" s="100">
        <v>0</v>
      </c>
      <c r="O822" s="98">
        <v>0</v>
      </c>
      <c r="P822" s="101">
        <f t="shared" si="602"/>
        <v>0</v>
      </c>
      <c r="Q822" s="100">
        <v>0</v>
      </c>
      <c r="R822" s="98">
        <v>0</v>
      </c>
      <c r="S822" s="101">
        <f t="shared" si="603"/>
        <v>0</v>
      </c>
      <c r="T822" s="100">
        <v>0</v>
      </c>
      <c r="U822" s="98">
        <v>0</v>
      </c>
      <c r="V822" s="101">
        <f t="shared" ref="V822:V827" si="605">T822*U822</f>
        <v>0</v>
      </c>
      <c r="W822" s="100">
        <v>0</v>
      </c>
      <c r="X822" s="98">
        <v>0</v>
      </c>
      <c r="Y822" s="147">
        <f t="shared" si="604"/>
        <v>0</v>
      </c>
      <c r="Z822" s="150"/>
    </row>
    <row r="823" spans="2:26" s="35" customFormat="1" ht="17.100000000000001" customHeight="1">
      <c r="B823" s="105"/>
      <c r="C823" s="54"/>
      <c r="D823" s="96"/>
      <c r="E823" s="111"/>
      <c r="F823" s="112"/>
      <c r="G823" s="113"/>
      <c r="H823" s="100">
        <v>0</v>
      </c>
      <c r="I823" s="98">
        <v>0</v>
      </c>
      <c r="J823" s="101">
        <f t="shared" si="600"/>
        <v>0</v>
      </c>
      <c r="K823" s="100">
        <v>0</v>
      </c>
      <c r="L823" s="98">
        <v>0</v>
      </c>
      <c r="M823" s="101">
        <f t="shared" si="601"/>
        <v>0</v>
      </c>
      <c r="N823" s="100">
        <v>0</v>
      </c>
      <c r="O823" s="98">
        <v>0</v>
      </c>
      <c r="P823" s="101">
        <f t="shared" si="602"/>
        <v>0</v>
      </c>
      <c r="Q823" s="100">
        <v>0</v>
      </c>
      <c r="R823" s="98">
        <v>0</v>
      </c>
      <c r="S823" s="101">
        <f t="shared" si="603"/>
        <v>0</v>
      </c>
      <c r="T823" s="100">
        <v>0</v>
      </c>
      <c r="U823" s="98">
        <v>0</v>
      </c>
      <c r="V823" s="101">
        <f t="shared" si="605"/>
        <v>0</v>
      </c>
      <c r="W823" s="100">
        <v>0</v>
      </c>
      <c r="X823" s="98">
        <v>0</v>
      </c>
      <c r="Y823" s="147">
        <f t="shared" si="604"/>
        <v>0</v>
      </c>
      <c r="Z823" s="150"/>
    </row>
    <row r="824" spans="2:26" s="35" customFormat="1" ht="17.100000000000001" customHeight="1">
      <c r="B824" s="105"/>
      <c r="C824" s="54"/>
      <c r="D824" s="96"/>
      <c r="E824" s="111"/>
      <c r="F824" s="112"/>
      <c r="G824" s="113"/>
      <c r="H824" s="100">
        <v>0</v>
      </c>
      <c r="I824" s="98">
        <v>0</v>
      </c>
      <c r="J824" s="101">
        <f t="shared" si="600"/>
        <v>0</v>
      </c>
      <c r="K824" s="100">
        <v>0</v>
      </c>
      <c r="L824" s="98">
        <v>0</v>
      </c>
      <c r="M824" s="101">
        <f t="shared" si="601"/>
        <v>0</v>
      </c>
      <c r="N824" s="100">
        <v>0</v>
      </c>
      <c r="O824" s="98">
        <v>0</v>
      </c>
      <c r="P824" s="101">
        <f t="shared" si="602"/>
        <v>0</v>
      </c>
      <c r="Q824" s="100">
        <v>0</v>
      </c>
      <c r="R824" s="98">
        <v>0</v>
      </c>
      <c r="S824" s="101">
        <f t="shared" si="603"/>
        <v>0</v>
      </c>
      <c r="T824" s="100">
        <v>0</v>
      </c>
      <c r="U824" s="98">
        <v>0</v>
      </c>
      <c r="V824" s="101">
        <f t="shared" si="605"/>
        <v>0</v>
      </c>
      <c r="W824" s="100">
        <v>0</v>
      </c>
      <c r="X824" s="98">
        <v>0</v>
      </c>
      <c r="Y824" s="147">
        <f t="shared" si="604"/>
        <v>0</v>
      </c>
      <c r="Z824" s="150"/>
    </row>
    <row r="825" spans="2:26" s="35" customFormat="1" ht="17.100000000000001" customHeight="1">
      <c r="B825" s="105"/>
      <c r="C825" s="54"/>
      <c r="D825" s="96"/>
      <c r="E825" s="111"/>
      <c r="F825" s="112"/>
      <c r="G825" s="113"/>
      <c r="H825" s="100">
        <v>0</v>
      </c>
      <c r="I825" s="98">
        <v>0</v>
      </c>
      <c r="J825" s="101">
        <f t="shared" si="600"/>
        <v>0</v>
      </c>
      <c r="K825" s="100">
        <v>0</v>
      </c>
      <c r="L825" s="98">
        <v>0</v>
      </c>
      <c r="M825" s="101">
        <f t="shared" si="601"/>
        <v>0</v>
      </c>
      <c r="N825" s="100">
        <v>0</v>
      </c>
      <c r="O825" s="98">
        <v>0</v>
      </c>
      <c r="P825" s="101">
        <f t="shared" si="602"/>
        <v>0</v>
      </c>
      <c r="Q825" s="100">
        <v>0</v>
      </c>
      <c r="R825" s="98">
        <v>0</v>
      </c>
      <c r="S825" s="101">
        <f t="shared" si="603"/>
        <v>0</v>
      </c>
      <c r="T825" s="100">
        <v>0</v>
      </c>
      <c r="U825" s="98">
        <v>0</v>
      </c>
      <c r="V825" s="101">
        <f t="shared" si="605"/>
        <v>0</v>
      </c>
      <c r="W825" s="100">
        <v>0</v>
      </c>
      <c r="X825" s="98">
        <v>0</v>
      </c>
      <c r="Y825" s="147">
        <f t="shared" si="604"/>
        <v>0</v>
      </c>
      <c r="Z825" s="150"/>
    </row>
    <row r="826" spans="2:26" s="35" customFormat="1" ht="17.100000000000001" customHeight="1">
      <c r="B826" s="105"/>
      <c r="C826" s="54"/>
      <c r="D826" s="96"/>
      <c r="E826" s="111"/>
      <c r="F826" s="112"/>
      <c r="G826" s="113"/>
      <c r="H826" s="100">
        <v>0</v>
      </c>
      <c r="I826" s="98">
        <v>0</v>
      </c>
      <c r="J826" s="101">
        <f t="shared" si="600"/>
        <v>0</v>
      </c>
      <c r="K826" s="100">
        <v>0</v>
      </c>
      <c r="L826" s="98">
        <v>0</v>
      </c>
      <c r="M826" s="101">
        <f t="shared" si="601"/>
        <v>0</v>
      </c>
      <c r="N826" s="100">
        <v>0</v>
      </c>
      <c r="O826" s="98">
        <v>0</v>
      </c>
      <c r="P826" s="101">
        <f t="shared" si="602"/>
        <v>0</v>
      </c>
      <c r="Q826" s="100">
        <v>0</v>
      </c>
      <c r="R826" s="98">
        <v>0</v>
      </c>
      <c r="S826" s="101">
        <f t="shared" si="603"/>
        <v>0</v>
      </c>
      <c r="T826" s="100">
        <v>0</v>
      </c>
      <c r="U826" s="98">
        <v>0</v>
      </c>
      <c r="V826" s="101">
        <f t="shared" si="605"/>
        <v>0</v>
      </c>
      <c r="W826" s="100">
        <v>0</v>
      </c>
      <c r="X826" s="98">
        <v>0</v>
      </c>
      <c r="Y826" s="147">
        <f t="shared" si="604"/>
        <v>0</v>
      </c>
      <c r="Z826" s="150"/>
    </row>
    <row r="827" spans="2:26" s="35" customFormat="1" ht="17.100000000000001" customHeight="1">
      <c r="B827" s="105"/>
      <c r="C827" s="54"/>
      <c r="D827" s="96"/>
      <c r="E827" s="111"/>
      <c r="F827" s="112"/>
      <c r="G827" s="113"/>
      <c r="H827" s="100">
        <v>0</v>
      </c>
      <c r="I827" s="98">
        <v>0</v>
      </c>
      <c r="J827" s="101">
        <f t="shared" si="600"/>
        <v>0</v>
      </c>
      <c r="K827" s="100">
        <v>0</v>
      </c>
      <c r="L827" s="98">
        <v>0</v>
      </c>
      <c r="M827" s="101">
        <f t="shared" si="601"/>
        <v>0</v>
      </c>
      <c r="N827" s="100">
        <v>0</v>
      </c>
      <c r="O827" s="98">
        <v>0</v>
      </c>
      <c r="P827" s="101">
        <f t="shared" si="602"/>
        <v>0</v>
      </c>
      <c r="Q827" s="100">
        <v>0</v>
      </c>
      <c r="R827" s="98">
        <v>0</v>
      </c>
      <c r="S827" s="101">
        <f t="shared" si="603"/>
        <v>0</v>
      </c>
      <c r="T827" s="100">
        <v>0</v>
      </c>
      <c r="U827" s="98">
        <v>0</v>
      </c>
      <c r="V827" s="101">
        <f t="shared" si="605"/>
        <v>0</v>
      </c>
      <c r="W827" s="100">
        <v>0</v>
      </c>
      <c r="X827" s="98">
        <v>0</v>
      </c>
      <c r="Y827" s="147">
        <f t="shared" si="604"/>
        <v>0</v>
      </c>
      <c r="Z827" s="150"/>
    </row>
    <row r="828" spans="2:26" s="126" customFormat="1" ht="17.100000000000001" customHeight="1">
      <c r="B828" s="118"/>
      <c r="C828" s="119"/>
      <c r="D828" s="120"/>
      <c r="E828" s="121"/>
      <c r="F828" s="122"/>
      <c r="G828" s="123"/>
      <c r="H828" s="341" t="s">
        <v>201</v>
      </c>
      <c r="I828" s="342"/>
      <c r="J828" s="124">
        <f>SUM(J821:J827)</f>
        <v>0</v>
      </c>
      <c r="K828" s="341" t="s">
        <v>201</v>
      </c>
      <c r="L828" s="342"/>
      <c r="M828" s="124">
        <f>SUM(M821:M827)</f>
        <v>300</v>
      </c>
      <c r="N828" s="341" t="s">
        <v>201</v>
      </c>
      <c r="O828" s="342"/>
      <c r="P828" s="124">
        <f>SUM(P821:P827)</f>
        <v>0</v>
      </c>
      <c r="Q828" s="341" t="s">
        <v>201</v>
      </c>
      <c r="R828" s="342"/>
      <c r="S828" s="124">
        <f>SUM(S821:S827)</f>
        <v>0</v>
      </c>
      <c r="T828" s="341" t="s">
        <v>201</v>
      </c>
      <c r="U828" s="342"/>
      <c r="V828" s="124">
        <f>SUM(V821:V827)</f>
        <v>0</v>
      </c>
      <c r="W828" s="341" t="s">
        <v>201</v>
      </c>
      <c r="X828" s="342"/>
      <c r="Y828" s="127">
        <f>SUM(Y821:Y827)</f>
        <v>0</v>
      </c>
      <c r="Z828" s="151"/>
    </row>
    <row r="829" spans="2:26" s="35" customFormat="1" ht="17.100000000000001" customHeight="1">
      <c r="B829" s="105"/>
      <c r="C829" s="54">
        <f>'2. Rekap Back Up Beton'!C122</f>
        <v>19900</v>
      </c>
      <c r="D829" s="96">
        <f>'2. Rekap Back Up Beton'!D122</f>
        <v>20000</v>
      </c>
      <c r="E829" s="111">
        <f>'2. Rekap Back Up Beton'!E122</f>
        <v>5</v>
      </c>
      <c r="F829" s="112">
        <f>(100/((D829-C829)*E829))*((J836*0.5)+(M836*1)+(P836*2)+(S836*20)+(V836*15)+(Y836*1.5))</f>
        <v>30</v>
      </c>
      <c r="G829" s="113" t="str">
        <f>IF(F829&lt;=25,"B",IF(F829&lt;=75,"S",IF(F829&lt;=100,"RR","RB")))</f>
        <v>S</v>
      </c>
      <c r="H829" s="100">
        <v>0</v>
      </c>
      <c r="I829" s="98">
        <v>0</v>
      </c>
      <c r="J829" s="101">
        <f t="shared" ref="J829:J835" si="606">H829*I829</f>
        <v>0</v>
      </c>
      <c r="K829" s="100">
        <v>50</v>
      </c>
      <c r="L829" s="98">
        <v>3</v>
      </c>
      <c r="M829" s="101">
        <f t="shared" ref="M829:M835" si="607">K829*L829</f>
        <v>150</v>
      </c>
      <c r="N829" s="100">
        <v>0</v>
      </c>
      <c r="O829" s="98">
        <v>0</v>
      </c>
      <c r="P829" s="101">
        <f t="shared" ref="P829:P835" si="608">N829*O829</f>
        <v>0</v>
      </c>
      <c r="Q829" s="100">
        <v>0</v>
      </c>
      <c r="R829" s="98">
        <v>0</v>
      </c>
      <c r="S829" s="101">
        <f t="shared" ref="S829:S835" si="609">Q829*R829</f>
        <v>0</v>
      </c>
      <c r="T829" s="100">
        <v>0</v>
      </c>
      <c r="U829" s="98">
        <v>0</v>
      </c>
      <c r="V829" s="101">
        <f>T829*U829</f>
        <v>0</v>
      </c>
      <c r="W829" s="100">
        <v>0</v>
      </c>
      <c r="X829" s="98">
        <v>0</v>
      </c>
      <c r="Y829" s="147">
        <f t="shared" ref="Y829:Y835" si="610">W829*X829</f>
        <v>0</v>
      </c>
      <c r="Z829" s="150"/>
    </row>
    <row r="830" spans="2:26" s="35" customFormat="1" ht="17.100000000000001" customHeight="1">
      <c r="B830" s="105"/>
      <c r="C830" s="54"/>
      <c r="D830" s="96"/>
      <c r="E830" s="111"/>
      <c r="F830" s="112"/>
      <c r="G830" s="113"/>
      <c r="H830" s="100">
        <v>0</v>
      </c>
      <c r="I830" s="98">
        <v>0</v>
      </c>
      <c r="J830" s="101">
        <f t="shared" si="606"/>
        <v>0</v>
      </c>
      <c r="K830" s="100">
        <v>0</v>
      </c>
      <c r="L830" s="98">
        <v>0</v>
      </c>
      <c r="M830" s="101">
        <f t="shared" si="607"/>
        <v>0</v>
      </c>
      <c r="N830" s="100">
        <v>0</v>
      </c>
      <c r="O830" s="98">
        <v>0</v>
      </c>
      <c r="P830" s="101">
        <f t="shared" si="608"/>
        <v>0</v>
      </c>
      <c r="Q830" s="100">
        <v>0</v>
      </c>
      <c r="R830" s="98">
        <v>0</v>
      </c>
      <c r="S830" s="101">
        <f t="shared" si="609"/>
        <v>0</v>
      </c>
      <c r="T830" s="100">
        <v>0</v>
      </c>
      <c r="U830" s="98">
        <v>0</v>
      </c>
      <c r="V830" s="101">
        <f t="shared" ref="V830:V835" si="611">T830*U830</f>
        <v>0</v>
      </c>
      <c r="W830" s="100">
        <v>0</v>
      </c>
      <c r="X830" s="98">
        <v>0</v>
      </c>
      <c r="Y830" s="147">
        <f t="shared" si="610"/>
        <v>0</v>
      </c>
      <c r="Z830" s="150"/>
    </row>
    <row r="831" spans="2:26" s="35" customFormat="1" ht="17.100000000000001" customHeight="1">
      <c r="B831" s="105"/>
      <c r="C831" s="54"/>
      <c r="D831" s="96"/>
      <c r="E831" s="111"/>
      <c r="F831" s="112"/>
      <c r="G831" s="113"/>
      <c r="H831" s="100">
        <v>0</v>
      </c>
      <c r="I831" s="98">
        <v>0</v>
      </c>
      <c r="J831" s="101">
        <f t="shared" si="606"/>
        <v>0</v>
      </c>
      <c r="K831" s="100">
        <v>0</v>
      </c>
      <c r="L831" s="98">
        <v>0</v>
      </c>
      <c r="M831" s="101">
        <f t="shared" si="607"/>
        <v>0</v>
      </c>
      <c r="N831" s="100">
        <v>0</v>
      </c>
      <c r="O831" s="98">
        <v>0</v>
      </c>
      <c r="P831" s="101">
        <f t="shared" si="608"/>
        <v>0</v>
      </c>
      <c r="Q831" s="100">
        <v>0</v>
      </c>
      <c r="R831" s="98">
        <v>0</v>
      </c>
      <c r="S831" s="101">
        <f t="shared" si="609"/>
        <v>0</v>
      </c>
      <c r="T831" s="100">
        <v>0</v>
      </c>
      <c r="U831" s="98">
        <v>0</v>
      </c>
      <c r="V831" s="101">
        <f t="shared" si="611"/>
        <v>0</v>
      </c>
      <c r="W831" s="100">
        <v>0</v>
      </c>
      <c r="X831" s="98">
        <v>0</v>
      </c>
      <c r="Y831" s="147">
        <f t="shared" si="610"/>
        <v>0</v>
      </c>
      <c r="Z831" s="150"/>
    </row>
    <row r="832" spans="2:26" s="35" customFormat="1" ht="17.100000000000001" customHeight="1">
      <c r="B832" s="105"/>
      <c r="C832" s="54"/>
      <c r="D832" s="96"/>
      <c r="E832" s="111"/>
      <c r="F832" s="112"/>
      <c r="G832" s="113"/>
      <c r="H832" s="100">
        <v>0</v>
      </c>
      <c r="I832" s="98">
        <v>0</v>
      </c>
      <c r="J832" s="101">
        <f t="shared" si="606"/>
        <v>0</v>
      </c>
      <c r="K832" s="100">
        <v>0</v>
      </c>
      <c r="L832" s="98">
        <v>0</v>
      </c>
      <c r="M832" s="101">
        <f t="shared" si="607"/>
        <v>0</v>
      </c>
      <c r="N832" s="100">
        <v>0</v>
      </c>
      <c r="O832" s="98">
        <v>0</v>
      </c>
      <c r="P832" s="101">
        <f t="shared" si="608"/>
        <v>0</v>
      </c>
      <c r="Q832" s="100">
        <v>0</v>
      </c>
      <c r="R832" s="98">
        <v>0</v>
      </c>
      <c r="S832" s="101">
        <f t="shared" si="609"/>
        <v>0</v>
      </c>
      <c r="T832" s="100">
        <v>0</v>
      </c>
      <c r="U832" s="98">
        <v>0</v>
      </c>
      <c r="V832" s="101">
        <f t="shared" si="611"/>
        <v>0</v>
      </c>
      <c r="W832" s="100">
        <v>0</v>
      </c>
      <c r="X832" s="98">
        <v>0</v>
      </c>
      <c r="Y832" s="147">
        <f t="shared" si="610"/>
        <v>0</v>
      </c>
      <c r="Z832" s="150"/>
    </row>
    <row r="833" spans="2:26" s="35" customFormat="1" ht="17.100000000000001" customHeight="1">
      <c r="B833" s="105"/>
      <c r="C833" s="54"/>
      <c r="D833" s="96"/>
      <c r="E833" s="111"/>
      <c r="F833" s="112"/>
      <c r="G833" s="113"/>
      <c r="H833" s="100">
        <v>0</v>
      </c>
      <c r="I833" s="98">
        <v>0</v>
      </c>
      <c r="J833" s="101">
        <f t="shared" si="606"/>
        <v>0</v>
      </c>
      <c r="K833" s="100">
        <v>0</v>
      </c>
      <c r="L833" s="98">
        <v>0</v>
      </c>
      <c r="M833" s="101">
        <f t="shared" si="607"/>
        <v>0</v>
      </c>
      <c r="N833" s="100">
        <v>0</v>
      </c>
      <c r="O833" s="98">
        <v>0</v>
      </c>
      <c r="P833" s="101">
        <f t="shared" si="608"/>
        <v>0</v>
      </c>
      <c r="Q833" s="100">
        <v>0</v>
      </c>
      <c r="R833" s="98">
        <v>0</v>
      </c>
      <c r="S833" s="101">
        <f t="shared" si="609"/>
        <v>0</v>
      </c>
      <c r="T833" s="100">
        <v>0</v>
      </c>
      <c r="U833" s="98">
        <v>0</v>
      </c>
      <c r="V833" s="101">
        <f t="shared" si="611"/>
        <v>0</v>
      </c>
      <c r="W833" s="100">
        <v>0</v>
      </c>
      <c r="X833" s="98">
        <v>0</v>
      </c>
      <c r="Y833" s="147">
        <f t="shared" si="610"/>
        <v>0</v>
      </c>
      <c r="Z833" s="150"/>
    </row>
    <row r="834" spans="2:26" s="35" customFormat="1" ht="17.100000000000001" customHeight="1">
      <c r="B834" s="105"/>
      <c r="C834" s="54"/>
      <c r="D834" s="96"/>
      <c r="E834" s="111"/>
      <c r="F834" s="112"/>
      <c r="G834" s="113"/>
      <c r="H834" s="100">
        <v>0</v>
      </c>
      <c r="I834" s="98">
        <v>0</v>
      </c>
      <c r="J834" s="101">
        <f t="shared" si="606"/>
        <v>0</v>
      </c>
      <c r="K834" s="100">
        <v>0</v>
      </c>
      <c r="L834" s="98">
        <v>0</v>
      </c>
      <c r="M834" s="101">
        <f t="shared" si="607"/>
        <v>0</v>
      </c>
      <c r="N834" s="100">
        <v>0</v>
      </c>
      <c r="O834" s="98">
        <v>0</v>
      </c>
      <c r="P834" s="101">
        <f t="shared" si="608"/>
        <v>0</v>
      </c>
      <c r="Q834" s="100">
        <v>0</v>
      </c>
      <c r="R834" s="98">
        <v>0</v>
      </c>
      <c r="S834" s="101">
        <f t="shared" si="609"/>
        <v>0</v>
      </c>
      <c r="T834" s="100">
        <v>0</v>
      </c>
      <c r="U834" s="98">
        <v>0</v>
      </c>
      <c r="V834" s="101">
        <f t="shared" si="611"/>
        <v>0</v>
      </c>
      <c r="W834" s="100">
        <v>0</v>
      </c>
      <c r="X834" s="98">
        <v>0</v>
      </c>
      <c r="Y834" s="147">
        <f t="shared" si="610"/>
        <v>0</v>
      </c>
      <c r="Z834" s="150"/>
    </row>
    <row r="835" spans="2:26" s="35" customFormat="1" ht="17.100000000000001" customHeight="1">
      <c r="B835" s="105"/>
      <c r="C835" s="54"/>
      <c r="D835" s="96"/>
      <c r="E835" s="111"/>
      <c r="F835" s="112"/>
      <c r="G835" s="113"/>
      <c r="H835" s="100">
        <v>0</v>
      </c>
      <c r="I835" s="98">
        <v>0</v>
      </c>
      <c r="J835" s="101">
        <f t="shared" si="606"/>
        <v>0</v>
      </c>
      <c r="K835" s="100">
        <v>0</v>
      </c>
      <c r="L835" s="98">
        <v>0</v>
      </c>
      <c r="M835" s="101">
        <f t="shared" si="607"/>
        <v>0</v>
      </c>
      <c r="N835" s="100">
        <v>0</v>
      </c>
      <c r="O835" s="98">
        <v>0</v>
      </c>
      <c r="P835" s="101">
        <f t="shared" si="608"/>
        <v>0</v>
      </c>
      <c r="Q835" s="100">
        <v>0</v>
      </c>
      <c r="R835" s="98">
        <v>0</v>
      </c>
      <c r="S835" s="101">
        <f t="shared" si="609"/>
        <v>0</v>
      </c>
      <c r="T835" s="100">
        <v>0</v>
      </c>
      <c r="U835" s="98">
        <v>0</v>
      </c>
      <c r="V835" s="101">
        <f t="shared" si="611"/>
        <v>0</v>
      </c>
      <c r="W835" s="100">
        <v>0</v>
      </c>
      <c r="X835" s="98">
        <v>0</v>
      </c>
      <c r="Y835" s="147">
        <f t="shared" si="610"/>
        <v>0</v>
      </c>
      <c r="Z835" s="150"/>
    </row>
    <row r="836" spans="2:26" s="126" customFormat="1" ht="17.100000000000001" customHeight="1">
      <c r="B836" s="118"/>
      <c r="C836" s="119"/>
      <c r="D836" s="120"/>
      <c r="E836" s="121"/>
      <c r="F836" s="122"/>
      <c r="G836" s="123"/>
      <c r="H836" s="341" t="s">
        <v>201</v>
      </c>
      <c r="I836" s="342"/>
      <c r="J836" s="124">
        <f>SUM(J829:J835)</f>
        <v>0</v>
      </c>
      <c r="K836" s="341" t="s">
        <v>201</v>
      </c>
      <c r="L836" s="342"/>
      <c r="M836" s="124">
        <f>SUM(M829:M835)</f>
        <v>150</v>
      </c>
      <c r="N836" s="341" t="s">
        <v>201</v>
      </c>
      <c r="O836" s="342"/>
      <c r="P836" s="124">
        <f>SUM(P829:P835)</f>
        <v>0</v>
      </c>
      <c r="Q836" s="341" t="s">
        <v>201</v>
      </c>
      <c r="R836" s="342"/>
      <c r="S836" s="124">
        <f>SUM(S829:S835)</f>
        <v>0</v>
      </c>
      <c r="T836" s="341" t="s">
        <v>201</v>
      </c>
      <c r="U836" s="342"/>
      <c r="V836" s="124">
        <f>SUM(V829:V835)</f>
        <v>0</v>
      </c>
      <c r="W836" s="341" t="s">
        <v>201</v>
      </c>
      <c r="X836" s="342"/>
      <c r="Y836" s="127">
        <f>SUM(Y829:Y835)</f>
        <v>0</v>
      </c>
      <c r="Z836" s="151"/>
    </row>
    <row r="837" spans="2:26" s="35" customFormat="1" ht="17.100000000000001" customHeight="1">
      <c r="B837" s="105"/>
      <c r="C837" s="54">
        <f>'2. Rekap Back Up Beton'!C123</f>
        <v>20000</v>
      </c>
      <c r="D837" s="96">
        <f>'2. Rekap Back Up Beton'!D123</f>
        <v>20100</v>
      </c>
      <c r="E837" s="111">
        <f>'2. Rekap Back Up Beton'!E123</f>
        <v>5</v>
      </c>
      <c r="F837" s="112">
        <f>(100/((D837-C837)*E837))*((J844*0.5)+(M844*1)+(P844*2)+(S844*20)+(V844*15)+(Y844*1.5))</f>
        <v>60</v>
      </c>
      <c r="G837" s="113" t="str">
        <f>IF(F837&lt;=25,"B",IF(F837&lt;=75,"S",IF(F837&lt;=100,"RR","RB")))</f>
        <v>S</v>
      </c>
      <c r="H837" s="100">
        <v>0</v>
      </c>
      <c r="I837" s="98">
        <v>0</v>
      </c>
      <c r="J837" s="101">
        <f t="shared" ref="J837:J843" si="612">H837*I837</f>
        <v>0</v>
      </c>
      <c r="K837" s="100">
        <v>60</v>
      </c>
      <c r="L837" s="98">
        <v>5</v>
      </c>
      <c r="M837" s="101">
        <f t="shared" ref="M837:M843" si="613">K837*L837</f>
        <v>300</v>
      </c>
      <c r="N837" s="100">
        <v>0</v>
      </c>
      <c r="O837" s="98">
        <v>4</v>
      </c>
      <c r="P837" s="101">
        <f t="shared" ref="P837:P843" si="614">N837*O837</f>
        <v>0</v>
      </c>
      <c r="Q837" s="100">
        <v>0</v>
      </c>
      <c r="R837" s="98">
        <v>0</v>
      </c>
      <c r="S837" s="101">
        <f t="shared" ref="S837:S843" si="615">Q837*R837</f>
        <v>0</v>
      </c>
      <c r="T837" s="100">
        <v>0</v>
      </c>
      <c r="U837" s="98">
        <v>0</v>
      </c>
      <c r="V837" s="101">
        <f>T837*U837</f>
        <v>0</v>
      </c>
      <c r="W837" s="100">
        <v>0</v>
      </c>
      <c r="X837" s="98">
        <v>0</v>
      </c>
      <c r="Y837" s="147">
        <f t="shared" ref="Y837:Y843" si="616">W837*X837</f>
        <v>0</v>
      </c>
      <c r="Z837" s="150"/>
    </row>
    <row r="838" spans="2:26" s="35" customFormat="1" ht="17.100000000000001" customHeight="1">
      <c r="B838" s="105"/>
      <c r="C838" s="54"/>
      <c r="D838" s="96"/>
      <c r="E838" s="111"/>
      <c r="F838" s="112"/>
      <c r="G838" s="113"/>
      <c r="H838" s="100">
        <v>0</v>
      </c>
      <c r="I838" s="98">
        <v>0</v>
      </c>
      <c r="J838" s="101">
        <f t="shared" si="612"/>
        <v>0</v>
      </c>
      <c r="K838" s="100">
        <v>0</v>
      </c>
      <c r="L838" s="98">
        <v>0</v>
      </c>
      <c r="M838" s="101">
        <f t="shared" si="613"/>
        <v>0</v>
      </c>
      <c r="N838" s="100">
        <v>0</v>
      </c>
      <c r="O838" s="98">
        <v>0</v>
      </c>
      <c r="P838" s="101">
        <f t="shared" si="614"/>
        <v>0</v>
      </c>
      <c r="Q838" s="100">
        <v>0</v>
      </c>
      <c r="R838" s="98">
        <v>0</v>
      </c>
      <c r="S838" s="101">
        <f t="shared" si="615"/>
        <v>0</v>
      </c>
      <c r="T838" s="100">
        <v>0</v>
      </c>
      <c r="U838" s="98">
        <v>0</v>
      </c>
      <c r="V838" s="101">
        <f t="shared" ref="V838:V843" si="617">T838*U838</f>
        <v>0</v>
      </c>
      <c r="W838" s="100">
        <v>0</v>
      </c>
      <c r="X838" s="98">
        <v>0</v>
      </c>
      <c r="Y838" s="147">
        <f t="shared" si="616"/>
        <v>0</v>
      </c>
      <c r="Z838" s="150"/>
    </row>
    <row r="839" spans="2:26" s="35" customFormat="1" ht="17.100000000000001" customHeight="1">
      <c r="B839" s="105"/>
      <c r="C839" s="54"/>
      <c r="D839" s="96"/>
      <c r="E839" s="111"/>
      <c r="F839" s="112"/>
      <c r="G839" s="113"/>
      <c r="H839" s="100">
        <v>0</v>
      </c>
      <c r="I839" s="98">
        <v>0</v>
      </c>
      <c r="J839" s="101">
        <f t="shared" si="612"/>
        <v>0</v>
      </c>
      <c r="K839" s="100">
        <v>0</v>
      </c>
      <c r="L839" s="98">
        <v>0</v>
      </c>
      <c r="M839" s="101">
        <f t="shared" si="613"/>
        <v>0</v>
      </c>
      <c r="N839" s="100">
        <v>0</v>
      </c>
      <c r="O839" s="98">
        <v>0</v>
      </c>
      <c r="P839" s="101">
        <f t="shared" si="614"/>
        <v>0</v>
      </c>
      <c r="Q839" s="100">
        <v>0</v>
      </c>
      <c r="R839" s="98">
        <v>0</v>
      </c>
      <c r="S839" s="101">
        <f t="shared" si="615"/>
        <v>0</v>
      </c>
      <c r="T839" s="100">
        <v>0</v>
      </c>
      <c r="U839" s="98">
        <v>0</v>
      </c>
      <c r="V839" s="101">
        <f t="shared" si="617"/>
        <v>0</v>
      </c>
      <c r="W839" s="100">
        <v>0</v>
      </c>
      <c r="X839" s="98">
        <v>0</v>
      </c>
      <c r="Y839" s="147">
        <f t="shared" si="616"/>
        <v>0</v>
      </c>
      <c r="Z839" s="150"/>
    </row>
    <row r="840" spans="2:26" s="35" customFormat="1" ht="17.100000000000001" customHeight="1">
      <c r="B840" s="105"/>
      <c r="C840" s="54"/>
      <c r="D840" s="96"/>
      <c r="E840" s="111"/>
      <c r="F840" s="112"/>
      <c r="G840" s="113"/>
      <c r="H840" s="100">
        <v>0</v>
      </c>
      <c r="I840" s="98">
        <v>0</v>
      </c>
      <c r="J840" s="101">
        <f t="shared" si="612"/>
        <v>0</v>
      </c>
      <c r="K840" s="100">
        <v>0</v>
      </c>
      <c r="L840" s="98">
        <v>0</v>
      </c>
      <c r="M840" s="101">
        <f t="shared" si="613"/>
        <v>0</v>
      </c>
      <c r="N840" s="100">
        <v>0</v>
      </c>
      <c r="O840" s="98">
        <v>0</v>
      </c>
      <c r="P840" s="101">
        <f t="shared" si="614"/>
        <v>0</v>
      </c>
      <c r="Q840" s="100">
        <v>0</v>
      </c>
      <c r="R840" s="98">
        <v>0</v>
      </c>
      <c r="S840" s="101">
        <f t="shared" si="615"/>
        <v>0</v>
      </c>
      <c r="T840" s="100">
        <v>0</v>
      </c>
      <c r="U840" s="98">
        <v>0</v>
      </c>
      <c r="V840" s="101">
        <f t="shared" si="617"/>
        <v>0</v>
      </c>
      <c r="W840" s="100">
        <v>0</v>
      </c>
      <c r="X840" s="98">
        <v>0</v>
      </c>
      <c r="Y840" s="147">
        <f t="shared" si="616"/>
        <v>0</v>
      </c>
      <c r="Z840" s="150"/>
    </row>
    <row r="841" spans="2:26" s="35" customFormat="1" ht="17.100000000000001" customHeight="1">
      <c r="B841" s="105"/>
      <c r="C841" s="54"/>
      <c r="D841" s="96"/>
      <c r="E841" s="111"/>
      <c r="F841" s="112"/>
      <c r="G841" s="113"/>
      <c r="H841" s="100">
        <v>0</v>
      </c>
      <c r="I841" s="98">
        <v>0</v>
      </c>
      <c r="J841" s="101">
        <f t="shared" si="612"/>
        <v>0</v>
      </c>
      <c r="K841" s="100">
        <v>0</v>
      </c>
      <c r="L841" s="98">
        <v>0</v>
      </c>
      <c r="M841" s="101">
        <f t="shared" si="613"/>
        <v>0</v>
      </c>
      <c r="N841" s="100">
        <v>0</v>
      </c>
      <c r="O841" s="98">
        <v>0</v>
      </c>
      <c r="P841" s="101">
        <f t="shared" si="614"/>
        <v>0</v>
      </c>
      <c r="Q841" s="100">
        <v>0</v>
      </c>
      <c r="R841" s="98">
        <v>0</v>
      </c>
      <c r="S841" s="101">
        <f t="shared" si="615"/>
        <v>0</v>
      </c>
      <c r="T841" s="100">
        <v>0</v>
      </c>
      <c r="U841" s="98">
        <v>0</v>
      </c>
      <c r="V841" s="101">
        <f t="shared" si="617"/>
        <v>0</v>
      </c>
      <c r="W841" s="100">
        <v>0</v>
      </c>
      <c r="X841" s="98">
        <v>0</v>
      </c>
      <c r="Y841" s="147">
        <f t="shared" si="616"/>
        <v>0</v>
      </c>
      <c r="Z841" s="150"/>
    </row>
    <row r="842" spans="2:26" s="35" customFormat="1" ht="17.100000000000001" customHeight="1">
      <c r="B842" s="105"/>
      <c r="C842" s="54"/>
      <c r="D842" s="96"/>
      <c r="E842" s="111"/>
      <c r="F842" s="112"/>
      <c r="G842" s="113"/>
      <c r="H842" s="100">
        <v>0</v>
      </c>
      <c r="I842" s="98">
        <v>0</v>
      </c>
      <c r="J842" s="101">
        <f t="shared" si="612"/>
        <v>0</v>
      </c>
      <c r="K842" s="100">
        <v>0</v>
      </c>
      <c r="L842" s="98">
        <v>0</v>
      </c>
      <c r="M842" s="101">
        <f t="shared" si="613"/>
        <v>0</v>
      </c>
      <c r="N842" s="100">
        <v>0</v>
      </c>
      <c r="O842" s="98">
        <v>0</v>
      </c>
      <c r="P842" s="101">
        <f t="shared" si="614"/>
        <v>0</v>
      </c>
      <c r="Q842" s="100">
        <v>0</v>
      </c>
      <c r="R842" s="98">
        <v>0</v>
      </c>
      <c r="S842" s="101">
        <f t="shared" si="615"/>
        <v>0</v>
      </c>
      <c r="T842" s="100">
        <v>0</v>
      </c>
      <c r="U842" s="98">
        <v>0</v>
      </c>
      <c r="V842" s="101">
        <f t="shared" si="617"/>
        <v>0</v>
      </c>
      <c r="W842" s="100">
        <v>0</v>
      </c>
      <c r="X842" s="98">
        <v>0</v>
      </c>
      <c r="Y842" s="147">
        <f t="shared" si="616"/>
        <v>0</v>
      </c>
      <c r="Z842" s="150"/>
    </row>
    <row r="843" spans="2:26" s="35" customFormat="1" ht="17.100000000000001" customHeight="1">
      <c r="B843" s="105"/>
      <c r="C843" s="54"/>
      <c r="D843" s="96"/>
      <c r="E843" s="111"/>
      <c r="F843" s="112"/>
      <c r="G843" s="113"/>
      <c r="H843" s="100">
        <v>0</v>
      </c>
      <c r="I843" s="98">
        <v>0</v>
      </c>
      <c r="J843" s="101">
        <f t="shared" si="612"/>
        <v>0</v>
      </c>
      <c r="K843" s="100">
        <v>0</v>
      </c>
      <c r="L843" s="98">
        <v>0</v>
      </c>
      <c r="M843" s="101">
        <f t="shared" si="613"/>
        <v>0</v>
      </c>
      <c r="N843" s="100">
        <v>0</v>
      </c>
      <c r="O843" s="98">
        <v>0</v>
      </c>
      <c r="P843" s="101">
        <f t="shared" si="614"/>
        <v>0</v>
      </c>
      <c r="Q843" s="100">
        <v>0</v>
      </c>
      <c r="R843" s="98">
        <v>0</v>
      </c>
      <c r="S843" s="101">
        <f t="shared" si="615"/>
        <v>0</v>
      </c>
      <c r="T843" s="100">
        <v>0</v>
      </c>
      <c r="U843" s="98">
        <v>0</v>
      </c>
      <c r="V843" s="101">
        <f t="shared" si="617"/>
        <v>0</v>
      </c>
      <c r="W843" s="100">
        <v>0</v>
      </c>
      <c r="X843" s="98">
        <v>0</v>
      </c>
      <c r="Y843" s="147">
        <f t="shared" si="616"/>
        <v>0</v>
      </c>
      <c r="Z843" s="150"/>
    </row>
    <row r="844" spans="2:26" s="126" customFormat="1" ht="17.100000000000001" customHeight="1">
      <c r="B844" s="118"/>
      <c r="C844" s="119"/>
      <c r="D844" s="120"/>
      <c r="E844" s="121"/>
      <c r="F844" s="122"/>
      <c r="G844" s="123"/>
      <c r="H844" s="341" t="s">
        <v>201</v>
      </c>
      <c r="I844" s="342"/>
      <c r="J844" s="124">
        <f>SUM(J837:J843)</f>
        <v>0</v>
      </c>
      <c r="K844" s="341" t="s">
        <v>201</v>
      </c>
      <c r="L844" s="342"/>
      <c r="M844" s="124">
        <f>SUM(M837:M843)</f>
        <v>300</v>
      </c>
      <c r="N844" s="341" t="s">
        <v>201</v>
      </c>
      <c r="O844" s="342"/>
      <c r="P844" s="124">
        <f>SUM(P837:P843)</f>
        <v>0</v>
      </c>
      <c r="Q844" s="341" t="s">
        <v>201</v>
      </c>
      <c r="R844" s="342"/>
      <c r="S844" s="124">
        <f>SUM(S837:S843)</f>
        <v>0</v>
      </c>
      <c r="T844" s="341" t="s">
        <v>201</v>
      </c>
      <c r="U844" s="342"/>
      <c r="V844" s="124">
        <f>SUM(V837:V843)</f>
        <v>0</v>
      </c>
      <c r="W844" s="341" t="s">
        <v>201</v>
      </c>
      <c r="X844" s="342"/>
      <c r="Y844" s="127">
        <f>SUM(Y837:Y843)</f>
        <v>0</v>
      </c>
      <c r="Z844" s="151"/>
    </row>
    <row r="845" spans="2:26" s="35" customFormat="1" ht="17.100000000000001" customHeight="1">
      <c r="B845" s="105"/>
      <c r="C845" s="54">
        <f>'2. Rekap Back Up Beton'!C124</f>
        <v>20100</v>
      </c>
      <c r="D845" s="96">
        <f>'2. Rekap Back Up Beton'!D124</f>
        <v>20200</v>
      </c>
      <c r="E845" s="111">
        <f>'2. Rekap Back Up Beton'!E124</f>
        <v>5</v>
      </c>
      <c r="F845" s="112">
        <f>(100/((D845-C845)*E845))*((J852*0.5)+(M852*1)+(P852*2)+(S852*20)+(V852*15)+(Y852*1.5))</f>
        <v>110</v>
      </c>
      <c r="G845" s="113" t="str">
        <f>IF(F845&lt;=25,"B",IF(F845&lt;=75,"S",IF(F845&lt;=100,"RR","RB")))</f>
        <v>RB</v>
      </c>
      <c r="H845" s="100">
        <v>0</v>
      </c>
      <c r="I845" s="98">
        <v>0</v>
      </c>
      <c r="J845" s="101">
        <f t="shared" ref="J845:J851" si="618">H845*I845</f>
        <v>0</v>
      </c>
      <c r="K845" s="100">
        <v>50</v>
      </c>
      <c r="L845" s="98">
        <v>5</v>
      </c>
      <c r="M845" s="101">
        <f t="shared" ref="M845:M851" si="619">K845*L845</f>
        <v>250</v>
      </c>
      <c r="N845" s="100">
        <v>50</v>
      </c>
      <c r="O845" s="98">
        <v>3</v>
      </c>
      <c r="P845" s="101">
        <f t="shared" ref="P845:P851" si="620">N845*O845</f>
        <v>150</v>
      </c>
      <c r="Q845" s="100">
        <v>0</v>
      </c>
      <c r="R845" s="98">
        <v>0</v>
      </c>
      <c r="S845" s="101">
        <f t="shared" ref="S845:S851" si="621">Q845*R845</f>
        <v>0</v>
      </c>
      <c r="T845" s="100">
        <v>0</v>
      </c>
      <c r="U845" s="98">
        <v>0</v>
      </c>
      <c r="V845" s="101">
        <f>T845*U845</f>
        <v>0</v>
      </c>
      <c r="W845" s="100">
        <v>0</v>
      </c>
      <c r="X845" s="98">
        <v>0</v>
      </c>
      <c r="Y845" s="147">
        <f t="shared" ref="Y845:Y851" si="622">W845*X845</f>
        <v>0</v>
      </c>
      <c r="Z845" s="150"/>
    </row>
    <row r="846" spans="2:26" s="35" customFormat="1" ht="17.100000000000001" customHeight="1">
      <c r="B846" s="105"/>
      <c r="C846" s="54"/>
      <c r="D846" s="96"/>
      <c r="E846" s="111"/>
      <c r="F846" s="112"/>
      <c r="G846" s="113"/>
      <c r="H846" s="100">
        <v>0</v>
      </c>
      <c r="I846" s="98">
        <v>0</v>
      </c>
      <c r="J846" s="101">
        <f t="shared" si="618"/>
        <v>0</v>
      </c>
      <c r="K846" s="100">
        <v>0</v>
      </c>
      <c r="L846" s="98">
        <v>0</v>
      </c>
      <c r="M846" s="101">
        <f t="shared" si="619"/>
        <v>0</v>
      </c>
      <c r="N846" s="100">
        <v>0</v>
      </c>
      <c r="O846" s="98">
        <v>0</v>
      </c>
      <c r="P846" s="101">
        <f t="shared" si="620"/>
        <v>0</v>
      </c>
      <c r="Q846" s="100">
        <v>0</v>
      </c>
      <c r="R846" s="98">
        <v>0</v>
      </c>
      <c r="S846" s="101">
        <f t="shared" si="621"/>
        <v>0</v>
      </c>
      <c r="T846" s="100">
        <v>0</v>
      </c>
      <c r="U846" s="98">
        <v>0</v>
      </c>
      <c r="V846" s="101">
        <f t="shared" ref="V846:V851" si="623">T846*U846</f>
        <v>0</v>
      </c>
      <c r="W846" s="100">
        <v>0</v>
      </c>
      <c r="X846" s="98">
        <v>0</v>
      </c>
      <c r="Y846" s="147">
        <f t="shared" si="622"/>
        <v>0</v>
      </c>
      <c r="Z846" s="150"/>
    </row>
    <row r="847" spans="2:26" s="35" customFormat="1" ht="17.100000000000001" customHeight="1">
      <c r="B847" s="105"/>
      <c r="C847" s="54"/>
      <c r="D847" s="96"/>
      <c r="E847" s="111"/>
      <c r="F847" s="112"/>
      <c r="G847" s="113"/>
      <c r="H847" s="100">
        <v>0</v>
      </c>
      <c r="I847" s="98">
        <v>0</v>
      </c>
      <c r="J847" s="101">
        <f t="shared" si="618"/>
        <v>0</v>
      </c>
      <c r="K847" s="100">
        <v>0</v>
      </c>
      <c r="L847" s="98">
        <v>0</v>
      </c>
      <c r="M847" s="101">
        <f t="shared" si="619"/>
        <v>0</v>
      </c>
      <c r="N847" s="100">
        <v>0</v>
      </c>
      <c r="O847" s="98">
        <v>0</v>
      </c>
      <c r="P847" s="101">
        <f t="shared" si="620"/>
        <v>0</v>
      </c>
      <c r="Q847" s="100">
        <v>0</v>
      </c>
      <c r="R847" s="98">
        <v>0</v>
      </c>
      <c r="S847" s="101">
        <f t="shared" si="621"/>
        <v>0</v>
      </c>
      <c r="T847" s="100">
        <v>0</v>
      </c>
      <c r="U847" s="98">
        <v>0</v>
      </c>
      <c r="V847" s="101">
        <f t="shared" si="623"/>
        <v>0</v>
      </c>
      <c r="W847" s="100">
        <v>0</v>
      </c>
      <c r="X847" s="98">
        <v>0</v>
      </c>
      <c r="Y847" s="147">
        <f t="shared" si="622"/>
        <v>0</v>
      </c>
      <c r="Z847" s="150"/>
    </row>
    <row r="848" spans="2:26" s="35" customFormat="1" ht="17.100000000000001" customHeight="1">
      <c r="B848" s="105"/>
      <c r="C848" s="54"/>
      <c r="D848" s="96"/>
      <c r="E848" s="111"/>
      <c r="F848" s="112"/>
      <c r="G848" s="113"/>
      <c r="H848" s="100">
        <v>0</v>
      </c>
      <c r="I848" s="98">
        <v>0</v>
      </c>
      <c r="J848" s="101">
        <f t="shared" si="618"/>
        <v>0</v>
      </c>
      <c r="K848" s="100">
        <v>0</v>
      </c>
      <c r="L848" s="98">
        <v>0</v>
      </c>
      <c r="M848" s="101">
        <f t="shared" si="619"/>
        <v>0</v>
      </c>
      <c r="N848" s="100">
        <v>0</v>
      </c>
      <c r="O848" s="98">
        <v>0</v>
      </c>
      <c r="P848" s="101">
        <f t="shared" si="620"/>
        <v>0</v>
      </c>
      <c r="Q848" s="100">
        <v>0</v>
      </c>
      <c r="R848" s="98">
        <v>0</v>
      </c>
      <c r="S848" s="101">
        <f t="shared" si="621"/>
        <v>0</v>
      </c>
      <c r="T848" s="100">
        <v>0</v>
      </c>
      <c r="U848" s="98">
        <v>0</v>
      </c>
      <c r="V848" s="101">
        <f t="shared" si="623"/>
        <v>0</v>
      </c>
      <c r="W848" s="100">
        <v>0</v>
      </c>
      <c r="X848" s="98">
        <v>0</v>
      </c>
      <c r="Y848" s="147">
        <f t="shared" si="622"/>
        <v>0</v>
      </c>
      <c r="Z848" s="150"/>
    </row>
    <row r="849" spans="2:26" s="35" customFormat="1" ht="17.100000000000001" customHeight="1">
      <c r="B849" s="105"/>
      <c r="C849" s="54"/>
      <c r="D849" s="96"/>
      <c r="E849" s="111"/>
      <c r="F849" s="112"/>
      <c r="G849" s="113"/>
      <c r="H849" s="100">
        <v>0</v>
      </c>
      <c r="I849" s="98">
        <v>0</v>
      </c>
      <c r="J849" s="101">
        <f t="shared" si="618"/>
        <v>0</v>
      </c>
      <c r="K849" s="100">
        <v>0</v>
      </c>
      <c r="L849" s="98">
        <v>0</v>
      </c>
      <c r="M849" s="101">
        <f t="shared" si="619"/>
        <v>0</v>
      </c>
      <c r="N849" s="100">
        <v>0</v>
      </c>
      <c r="O849" s="98">
        <v>0</v>
      </c>
      <c r="P849" s="101">
        <f t="shared" si="620"/>
        <v>0</v>
      </c>
      <c r="Q849" s="100">
        <v>0</v>
      </c>
      <c r="R849" s="98">
        <v>0</v>
      </c>
      <c r="S849" s="101">
        <f t="shared" si="621"/>
        <v>0</v>
      </c>
      <c r="T849" s="100">
        <v>0</v>
      </c>
      <c r="U849" s="98">
        <v>0</v>
      </c>
      <c r="V849" s="101">
        <f t="shared" si="623"/>
        <v>0</v>
      </c>
      <c r="W849" s="100">
        <v>0</v>
      </c>
      <c r="X849" s="98">
        <v>0</v>
      </c>
      <c r="Y849" s="147">
        <f t="shared" si="622"/>
        <v>0</v>
      </c>
      <c r="Z849" s="150"/>
    </row>
    <row r="850" spans="2:26" s="35" customFormat="1" ht="17.100000000000001" customHeight="1">
      <c r="B850" s="105"/>
      <c r="C850" s="54"/>
      <c r="D850" s="96"/>
      <c r="E850" s="111"/>
      <c r="F850" s="112"/>
      <c r="G850" s="113"/>
      <c r="H850" s="100">
        <v>0</v>
      </c>
      <c r="I850" s="98">
        <v>0</v>
      </c>
      <c r="J850" s="101">
        <f t="shared" si="618"/>
        <v>0</v>
      </c>
      <c r="K850" s="100">
        <v>0</v>
      </c>
      <c r="L850" s="98">
        <v>0</v>
      </c>
      <c r="M850" s="101">
        <f t="shared" si="619"/>
        <v>0</v>
      </c>
      <c r="N850" s="100">
        <v>0</v>
      </c>
      <c r="O850" s="98">
        <v>0</v>
      </c>
      <c r="P850" s="101">
        <f t="shared" si="620"/>
        <v>0</v>
      </c>
      <c r="Q850" s="100">
        <v>0</v>
      </c>
      <c r="R850" s="98">
        <v>0</v>
      </c>
      <c r="S850" s="101">
        <f t="shared" si="621"/>
        <v>0</v>
      </c>
      <c r="T850" s="100">
        <v>0</v>
      </c>
      <c r="U850" s="98">
        <v>0</v>
      </c>
      <c r="V850" s="101">
        <f t="shared" si="623"/>
        <v>0</v>
      </c>
      <c r="W850" s="100">
        <v>0</v>
      </c>
      <c r="X850" s="98">
        <v>0</v>
      </c>
      <c r="Y850" s="147">
        <f t="shared" si="622"/>
        <v>0</v>
      </c>
      <c r="Z850" s="150"/>
    </row>
    <row r="851" spans="2:26" s="35" customFormat="1" ht="17.100000000000001" customHeight="1">
      <c r="B851" s="105"/>
      <c r="C851" s="54"/>
      <c r="D851" s="96"/>
      <c r="E851" s="111"/>
      <c r="F851" s="112"/>
      <c r="G851" s="113"/>
      <c r="H851" s="100">
        <v>0</v>
      </c>
      <c r="I851" s="98">
        <v>0</v>
      </c>
      <c r="J851" s="101">
        <f t="shared" si="618"/>
        <v>0</v>
      </c>
      <c r="K851" s="100">
        <v>0</v>
      </c>
      <c r="L851" s="98">
        <v>0</v>
      </c>
      <c r="M851" s="101">
        <f t="shared" si="619"/>
        <v>0</v>
      </c>
      <c r="N851" s="100">
        <v>0</v>
      </c>
      <c r="O851" s="98">
        <v>0</v>
      </c>
      <c r="P851" s="101">
        <f t="shared" si="620"/>
        <v>0</v>
      </c>
      <c r="Q851" s="100">
        <v>0</v>
      </c>
      <c r="R851" s="98">
        <v>0</v>
      </c>
      <c r="S851" s="101">
        <f t="shared" si="621"/>
        <v>0</v>
      </c>
      <c r="T851" s="100">
        <v>0</v>
      </c>
      <c r="U851" s="98">
        <v>0</v>
      </c>
      <c r="V851" s="101">
        <f t="shared" si="623"/>
        <v>0</v>
      </c>
      <c r="W851" s="100">
        <v>0</v>
      </c>
      <c r="X851" s="98">
        <v>0</v>
      </c>
      <c r="Y851" s="147">
        <f t="shared" si="622"/>
        <v>0</v>
      </c>
      <c r="Z851" s="150"/>
    </row>
    <row r="852" spans="2:26" s="126" customFormat="1" ht="17.100000000000001" customHeight="1">
      <c r="B852" s="118"/>
      <c r="C852" s="119"/>
      <c r="D852" s="120"/>
      <c r="E852" s="121"/>
      <c r="F852" s="122"/>
      <c r="G852" s="123"/>
      <c r="H852" s="341" t="s">
        <v>201</v>
      </c>
      <c r="I852" s="342"/>
      <c r="J852" s="124">
        <f>SUM(J845:J851)</f>
        <v>0</v>
      </c>
      <c r="K852" s="341" t="s">
        <v>201</v>
      </c>
      <c r="L852" s="342"/>
      <c r="M852" s="124">
        <f>SUM(M845:M851)</f>
        <v>250</v>
      </c>
      <c r="N852" s="341" t="s">
        <v>201</v>
      </c>
      <c r="O852" s="342"/>
      <c r="P852" s="124">
        <f>SUM(P845:P851)</f>
        <v>150</v>
      </c>
      <c r="Q852" s="341" t="s">
        <v>201</v>
      </c>
      <c r="R852" s="342"/>
      <c r="S852" s="124">
        <f>SUM(S845:S851)</f>
        <v>0</v>
      </c>
      <c r="T852" s="341" t="s">
        <v>201</v>
      </c>
      <c r="U852" s="342"/>
      <c r="V852" s="124">
        <f>SUM(V845:V851)</f>
        <v>0</v>
      </c>
      <c r="W852" s="341" t="s">
        <v>201</v>
      </c>
      <c r="X852" s="342"/>
      <c r="Y852" s="127">
        <f>SUM(Y845:Y851)</f>
        <v>0</v>
      </c>
      <c r="Z852" s="151"/>
    </row>
    <row r="853" spans="2:26" s="35" customFormat="1" ht="17.100000000000001" customHeight="1">
      <c r="B853" s="105"/>
      <c r="C853" s="54">
        <f>'2. Rekap Back Up Beton'!C125</f>
        <v>20200</v>
      </c>
      <c r="D853" s="96">
        <f>'2. Rekap Back Up Beton'!D125</f>
        <v>20300</v>
      </c>
      <c r="E853" s="111">
        <f>'2. Rekap Back Up Beton'!E125</f>
        <v>5</v>
      </c>
      <c r="F853" s="112">
        <f>(100/((D853-C853)*E853))*((J860*0.5)+(M860*1)+(P860*2)+(S860*20)+(V860*15)+(Y860*1.5))</f>
        <v>100</v>
      </c>
      <c r="G853" s="113" t="str">
        <f>IF(F853&lt;=25,"B",IF(F853&lt;=75,"S",IF(F853&lt;=100,"RR","RB")))</f>
        <v>RR</v>
      </c>
      <c r="H853" s="100">
        <v>0</v>
      </c>
      <c r="I853" s="98">
        <v>0</v>
      </c>
      <c r="J853" s="101">
        <f t="shared" ref="J853:J859" si="624">H853*I853</f>
        <v>0</v>
      </c>
      <c r="K853" s="100">
        <v>100</v>
      </c>
      <c r="L853" s="98">
        <v>5</v>
      </c>
      <c r="M853" s="101">
        <f t="shared" ref="M853:M859" si="625">K853*L853</f>
        <v>500</v>
      </c>
      <c r="N853" s="100">
        <v>0</v>
      </c>
      <c r="O853" s="98">
        <v>4</v>
      </c>
      <c r="P853" s="101">
        <f t="shared" ref="P853:P859" si="626">N853*O853</f>
        <v>0</v>
      </c>
      <c r="Q853" s="100">
        <v>0</v>
      </c>
      <c r="R853" s="98">
        <v>0</v>
      </c>
      <c r="S853" s="101">
        <f t="shared" ref="S853:S859" si="627">Q853*R853</f>
        <v>0</v>
      </c>
      <c r="T853" s="100">
        <v>0</v>
      </c>
      <c r="U853" s="98">
        <v>0</v>
      </c>
      <c r="V853" s="101">
        <f>T853*U853</f>
        <v>0</v>
      </c>
      <c r="W853" s="100">
        <v>0</v>
      </c>
      <c r="X853" s="98">
        <v>0</v>
      </c>
      <c r="Y853" s="147">
        <f t="shared" ref="Y853:Y859" si="628">W853*X853</f>
        <v>0</v>
      </c>
      <c r="Z853" s="150"/>
    </row>
    <row r="854" spans="2:26" s="35" customFormat="1" ht="17.100000000000001" customHeight="1">
      <c r="B854" s="105"/>
      <c r="C854" s="54"/>
      <c r="D854" s="96"/>
      <c r="E854" s="111"/>
      <c r="F854" s="112"/>
      <c r="G854" s="113"/>
      <c r="H854" s="100">
        <v>0</v>
      </c>
      <c r="I854" s="98">
        <v>0</v>
      </c>
      <c r="J854" s="101">
        <f t="shared" si="624"/>
        <v>0</v>
      </c>
      <c r="K854" s="100">
        <v>0</v>
      </c>
      <c r="L854" s="98">
        <v>0</v>
      </c>
      <c r="M854" s="101">
        <f t="shared" si="625"/>
        <v>0</v>
      </c>
      <c r="N854" s="100">
        <v>0</v>
      </c>
      <c r="O854" s="98">
        <v>0</v>
      </c>
      <c r="P854" s="101">
        <f t="shared" si="626"/>
        <v>0</v>
      </c>
      <c r="Q854" s="100">
        <v>0</v>
      </c>
      <c r="R854" s="98">
        <v>0</v>
      </c>
      <c r="S854" s="101">
        <f t="shared" si="627"/>
        <v>0</v>
      </c>
      <c r="T854" s="100">
        <v>0</v>
      </c>
      <c r="U854" s="98">
        <v>0</v>
      </c>
      <c r="V854" s="101">
        <f t="shared" ref="V854:V859" si="629">T854*U854</f>
        <v>0</v>
      </c>
      <c r="W854" s="100">
        <v>0</v>
      </c>
      <c r="X854" s="98">
        <v>0</v>
      </c>
      <c r="Y854" s="147">
        <f t="shared" si="628"/>
        <v>0</v>
      </c>
      <c r="Z854" s="150"/>
    </row>
    <row r="855" spans="2:26" s="35" customFormat="1" ht="17.100000000000001" customHeight="1">
      <c r="B855" s="105"/>
      <c r="C855" s="54"/>
      <c r="D855" s="96"/>
      <c r="E855" s="111"/>
      <c r="F855" s="112"/>
      <c r="G855" s="113"/>
      <c r="H855" s="100">
        <v>0</v>
      </c>
      <c r="I855" s="98">
        <v>0</v>
      </c>
      <c r="J855" s="101">
        <f t="shared" si="624"/>
        <v>0</v>
      </c>
      <c r="K855" s="100">
        <v>0</v>
      </c>
      <c r="L855" s="98">
        <v>0</v>
      </c>
      <c r="M855" s="101">
        <f t="shared" si="625"/>
        <v>0</v>
      </c>
      <c r="N855" s="100">
        <v>0</v>
      </c>
      <c r="O855" s="98">
        <v>0</v>
      </c>
      <c r="P855" s="101">
        <f t="shared" si="626"/>
        <v>0</v>
      </c>
      <c r="Q855" s="100">
        <v>0</v>
      </c>
      <c r="R855" s="98">
        <v>0</v>
      </c>
      <c r="S855" s="101">
        <f t="shared" si="627"/>
        <v>0</v>
      </c>
      <c r="T855" s="100">
        <v>0</v>
      </c>
      <c r="U855" s="98">
        <v>0</v>
      </c>
      <c r="V855" s="101">
        <f t="shared" si="629"/>
        <v>0</v>
      </c>
      <c r="W855" s="100">
        <v>0</v>
      </c>
      <c r="X855" s="98">
        <v>0</v>
      </c>
      <c r="Y855" s="147">
        <f t="shared" si="628"/>
        <v>0</v>
      </c>
      <c r="Z855" s="150"/>
    </row>
    <row r="856" spans="2:26" s="35" customFormat="1" ht="17.100000000000001" customHeight="1">
      <c r="B856" s="105"/>
      <c r="C856" s="54"/>
      <c r="D856" s="96"/>
      <c r="E856" s="111"/>
      <c r="F856" s="112"/>
      <c r="G856" s="113"/>
      <c r="H856" s="100">
        <v>0</v>
      </c>
      <c r="I856" s="98">
        <v>0</v>
      </c>
      <c r="J856" s="101">
        <f t="shared" si="624"/>
        <v>0</v>
      </c>
      <c r="K856" s="100">
        <v>0</v>
      </c>
      <c r="L856" s="98">
        <v>0</v>
      </c>
      <c r="M856" s="101">
        <f t="shared" si="625"/>
        <v>0</v>
      </c>
      <c r="N856" s="100">
        <v>0</v>
      </c>
      <c r="O856" s="98">
        <v>0</v>
      </c>
      <c r="P856" s="101">
        <f t="shared" si="626"/>
        <v>0</v>
      </c>
      <c r="Q856" s="100">
        <v>0</v>
      </c>
      <c r="R856" s="98">
        <v>0</v>
      </c>
      <c r="S856" s="101">
        <f t="shared" si="627"/>
        <v>0</v>
      </c>
      <c r="T856" s="100">
        <v>0</v>
      </c>
      <c r="U856" s="98">
        <v>0</v>
      </c>
      <c r="V856" s="101">
        <f t="shared" si="629"/>
        <v>0</v>
      </c>
      <c r="W856" s="100">
        <v>0</v>
      </c>
      <c r="X856" s="98">
        <v>0</v>
      </c>
      <c r="Y856" s="147">
        <f t="shared" si="628"/>
        <v>0</v>
      </c>
      <c r="Z856" s="150"/>
    </row>
    <row r="857" spans="2:26" s="35" customFormat="1" ht="17.100000000000001" customHeight="1">
      <c r="B857" s="105"/>
      <c r="C857" s="54"/>
      <c r="D857" s="96"/>
      <c r="E857" s="111"/>
      <c r="F857" s="112"/>
      <c r="G857" s="113"/>
      <c r="H857" s="100">
        <v>0</v>
      </c>
      <c r="I857" s="98">
        <v>0</v>
      </c>
      <c r="J857" s="101">
        <f t="shared" si="624"/>
        <v>0</v>
      </c>
      <c r="K857" s="100">
        <v>0</v>
      </c>
      <c r="L857" s="98">
        <v>0</v>
      </c>
      <c r="M857" s="101">
        <f t="shared" si="625"/>
        <v>0</v>
      </c>
      <c r="N857" s="100">
        <v>0</v>
      </c>
      <c r="O857" s="98">
        <v>0</v>
      </c>
      <c r="P857" s="101">
        <f t="shared" si="626"/>
        <v>0</v>
      </c>
      <c r="Q857" s="100">
        <v>0</v>
      </c>
      <c r="R857" s="98">
        <v>0</v>
      </c>
      <c r="S857" s="101">
        <f t="shared" si="627"/>
        <v>0</v>
      </c>
      <c r="T857" s="100">
        <v>0</v>
      </c>
      <c r="U857" s="98">
        <v>0</v>
      </c>
      <c r="V857" s="101">
        <f t="shared" si="629"/>
        <v>0</v>
      </c>
      <c r="W857" s="100">
        <v>0</v>
      </c>
      <c r="X857" s="98">
        <v>0</v>
      </c>
      <c r="Y857" s="147">
        <f t="shared" si="628"/>
        <v>0</v>
      </c>
      <c r="Z857" s="150"/>
    </row>
    <row r="858" spans="2:26" s="35" customFormat="1" ht="17.100000000000001" customHeight="1">
      <c r="B858" s="105"/>
      <c r="C858" s="54"/>
      <c r="D858" s="96"/>
      <c r="E858" s="111"/>
      <c r="F858" s="112"/>
      <c r="G858" s="113"/>
      <c r="H858" s="100">
        <v>0</v>
      </c>
      <c r="I858" s="98">
        <v>0</v>
      </c>
      <c r="J858" s="101">
        <f t="shared" si="624"/>
        <v>0</v>
      </c>
      <c r="K858" s="100">
        <v>0</v>
      </c>
      <c r="L858" s="98">
        <v>0</v>
      </c>
      <c r="M858" s="101">
        <f t="shared" si="625"/>
        <v>0</v>
      </c>
      <c r="N858" s="100">
        <v>0</v>
      </c>
      <c r="O858" s="98">
        <v>0</v>
      </c>
      <c r="P858" s="101">
        <f t="shared" si="626"/>
        <v>0</v>
      </c>
      <c r="Q858" s="100">
        <v>0</v>
      </c>
      <c r="R858" s="98">
        <v>0</v>
      </c>
      <c r="S858" s="101">
        <f t="shared" si="627"/>
        <v>0</v>
      </c>
      <c r="T858" s="100">
        <v>0</v>
      </c>
      <c r="U858" s="98">
        <v>0</v>
      </c>
      <c r="V858" s="101">
        <f t="shared" si="629"/>
        <v>0</v>
      </c>
      <c r="W858" s="100">
        <v>0</v>
      </c>
      <c r="X858" s="98">
        <v>0</v>
      </c>
      <c r="Y858" s="147">
        <f t="shared" si="628"/>
        <v>0</v>
      </c>
      <c r="Z858" s="150"/>
    </row>
    <row r="859" spans="2:26" s="35" customFormat="1" ht="17.100000000000001" customHeight="1">
      <c r="B859" s="105"/>
      <c r="C859" s="54"/>
      <c r="D859" s="96"/>
      <c r="E859" s="111"/>
      <c r="F859" s="112"/>
      <c r="G859" s="113"/>
      <c r="H859" s="100">
        <v>0</v>
      </c>
      <c r="I859" s="98">
        <v>0</v>
      </c>
      <c r="J859" s="101">
        <f t="shared" si="624"/>
        <v>0</v>
      </c>
      <c r="K859" s="100">
        <v>0</v>
      </c>
      <c r="L859" s="98">
        <v>0</v>
      </c>
      <c r="M859" s="101">
        <f t="shared" si="625"/>
        <v>0</v>
      </c>
      <c r="N859" s="100">
        <v>0</v>
      </c>
      <c r="O859" s="98">
        <v>0</v>
      </c>
      <c r="P859" s="101">
        <f t="shared" si="626"/>
        <v>0</v>
      </c>
      <c r="Q859" s="100">
        <v>0</v>
      </c>
      <c r="R859" s="98">
        <v>0</v>
      </c>
      <c r="S859" s="101">
        <f t="shared" si="627"/>
        <v>0</v>
      </c>
      <c r="T859" s="100">
        <v>0</v>
      </c>
      <c r="U859" s="98">
        <v>0</v>
      </c>
      <c r="V859" s="101">
        <f t="shared" si="629"/>
        <v>0</v>
      </c>
      <c r="W859" s="100">
        <v>0</v>
      </c>
      <c r="X859" s="98">
        <v>0</v>
      </c>
      <c r="Y859" s="147">
        <f t="shared" si="628"/>
        <v>0</v>
      </c>
      <c r="Z859" s="150"/>
    </row>
    <row r="860" spans="2:26" s="126" customFormat="1" ht="17.100000000000001" customHeight="1">
      <c r="B860" s="118"/>
      <c r="C860" s="119"/>
      <c r="D860" s="120"/>
      <c r="E860" s="121"/>
      <c r="F860" s="122"/>
      <c r="G860" s="123"/>
      <c r="H860" s="341" t="s">
        <v>201</v>
      </c>
      <c r="I860" s="342"/>
      <c r="J860" s="124">
        <f>SUM(J853:J859)</f>
        <v>0</v>
      </c>
      <c r="K860" s="341" t="s">
        <v>201</v>
      </c>
      <c r="L860" s="342"/>
      <c r="M860" s="124">
        <f>SUM(M853:M859)</f>
        <v>500</v>
      </c>
      <c r="N860" s="341" t="s">
        <v>201</v>
      </c>
      <c r="O860" s="342"/>
      <c r="P860" s="124">
        <f>SUM(P853:P859)</f>
        <v>0</v>
      </c>
      <c r="Q860" s="341" t="s">
        <v>201</v>
      </c>
      <c r="R860" s="342"/>
      <c r="S860" s="124">
        <f>SUM(S853:S859)</f>
        <v>0</v>
      </c>
      <c r="T860" s="341" t="s">
        <v>201</v>
      </c>
      <c r="U860" s="342"/>
      <c r="V860" s="124">
        <f>SUM(V853:V859)</f>
        <v>0</v>
      </c>
      <c r="W860" s="341" t="s">
        <v>201</v>
      </c>
      <c r="X860" s="342"/>
      <c r="Y860" s="127">
        <f>SUM(Y853:Y859)</f>
        <v>0</v>
      </c>
      <c r="Z860" s="151"/>
    </row>
    <row r="861" spans="2:26" s="35" customFormat="1" ht="17.100000000000001" customHeight="1">
      <c r="B861" s="105"/>
      <c r="C861" s="54">
        <f>'2. Rekap Back Up Beton'!C126</f>
        <v>20300</v>
      </c>
      <c r="D861" s="96">
        <f>'2. Rekap Back Up Beton'!D126</f>
        <v>20400</v>
      </c>
      <c r="E861" s="111">
        <f>'2. Rekap Back Up Beton'!E126</f>
        <v>5</v>
      </c>
      <c r="F861" s="112">
        <f>(100/((D861-C861)*E861))*((J868*0.5)+(M868*1)+(P868*2)+(S868*20)+(V868*15)+(Y868*1.5))</f>
        <v>100</v>
      </c>
      <c r="G861" s="113" t="str">
        <f>IF(F861&lt;=25,"B",IF(F861&lt;=75,"S",IF(F861&lt;=100,"RR","RB")))</f>
        <v>RR</v>
      </c>
      <c r="H861" s="100">
        <v>0</v>
      </c>
      <c r="I861" s="98">
        <v>0</v>
      </c>
      <c r="J861" s="101">
        <f t="shared" ref="J861:J867" si="630">H861*I861</f>
        <v>0</v>
      </c>
      <c r="K861" s="100">
        <v>100</v>
      </c>
      <c r="L861" s="98">
        <v>5</v>
      </c>
      <c r="M861" s="101">
        <f t="shared" ref="M861:M867" si="631">K861*L861</f>
        <v>500</v>
      </c>
      <c r="N861" s="100">
        <v>0</v>
      </c>
      <c r="O861" s="98">
        <v>4</v>
      </c>
      <c r="P861" s="101">
        <f t="shared" ref="P861:P867" si="632">N861*O861</f>
        <v>0</v>
      </c>
      <c r="Q861" s="100">
        <v>0</v>
      </c>
      <c r="R861" s="98">
        <v>0</v>
      </c>
      <c r="S861" s="101">
        <f t="shared" ref="S861:S867" si="633">Q861*R861</f>
        <v>0</v>
      </c>
      <c r="T861" s="100">
        <v>0</v>
      </c>
      <c r="U861" s="98">
        <v>0</v>
      </c>
      <c r="V861" s="101">
        <f>T861*U861</f>
        <v>0</v>
      </c>
      <c r="W861" s="100">
        <v>0</v>
      </c>
      <c r="X861" s="98">
        <v>0</v>
      </c>
      <c r="Y861" s="147">
        <f t="shared" ref="Y861:Y867" si="634">W861*X861</f>
        <v>0</v>
      </c>
      <c r="Z861" s="150"/>
    </row>
    <row r="862" spans="2:26" s="35" customFormat="1" ht="17.100000000000001" customHeight="1">
      <c r="B862" s="105"/>
      <c r="C862" s="54"/>
      <c r="D862" s="96"/>
      <c r="E862" s="111"/>
      <c r="F862" s="112"/>
      <c r="G862" s="113"/>
      <c r="H862" s="100">
        <v>0</v>
      </c>
      <c r="I862" s="98">
        <v>0</v>
      </c>
      <c r="J862" s="101">
        <f t="shared" si="630"/>
        <v>0</v>
      </c>
      <c r="K862" s="100">
        <v>0</v>
      </c>
      <c r="L862" s="98">
        <v>0</v>
      </c>
      <c r="M862" s="101">
        <f t="shared" si="631"/>
        <v>0</v>
      </c>
      <c r="N862" s="100">
        <v>0</v>
      </c>
      <c r="O862" s="98">
        <v>0</v>
      </c>
      <c r="P862" s="101">
        <f t="shared" si="632"/>
        <v>0</v>
      </c>
      <c r="Q862" s="100">
        <v>0</v>
      </c>
      <c r="R862" s="98">
        <v>0</v>
      </c>
      <c r="S862" s="101">
        <f t="shared" si="633"/>
        <v>0</v>
      </c>
      <c r="T862" s="100">
        <v>0</v>
      </c>
      <c r="U862" s="98">
        <v>0</v>
      </c>
      <c r="V862" s="101">
        <f t="shared" ref="V862:V867" si="635">T862*U862</f>
        <v>0</v>
      </c>
      <c r="W862" s="100">
        <v>0</v>
      </c>
      <c r="X862" s="98">
        <v>0</v>
      </c>
      <c r="Y862" s="147">
        <f t="shared" si="634"/>
        <v>0</v>
      </c>
      <c r="Z862" s="150"/>
    </row>
    <row r="863" spans="2:26" s="35" customFormat="1" ht="17.100000000000001" customHeight="1">
      <c r="B863" s="105"/>
      <c r="C863" s="54"/>
      <c r="D863" s="96"/>
      <c r="E863" s="111"/>
      <c r="F863" s="112"/>
      <c r="G863" s="113"/>
      <c r="H863" s="100">
        <v>0</v>
      </c>
      <c r="I863" s="98">
        <v>0</v>
      </c>
      <c r="J863" s="101">
        <f t="shared" si="630"/>
        <v>0</v>
      </c>
      <c r="K863" s="100">
        <v>0</v>
      </c>
      <c r="L863" s="98">
        <v>0</v>
      </c>
      <c r="M863" s="101">
        <f t="shared" si="631"/>
        <v>0</v>
      </c>
      <c r="N863" s="100">
        <v>0</v>
      </c>
      <c r="O863" s="98">
        <v>0</v>
      </c>
      <c r="P863" s="101">
        <f t="shared" si="632"/>
        <v>0</v>
      </c>
      <c r="Q863" s="100">
        <v>0</v>
      </c>
      <c r="R863" s="98">
        <v>0</v>
      </c>
      <c r="S863" s="101">
        <f t="shared" si="633"/>
        <v>0</v>
      </c>
      <c r="T863" s="100">
        <v>0</v>
      </c>
      <c r="U863" s="98">
        <v>0</v>
      </c>
      <c r="V863" s="101">
        <f t="shared" si="635"/>
        <v>0</v>
      </c>
      <c r="W863" s="100">
        <v>0</v>
      </c>
      <c r="X863" s="98">
        <v>0</v>
      </c>
      <c r="Y863" s="147">
        <f t="shared" si="634"/>
        <v>0</v>
      </c>
      <c r="Z863" s="150"/>
    </row>
    <row r="864" spans="2:26" s="35" customFormat="1" ht="17.100000000000001" customHeight="1">
      <c r="B864" s="105"/>
      <c r="C864" s="54"/>
      <c r="D864" s="96"/>
      <c r="E864" s="111"/>
      <c r="F864" s="112"/>
      <c r="G864" s="113"/>
      <c r="H864" s="100">
        <v>0</v>
      </c>
      <c r="I864" s="98">
        <v>0</v>
      </c>
      <c r="J864" s="101">
        <f t="shared" si="630"/>
        <v>0</v>
      </c>
      <c r="K864" s="100">
        <v>0</v>
      </c>
      <c r="L864" s="98">
        <v>0</v>
      </c>
      <c r="M864" s="101">
        <f t="shared" si="631"/>
        <v>0</v>
      </c>
      <c r="N864" s="100">
        <v>0</v>
      </c>
      <c r="O864" s="98">
        <v>0</v>
      </c>
      <c r="P864" s="101">
        <f t="shared" si="632"/>
        <v>0</v>
      </c>
      <c r="Q864" s="100">
        <v>0</v>
      </c>
      <c r="R864" s="98">
        <v>0</v>
      </c>
      <c r="S864" s="101">
        <f t="shared" si="633"/>
        <v>0</v>
      </c>
      <c r="T864" s="100">
        <v>0</v>
      </c>
      <c r="U864" s="98">
        <v>0</v>
      </c>
      <c r="V864" s="101">
        <f t="shared" si="635"/>
        <v>0</v>
      </c>
      <c r="W864" s="100">
        <v>0</v>
      </c>
      <c r="X864" s="98">
        <v>0</v>
      </c>
      <c r="Y864" s="147">
        <f t="shared" si="634"/>
        <v>0</v>
      </c>
      <c r="Z864" s="150"/>
    </row>
    <row r="865" spans="2:26" s="35" customFormat="1" ht="17.100000000000001" customHeight="1">
      <c r="B865" s="105"/>
      <c r="C865" s="54"/>
      <c r="D865" s="96"/>
      <c r="E865" s="111"/>
      <c r="F865" s="112"/>
      <c r="G865" s="113"/>
      <c r="H865" s="100">
        <v>0</v>
      </c>
      <c r="I865" s="98">
        <v>0</v>
      </c>
      <c r="J865" s="101">
        <f t="shared" si="630"/>
        <v>0</v>
      </c>
      <c r="K865" s="100">
        <v>0</v>
      </c>
      <c r="L865" s="98">
        <v>0</v>
      </c>
      <c r="M865" s="101">
        <f t="shared" si="631"/>
        <v>0</v>
      </c>
      <c r="N865" s="100">
        <v>0</v>
      </c>
      <c r="O865" s="98">
        <v>0</v>
      </c>
      <c r="P865" s="101">
        <f t="shared" si="632"/>
        <v>0</v>
      </c>
      <c r="Q865" s="100">
        <v>0</v>
      </c>
      <c r="R865" s="98">
        <v>0</v>
      </c>
      <c r="S865" s="101">
        <f t="shared" si="633"/>
        <v>0</v>
      </c>
      <c r="T865" s="100">
        <v>0</v>
      </c>
      <c r="U865" s="98">
        <v>0</v>
      </c>
      <c r="V865" s="101">
        <f t="shared" si="635"/>
        <v>0</v>
      </c>
      <c r="W865" s="100">
        <v>0</v>
      </c>
      <c r="X865" s="98">
        <v>0</v>
      </c>
      <c r="Y865" s="147">
        <f t="shared" si="634"/>
        <v>0</v>
      </c>
      <c r="Z865" s="150"/>
    </row>
    <row r="866" spans="2:26" s="35" customFormat="1" ht="17.100000000000001" customHeight="1">
      <c r="B866" s="105"/>
      <c r="C866" s="54"/>
      <c r="D866" s="96"/>
      <c r="E866" s="111"/>
      <c r="F866" s="112"/>
      <c r="G866" s="113"/>
      <c r="H866" s="100">
        <v>0</v>
      </c>
      <c r="I866" s="98">
        <v>0</v>
      </c>
      <c r="J866" s="101">
        <f t="shared" si="630"/>
        <v>0</v>
      </c>
      <c r="K866" s="100">
        <v>0</v>
      </c>
      <c r="L866" s="98">
        <v>0</v>
      </c>
      <c r="M866" s="101">
        <f t="shared" si="631"/>
        <v>0</v>
      </c>
      <c r="N866" s="100">
        <v>0</v>
      </c>
      <c r="O866" s="98">
        <v>0</v>
      </c>
      <c r="P866" s="101">
        <f t="shared" si="632"/>
        <v>0</v>
      </c>
      <c r="Q866" s="100">
        <v>0</v>
      </c>
      <c r="R866" s="98">
        <v>0</v>
      </c>
      <c r="S866" s="101">
        <f t="shared" si="633"/>
        <v>0</v>
      </c>
      <c r="T866" s="100">
        <v>0</v>
      </c>
      <c r="U866" s="98">
        <v>0</v>
      </c>
      <c r="V866" s="101">
        <f t="shared" si="635"/>
        <v>0</v>
      </c>
      <c r="W866" s="100">
        <v>0</v>
      </c>
      <c r="X866" s="98">
        <v>0</v>
      </c>
      <c r="Y866" s="147">
        <f t="shared" si="634"/>
        <v>0</v>
      </c>
      <c r="Z866" s="150"/>
    </row>
    <row r="867" spans="2:26" s="35" customFormat="1" ht="17.100000000000001" customHeight="1">
      <c r="B867" s="105"/>
      <c r="C867" s="54"/>
      <c r="D867" s="96"/>
      <c r="E867" s="111"/>
      <c r="F867" s="112"/>
      <c r="G867" s="113"/>
      <c r="H867" s="100">
        <v>0</v>
      </c>
      <c r="I867" s="98">
        <v>0</v>
      </c>
      <c r="J867" s="101">
        <f t="shared" si="630"/>
        <v>0</v>
      </c>
      <c r="K867" s="100">
        <v>0</v>
      </c>
      <c r="L867" s="98">
        <v>0</v>
      </c>
      <c r="M867" s="101">
        <f t="shared" si="631"/>
        <v>0</v>
      </c>
      <c r="N867" s="100">
        <v>0</v>
      </c>
      <c r="O867" s="98">
        <v>0</v>
      </c>
      <c r="P867" s="101">
        <f t="shared" si="632"/>
        <v>0</v>
      </c>
      <c r="Q867" s="100">
        <v>0</v>
      </c>
      <c r="R867" s="98">
        <v>0</v>
      </c>
      <c r="S867" s="101">
        <f t="shared" si="633"/>
        <v>0</v>
      </c>
      <c r="T867" s="100">
        <v>0</v>
      </c>
      <c r="U867" s="98">
        <v>0</v>
      </c>
      <c r="V867" s="101">
        <f t="shared" si="635"/>
        <v>0</v>
      </c>
      <c r="W867" s="100">
        <v>0</v>
      </c>
      <c r="X867" s="98">
        <v>0</v>
      </c>
      <c r="Y867" s="147">
        <f t="shared" si="634"/>
        <v>0</v>
      </c>
      <c r="Z867" s="150"/>
    </row>
    <row r="868" spans="2:26" s="126" customFormat="1" ht="17.100000000000001" customHeight="1" thickBot="1">
      <c r="B868" s="128"/>
      <c r="C868" s="154"/>
      <c r="D868" s="155"/>
      <c r="E868" s="156"/>
      <c r="F868" s="129"/>
      <c r="G868" s="130"/>
      <c r="H868" s="344" t="s">
        <v>201</v>
      </c>
      <c r="I868" s="345"/>
      <c r="J868" s="131">
        <f>SUM(J861:J867)</f>
        <v>0</v>
      </c>
      <c r="K868" s="344" t="s">
        <v>201</v>
      </c>
      <c r="L868" s="345"/>
      <c r="M868" s="131">
        <f>SUM(M861:M867)</f>
        <v>500</v>
      </c>
      <c r="N868" s="344" t="s">
        <v>201</v>
      </c>
      <c r="O868" s="345"/>
      <c r="P868" s="131">
        <f>SUM(P861:P867)</f>
        <v>0</v>
      </c>
      <c r="Q868" s="344" t="s">
        <v>201</v>
      </c>
      <c r="R868" s="345"/>
      <c r="S868" s="131">
        <f>SUM(S861:S867)</f>
        <v>0</v>
      </c>
      <c r="T868" s="344" t="s">
        <v>201</v>
      </c>
      <c r="U868" s="345"/>
      <c r="V868" s="131">
        <f>SUM(V861:V867)</f>
        <v>0</v>
      </c>
      <c r="W868" s="344" t="s">
        <v>201</v>
      </c>
      <c r="X868" s="345"/>
      <c r="Y868" s="132">
        <f>SUM(Y861:Y867)</f>
        <v>0</v>
      </c>
      <c r="Z868" s="152"/>
    </row>
    <row r="869" spans="2:26" s="35" customFormat="1" ht="17.100000000000001" customHeight="1">
      <c r="B869" s="114"/>
      <c r="C869" s="157">
        <f>'2. Rekap Back Up Beton'!C127</f>
        <v>20400</v>
      </c>
      <c r="D869" s="158">
        <f>'2. Rekap Back Up Beton'!D127</f>
        <v>20500</v>
      </c>
      <c r="E869" s="159">
        <f>'2. Rekap Back Up Beton'!E127</f>
        <v>5</v>
      </c>
      <c r="F869" s="115">
        <f>(100/((D869-C869)*E869))*((J876*0.5)+(M876*1)+(P876*2)+(S876*20)+(V876*15)+(Y876*1.5))</f>
        <v>90</v>
      </c>
      <c r="G869" s="116" t="str">
        <f>IF(F869&lt;=25,"B",IF(F869&lt;=75,"S",IF(F869&lt;=100,"RR","RB")))</f>
        <v>RR</v>
      </c>
      <c r="H869" s="135">
        <v>0</v>
      </c>
      <c r="I869" s="136">
        <v>0</v>
      </c>
      <c r="J869" s="137">
        <f t="shared" ref="J869:J875" si="636">H869*I869</f>
        <v>0</v>
      </c>
      <c r="K869" s="135">
        <v>50</v>
      </c>
      <c r="L869" s="136">
        <v>5</v>
      </c>
      <c r="M869" s="137">
        <f t="shared" ref="M869:M875" si="637">K869*L869</f>
        <v>250</v>
      </c>
      <c r="N869" s="135">
        <v>0</v>
      </c>
      <c r="O869" s="136">
        <v>0</v>
      </c>
      <c r="P869" s="137">
        <f t="shared" ref="P869:P875" si="638">N869*O869</f>
        <v>0</v>
      </c>
      <c r="Q869" s="135">
        <v>5</v>
      </c>
      <c r="R869" s="136">
        <v>2</v>
      </c>
      <c r="S869" s="137">
        <f t="shared" ref="S869:S875" si="639">Q869*R869</f>
        <v>10</v>
      </c>
      <c r="T869" s="135">
        <v>0</v>
      </c>
      <c r="U869" s="136">
        <v>0</v>
      </c>
      <c r="V869" s="137">
        <f>T869*U869</f>
        <v>0</v>
      </c>
      <c r="W869" s="135">
        <v>0</v>
      </c>
      <c r="X869" s="136">
        <v>0</v>
      </c>
      <c r="Y869" s="148">
        <f t="shared" ref="Y869:Y875" si="640">W869*X869</f>
        <v>0</v>
      </c>
      <c r="Z869" s="153"/>
    </row>
    <row r="870" spans="2:26" s="35" customFormat="1" ht="17.100000000000001" customHeight="1">
      <c r="B870" s="105"/>
      <c r="C870" s="54"/>
      <c r="D870" s="96"/>
      <c r="E870" s="111"/>
      <c r="F870" s="112"/>
      <c r="G870" s="113"/>
      <c r="H870" s="100">
        <v>0</v>
      </c>
      <c r="I870" s="98">
        <v>0</v>
      </c>
      <c r="J870" s="101">
        <f t="shared" si="636"/>
        <v>0</v>
      </c>
      <c r="K870" s="100">
        <v>0</v>
      </c>
      <c r="L870" s="98">
        <v>0</v>
      </c>
      <c r="M870" s="101">
        <f t="shared" si="637"/>
        <v>0</v>
      </c>
      <c r="N870" s="100">
        <v>0</v>
      </c>
      <c r="O870" s="98">
        <v>0</v>
      </c>
      <c r="P870" s="101">
        <f t="shared" si="638"/>
        <v>0</v>
      </c>
      <c r="Q870" s="100">
        <v>0</v>
      </c>
      <c r="R870" s="98">
        <v>0</v>
      </c>
      <c r="S870" s="101">
        <f t="shared" si="639"/>
        <v>0</v>
      </c>
      <c r="T870" s="100">
        <v>0</v>
      </c>
      <c r="U870" s="98">
        <v>0</v>
      </c>
      <c r="V870" s="101">
        <f t="shared" ref="V870:V875" si="641">T870*U870</f>
        <v>0</v>
      </c>
      <c r="W870" s="100">
        <v>0</v>
      </c>
      <c r="X870" s="98">
        <v>0</v>
      </c>
      <c r="Y870" s="147">
        <f t="shared" si="640"/>
        <v>0</v>
      </c>
      <c r="Z870" s="150"/>
    </row>
    <row r="871" spans="2:26" s="35" customFormat="1" ht="17.100000000000001" customHeight="1">
      <c r="B871" s="105"/>
      <c r="C871" s="54"/>
      <c r="D871" s="96"/>
      <c r="E871" s="111"/>
      <c r="F871" s="112"/>
      <c r="G871" s="113"/>
      <c r="H871" s="100">
        <v>0</v>
      </c>
      <c r="I871" s="98">
        <v>0</v>
      </c>
      <c r="J871" s="101">
        <f t="shared" si="636"/>
        <v>0</v>
      </c>
      <c r="K871" s="100">
        <v>0</v>
      </c>
      <c r="L871" s="98">
        <v>0</v>
      </c>
      <c r="M871" s="101">
        <f t="shared" si="637"/>
        <v>0</v>
      </c>
      <c r="N871" s="100">
        <v>0</v>
      </c>
      <c r="O871" s="98">
        <v>0</v>
      </c>
      <c r="P871" s="101">
        <f t="shared" si="638"/>
        <v>0</v>
      </c>
      <c r="Q871" s="100">
        <v>0</v>
      </c>
      <c r="R871" s="98">
        <v>0</v>
      </c>
      <c r="S871" s="101">
        <f t="shared" si="639"/>
        <v>0</v>
      </c>
      <c r="T871" s="100">
        <v>0</v>
      </c>
      <c r="U871" s="98">
        <v>0</v>
      </c>
      <c r="V871" s="101">
        <f t="shared" si="641"/>
        <v>0</v>
      </c>
      <c r="W871" s="100">
        <v>0</v>
      </c>
      <c r="X871" s="98">
        <v>0</v>
      </c>
      <c r="Y871" s="147">
        <f t="shared" si="640"/>
        <v>0</v>
      </c>
      <c r="Z871" s="150"/>
    </row>
    <row r="872" spans="2:26" s="35" customFormat="1" ht="17.100000000000001" customHeight="1">
      <c r="B872" s="105"/>
      <c r="C872" s="54"/>
      <c r="D872" s="96"/>
      <c r="E872" s="111"/>
      <c r="F872" s="112"/>
      <c r="G872" s="113"/>
      <c r="H872" s="100">
        <v>0</v>
      </c>
      <c r="I872" s="98">
        <v>0</v>
      </c>
      <c r="J872" s="101">
        <f t="shared" si="636"/>
        <v>0</v>
      </c>
      <c r="K872" s="100">
        <v>0</v>
      </c>
      <c r="L872" s="98">
        <v>0</v>
      </c>
      <c r="M872" s="101">
        <f t="shared" si="637"/>
        <v>0</v>
      </c>
      <c r="N872" s="100">
        <v>0</v>
      </c>
      <c r="O872" s="98">
        <v>0</v>
      </c>
      <c r="P872" s="101">
        <f t="shared" si="638"/>
        <v>0</v>
      </c>
      <c r="Q872" s="100">
        <v>0</v>
      </c>
      <c r="R872" s="98">
        <v>0</v>
      </c>
      <c r="S872" s="101">
        <f t="shared" si="639"/>
        <v>0</v>
      </c>
      <c r="T872" s="100">
        <v>0</v>
      </c>
      <c r="U872" s="98">
        <v>0</v>
      </c>
      <c r="V872" s="101">
        <f t="shared" si="641"/>
        <v>0</v>
      </c>
      <c r="W872" s="100">
        <v>0</v>
      </c>
      <c r="X872" s="98">
        <v>0</v>
      </c>
      <c r="Y872" s="147">
        <f t="shared" si="640"/>
        <v>0</v>
      </c>
      <c r="Z872" s="150"/>
    </row>
    <row r="873" spans="2:26" s="35" customFormat="1" ht="17.100000000000001" customHeight="1">
      <c r="B873" s="105"/>
      <c r="C873" s="54"/>
      <c r="D873" s="96"/>
      <c r="E873" s="111"/>
      <c r="F873" s="112"/>
      <c r="G873" s="113"/>
      <c r="H873" s="100">
        <v>0</v>
      </c>
      <c r="I873" s="98">
        <v>0</v>
      </c>
      <c r="J873" s="101">
        <f t="shared" si="636"/>
        <v>0</v>
      </c>
      <c r="K873" s="100">
        <v>0</v>
      </c>
      <c r="L873" s="98">
        <v>0</v>
      </c>
      <c r="M873" s="101">
        <f t="shared" si="637"/>
        <v>0</v>
      </c>
      <c r="N873" s="100">
        <v>0</v>
      </c>
      <c r="O873" s="98">
        <v>0</v>
      </c>
      <c r="P873" s="101">
        <f t="shared" si="638"/>
        <v>0</v>
      </c>
      <c r="Q873" s="100">
        <v>0</v>
      </c>
      <c r="R873" s="98">
        <v>0</v>
      </c>
      <c r="S873" s="101">
        <f t="shared" si="639"/>
        <v>0</v>
      </c>
      <c r="T873" s="100">
        <v>0</v>
      </c>
      <c r="U873" s="98">
        <v>0</v>
      </c>
      <c r="V873" s="101">
        <f t="shared" si="641"/>
        <v>0</v>
      </c>
      <c r="W873" s="100">
        <v>0</v>
      </c>
      <c r="X873" s="98">
        <v>0</v>
      </c>
      <c r="Y873" s="147">
        <f t="shared" si="640"/>
        <v>0</v>
      </c>
      <c r="Z873" s="150"/>
    </row>
    <row r="874" spans="2:26" s="35" customFormat="1" ht="17.100000000000001" customHeight="1">
      <c r="B874" s="105"/>
      <c r="C874" s="54"/>
      <c r="D874" s="96"/>
      <c r="E874" s="111"/>
      <c r="F874" s="112"/>
      <c r="G874" s="113"/>
      <c r="H874" s="100">
        <v>0</v>
      </c>
      <c r="I874" s="98">
        <v>0</v>
      </c>
      <c r="J874" s="101">
        <f t="shared" si="636"/>
        <v>0</v>
      </c>
      <c r="K874" s="100">
        <v>0</v>
      </c>
      <c r="L874" s="98">
        <v>0</v>
      </c>
      <c r="M874" s="101">
        <f t="shared" si="637"/>
        <v>0</v>
      </c>
      <c r="N874" s="100">
        <v>0</v>
      </c>
      <c r="O874" s="98">
        <v>0</v>
      </c>
      <c r="P874" s="101">
        <f t="shared" si="638"/>
        <v>0</v>
      </c>
      <c r="Q874" s="100">
        <v>0</v>
      </c>
      <c r="R874" s="98">
        <v>0</v>
      </c>
      <c r="S874" s="101">
        <f t="shared" si="639"/>
        <v>0</v>
      </c>
      <c r="T874" s="100">
        <v>0</v>
      </c>
      <c r="U874" s="98">
        <v>0</v>
      </c>
      <c r="V874" s="101">
        <f t="shared" si="641"/>
        <v>0</v>
      </c>
      <c r="W874" s="100">
        <v>0</v>
      </c>
      <c r="X874" s="98">
        <v>0</v>
      </c>
      <c r="Y874" s="147">
        <f t="shared" si="640"/>
        <v>0</v>
      </c>
      <c r="Z874" s="150"/>
    </row>
    <row r="875" spans="2:26" s="35" customFormat="1" ht="17.100000000000001" customHeight="1">
      <c r="B875" s="105"/>
      <c r="C875" s="54"/>
      <c r="D875" s="96"/>
      <c r="E875" s="111"/>
      <c r="F875" s="112"/>
      <c r="G875" s="113"/>
      <c r="H875" s="100">
        <v>0</v>
      </c>
      <c r="I875" s="98">
        <v>0</v>
      </c>
      <c r="J875" s="101">
        <f t="shared" si="636"/>
        <v>0</v>
      </c>
      <c r="K875" s="100">
        <v>0</v>
      </c>
      <c r="L875" s="98">
        <v>0</v>
      </c>
      <c r="M875" s="101">
        <f t="shared" si="637"/>
        <v>0</v>
      </c>
      <c r="N875" s="100">
        <v>0</v>
      </c>
      <c r="O875" s="98">
        <v>0</v>
      </c>
      <c r="P875" s="101">
        <f t="shared" si="638"/>
        <v>0</v>
      </c>
      <c r="Q875" s="100">
        <v>0</v>
      </c>
      <c r="R875" s="98">
        <v>0</v>
      </c>
      <c r="S875" s="101">
        <f t="shared" si="639"/>
        <v>0</v>
      </c>
      <c r="T875" s="100">
        <v>0</v>
      </c>
      <c r="U875" s="98">
        <v>0</v>
      </c>
      <c r="V875" s="101">
        <f t="shared" si="641"/>
        <v>0</v>
      </c>
      <c r="W875" s="100">
        <v>0</v>
      </c>
      <c r="X875" s="98">
        <v>0</v>
      </c>
      <c r="Y875" s="147">
        <f t="shared" si="640"/>
        <v>0</v>
      </c>
      <c r="Z875" s="150"/>
    </row>
    <row r="876" spans="2:26" s="126" customFormat="1" ht="17.100000000000001" customHeight="1">
      <c r="B876" s="118"/>
      <c r="C876" s="119"/>
      <c r="D876" s="120"/>
      <c r="E876" s="121"/>
      <c r="F876" s="122"/>
      <c r="G876" s="123"/>
      <c r="H876" s="341" t="s">
        <v>201</v>
      </c>
      <c r="I876" s="342"/>
      <c r="J876" s="124">
        <f>SUM(J869:J875)</f>
        <v>0</v>
      </c>
      <c r="K876" s="341" t="s">
        <v>201</v>
      </c>
      <c r="L876" s="342"/>
      <c r="M876" s="124">
        <f>SUM(M869:M875)</f>
        <v>250</v>
      </c>
      <c r="N876" s="341" t="s">
        <v>201</v>
      </c>
      <c r="O876" s="342"/>
      <c r="P876" s="124">
        <f>SUM(P869:P875)</f>
        <v>0</v>
      </c>
      <c r="Q876" s="341" t="s">
        <v>201</v>
      </c>
      <c r="R876" s="342"/>
      <c r="S876" s="124">
        <f>SUM(S869:S875)</f>
        <v>10</v>
      </c>
      <c r="T876" s="341" t="s">
        <v>201</v>
      </c>
      <c r="U876" s="342"/>
      <c r="V876" s="124">
        <f>SUM(V869:V875)</f>
        <v>0</v>
      </c>
      <c r="W876" s="341" t="s">
        <v>201</v>
      </c>
      <c r="X876" s="342"/>
      <c r="Y876" s="127">
        <f>SUM(Y869:Y875)</f>
        <v>0</v>
      </c>
      <c r="Z876" s="151"/>
    </row>
    <row r="877" spans="2:26" s="35" customFormat="1" ht="17.100000000000001" customHeight="1">
      <c r="B877" s="105"/>
      <c r="C877" s="54">
        <f>'2. Rekap Back Up Beton'!C128</f>
        <v>20500</v>
      </c>
      <c r="D877" s="96">
        <f>'2. Rekap Back Up Beton'!D128</f>
        <v>20600</v>
      </c>
      <c r="E877" s="111">
        <f>'2. Rekap Back Up Beton'!E128</f>
        <v>5</v>
      </c>
      <c r="F877" s="112">
        <f>(100/((D877-C877)*E877))*((J884*0.5)+(M884*1)+(P884*2)+(S884*20)+(V884*15)+(Y884*1.5))</f>
        <v>106</v>
      </c>
      <c r="G877" s="113" t="str">
        <f>IF(F877&lt;=25,"B",IF(F877&lt;=75,"S",IF(F877&lt;=100,"RR","RB")))</f>
        <v>RB</v>
      </c>
      <c r="H877" s="100">
        <v>0</v>
      </c>
      <c r="I877" s="98">
        <v>0</v>
      </c>
      <c r="J877" s="101">
        <f t="shared" ref="J877:J883" si="642">H877*I877</f>
        <v>0</v>
      </c>
      <c r="K877" s="100">
        <v>70</v>
      </c>
      <c r="L877" s="98">
        <v>5</v>
      </c>
      <c r="M877" s="101">
        <f t="shared" ref="M877:M883" si="643">K877*L877</f>
        <v>350</v>
      </c>
      <c r="N877" s="100">
        <v>30</v>
      </c>
      <c r="O877" s="98">
        <v>3</v>
      </c>
      <c r="P877" s="101">
        <f t="shared" ref="P877:P883" si="644">N877*O877</f>
        <v>90</v>
      </c>
      <c r="Q877" s="100">
        <v>0</v>
      </c>
      <c r="R877" s="98">
        <v>0</v>
      </c>
      <c r="S877" s="101">
        <f t="shared" ref="S877:S883" si="645">Q877*R877</f>
        <v>0</v>
      </c>
      <c r="T877" s="100">
        <v>0</v>
      </c>
      <c r="U877" s="98">
        <v>0</v>
      </c>
      <c r="V877" s="101">
        <f>T877*U877</f>
        <v>0</v>
      </c>
      <c r="W877" s="100">
        <v>0</v>
      </c>
      <c r="X877" s="98">
        <v>0</v>
      </c>
      <c r="Y877" s="147">
        <f t="shared" ref="Y877:Y883" si="646">W877*X877</f>
        <v>0</v>
      </c>
      <c r="Z877" s="150"/>
    </row>
    <row r="878" spans="2:26" s="35" customFormat="1" ht="17.100000000000001" customHeight="1">
      <c r="B878" s="105"/>
      <c r="C878" s="54"/>
      <c r="D878" s="96"/>
      <c r="E878" s="111"/>
      <c r="F878" s="112"/>
      <c r="G878" s="113"/>
      <c r="H878" s="100">
        <v>0</v>
      </c>
      <c r="I878" s="98">
        <v>0</v>
      </c>
      <c r="J878" s="101">
        <f t="shared" si="642"/>
        <v>0</v>
      </c>
      <c r="K878" s="100">
        <v>0</v>
      </c>
      <c r="L878" s="98">
        <v>0</v>
      </c>
      <c r="M878" s="101">
        <f t="shared" si="643"/>
        <v>0</v>
      </c>
      <c r="N878" s="100">
        <v>0</v>
      </c>
      <c r="O878" s="98">
        <v>0</v>
      </c>
      <c r="P878" s="101">
        <f t="shared" si="644"/>
        <v>0</v>
      </c>
      <c r="Q878" s="100">
        <v>0</v>
      </c>
      <c r="R878" s="98">
        <v>0</v>
      </c>
      <c r="S878" s="101">
        <f t="shared" si="645"/>
        <v>0</v>
      </c>
      <c r="T878" s="100">
        <v>0</v>
      </c>
      <c r="U878" s="98">
        <v>0</v>
      </c>
      <c r="V878" s="101">
        <f t="shared" ref="V878:V883" si="647">T878*U878</f>
        <v>0</v>
      </c>
      <c r="W878" s="100">
        <v>0</v>
      </c>
      <c r="X878" s="98">
        <v>0</v>
      </c>
      <c r="Y878" s="147">
        <f t="shared" si="646"/>
        <v>0</v>
      </c>
      <c r="Z878" s="150"/>
    </row>
    <row r="879" spans="2:26" s="35" customFormat="1" ht="17.100000000000001" customHeight="1">
      <c r="B879" s="105"/>
      <c r="C879" s="54"/>
      <c r="D879" s="96"/>
      <c r="E879" s="111"/>
      <c r="F879" s="112"/>
      <c r="G879" s="113"/>
      <c r="H879" s="100">
        <v>0</v>
      </c>
      <c r="I879" s="98">
        <v>0</v>
      </c>
      <c r="J879" s="101">
        <f t="shared" si="642"/>
        <v>0</v>
      </c>
      <c r="K879" s="100">
        <v>0</v>
      </c>
      <c r="L879" s="98">
        <v>0</v>
      </c>
      <c r="M879" s="101">
        <f t="shared" si="643"/>
        <v>0</v>
      </c>
      <c r="N879" s="100">
        <v>0</v>
      </c>
      <c r="O879" s="98">
        <v>0</v>
      </c>
      <c r="P879" s="101">
        <f t="shared" si="644"/>
        <v>0</v>
      </c>
      <c r="Q879" s="100">
        <v>0</v>
      </c>
      <c r="R879" s="98">
        <v>0</v>
      </c>
      <c r="S879" s="101">
        <f t="shared" si="645"/>
        <v>0</v>
      </c>
      <c r="T879" s="100">
        <v>0</v>
      </c>
      <c r="U879" s="98">
        <v>0</v>
      </c>
      <c r="V879" s="101">
        <f t="shared" si="647"/>
        <v>0</v>
      </c>
      <c r="W879" s="100">
        <v>0</v>
      </c>
      <c r="X879" s="98">
        <v>0</v>
      </c>
      <c r="Y879" s="147">
        <f t="shared" si="646"/>
        <v>0</v>
      </c>
      <c r="Z879" s="150"/>
    </row>
    <row r="880" spans="2:26" s="35" customFormat="1" ht="17.100000000000001" customHeight="1">
      <c r="B880" s="105"/>
      <c r="C880" s="54"/>
      <c r="D880" s="96"/>
      <c r="E880" s="111"/>
      <c r="F880" s="112"/>
      <c r="G880" s="113"/>
      <c r="H880" s="100">
        <v>0</v>
      </c>
      <c r="I880" s="98">
        <v>0</v>
      </c>
      <c r="J880" s="101">
        <f t="shared" si="642"/>
        <v>0</v>
      </c>
      <c r="K880" s="100">
        <v>0</v>
      </c>
      <c r="L880" s="98">
        <v>0</v>
      </c>
      <c r="M880" s="101">
        <f t="shared" si="643"/>
        <v>0</v>
      </c>
      <c r="N880" s="100">
        <v>0</v>
      </c>
      <c r="O880" s="98">
        <v>0</v>
      </c>
      <c r="P880" s="101">
        <f t="shared" si="644"/>
        <v>0</v>
      </c>
      <c r="Q880" s="100">
        <v>0</v>
      </c>
      <c r="R880" s="98">
        <v>0</v>
      </c>
      <c r="S880" s="101">
        <f t="shared" si="645"/>
        <v>0</v>
      </c>
      <c r="T880" s="100">
        <v>0</v>
      </c>
      <c r="U880" s="98">
        <v>0</v>
      </c>
      <c r="V880" s="101">
        <f t="shared" si="647"/>
        <v>0</v>
      </c>
      <c r="W880" s="100">
        <v>0</v>
      </c>
      <c r="X880" s="98">
        <v>0</v>
      </c>
      <c r="Y880" s="147">
        <f t="shared" si="646"/>
        <v>0</v>
      </c>
      <c r="Z880" s="150"/>
    </row>
    <row r="881" spans="2:26" s="35" customFormat="1" ht="17.100000000000001" customHeight="1">
      <c r="B881" s="105"/>
      <c r="C881" s="54"/>
      <c r="D881" s="96"/>
      <c r="E881" s="111"/>
      <c r="F881" s="112"/>
      <c r="G881" s="113"/>
      <c r="H881" s="100">
        <v>0</v>
      </c>
      <c r="I881" s="98">
        <v>0</v>
      </c>
      <c r="J881" s="101">
        <f t="shared" si="642"/>
        <v>0</v>
      </c>
      <c r="K881" s="100">
        <v>0</v>
      </c>
      <c r="L881" s="98">
        <v>0</v>
      </c>
      <c r="M881" s="101">
        <f t="shared" si="643"/>
        <v>0</v>
      </c>
      <c r="N881" s="100">
        <v>0</v>
      </c>
      <c r="O881" s="98">
        <v>0</v>
      </c>
      <c r="P881" s="101">
        <f t="shared" si="644"/>
        <v>0</v>
      </c>
      <c r="Q881" s="100">
        <v>0</v>
      </c>
      <c r="R881" s="98">
        <v>0</v>
      </c>
      <c r="S881" s="101">
        <f t="shared" si="645"/>
        <v>0</v>
      </c>
      <c r="T881" s="100">
        <v>0</v>
      </c>
      <c r="U881" s="98">
        <v>0</v>
      </c>
      <c r="V881" s="101">
        <f t="shared" si="647"/>
        <v>0</v>
      </c>
      <c r="W881" s="100">
        <v>0</v>
      </c>
      <c r="X881" s="98">
        <v>0</v>
      </c>
      <c r="Y881" s="147">
        <f t="shared" si="646"/>
        <v>0</v>
      </c>
      <c r="Z881" s="150"/>
    </row>
    <row r="882" spans="2:26" s="35" customFormat="1" ht="17.100000000000001" customHeight="1">
      <c r="B882" s="105"/>
      <c r="C882" s="54"/>
      <c r="D882" s="96"/>
      <c r="E882" s="111"/>
      <c r="F882" s="112"/>
      <c r="G882" s="113"/>
      <c r="H882" s="100">
        <v>0</v>
      </c>
      <c r="I882" s="98">
        <v>0</v>
      </c>
      <c r="J882" s="101">
        <f t="shared" si="642"/>
        <v>0</v>
      </c>
      <c r="K882" s="100">
        <v>0</v>
      </c>
      <c r="L882" s="98">
        <v>0</v>
      </c>
      <c r="M882" s="101">
        <f t="shared" si="643"/>
        <v>0</v>
      </c>
      <c r="N882" s="100">
        <v>0</v>
      </c>
      <c r="O882" s="98">
        <v>0</v>
      </c>
      <c r="P882" s="101">
        <f t="shared" si="644"/>
        <v>0</v>
      </c>
      <c r="Q882" s="100">
        <v>0</v>
      </c>
      <c r="R882" s="98">
        <v>0</v>
      </c>
      <c r="S882" s="101">
        <f t="shared" si="645"/>
        <v>0</v>
      </c>
      <c r="T882" s="100">
        <v>0</v>
      </c>
      <c r="U882" s="98">
        <v>0</v>
      </c>
      <c r="V882" s="101">
        <f t="shared" si="647"/>
        <v>0</v>
      </c>
      <c r="W882" s="100">
        <v>0</v>
      </c>
      <c r="X882" s="98">
        <v>0</v>
      </c>
      <c r="Y882" s="147">
        <f t="shared" si="646"/>
        <v>0</v>
      </c>
      <c r="Z882" s="150"/>
    </row>
    <row r="883" spans="2:26" s="35" customFormat="1" ht="17.100000000000001" customHeight="1">
      <c r="B883" s="105"/>
      <c r="C883" s="54"/>
      <c r="D883" s="96"/>
      <c r="E883" s="111"/>
      <c r="F883" s="112"/>
      <c r="G883" s="113"/>
      <c r="H883" s="100">
        <v>0</v>
      </c>
      <c r="I883" s="98">
        <v>0</v>
      </c>
      <c r="J883" s="101">
        <f t="shared" si="642"/>
        <v>0</v>
      </c>
      <c r="K883" s="100">
        <v>0</v>
      </c>
      <c r="L883" s="98">
        <v>0</v>
      </c>
      <c r="M883" s="101">
        <f t="shared" si="643"/>
        <v>0</v>
      </c>
      <c r="N883" s="100">
        <v>0</v>
      </c>
      <c r="O883" s="98">
        <v>0</v>
      </c>
      <c r="P883" s="101">
        <f t="shared" si="644"/>
        <v>0</v>
      </c>
      <c r="Q883" s="100">
        <v>0</v>
      </c>
      <c r="R883" s="98">
        <v>0</v>
      </c>
      <c r="S883" s="101">
        <f t="shared" si="645"/>
        <v>0</v>
      </c>
      <c r="T883" s="100">
        <v>0</v>
      </c>
      <c r="U883" s="98">
        <v>0</v>
      </c>
      <c r="V883" s="101">
        <f t="shared" si="647"/>
        <v>0</v>
      </c>
      <c r="W883" s="100">
        <v>0</v>
      </c>
      <c r="X883" s="98">
        <v>0</v>
      </c>
      <c r="Y883" s="147">
        <f t="shared" si="646"/>
        <v>0</v>
      </c>
      <c r="Z883" s="150"/>
    </row>
    <row r="884" spans="2:26" s="126" customFormat="1" ht="17.100000000000001" customHeight="1">
      <c r="B884" s="118"/>
      <c r="C884" s="119"/>
      <c r="D884" s="120"/>
      <c r="E884" s="121"/>
      <c r="F884" s="122"/>
      <c r="G884" s="123"/>
      <c r="H884" s="341" t="s">
        <v>201</v>
      </c>
      <c r="I884" s="342"/>
      <c r="J884" s="124">
        <f>SUM(J877:J883)</f>
        <v>0</v>
      </c>
      <c r="K884" s="341" t="s">
        <v>201</v>
      </c>
      <c r="L884" s="342"/>
      <c r="M884" s="124">
        <f>SUM(M877:M883)</f>
        <v>350</v>
      </c>
      <c r="N884" s="341" t="s">
        <v>201</v>
      </c>
      <c r="O884" s="342"/>
      <c r="P884" s="124">
        <f>SUM(P877:P883)</f>
        <v>90</v>
      </c>
      <c r="Q884" s="341" t="s">
        <v>201</v>
      </c>
      <c r="R884" s="342"/>
      <c r="S884" s="124">
        <f>SUM(S877:S883)</f>
        <v>0</v>
      </c>
      <c r="T884" s="341" t="s">
        <v>201</v>
      </c>
      <c r="U884" s="342"/>
      <c r="V884" s="124">
        <f>SUM(V877:V883)</f>
        <v>0</v>
      </c>
      <c r="W884" s="341" t="s">
        <v>201</v>
      </c>
      <c r="X884" s="342"/>
      <c r="Y884" s="127">
        <f>SUM(Y877:Y883)</f>
        <v>0</v>
      </c>
      <c r="Z884" s="151"/>
    </row>
    <row r="885" spans="2:26" s="35" customFormat="1" ht="17.100000000000001" customHeight="1">
      <c r="B885" s="105"/>
      <c r="C885" s="54">
        <f>'2. Rekap Back Up Beton'!C129</f>
        <v>20600</v>
      </c>
      <c r="D885" s="96">
        <f>'2. Rekap Back Up Beton'!D129</f>
        <v>20700</v>
      </c>
      <c r="E885" s="111">
        <f>'2. Rekap Back Up Beton'!E129</f>
        <v>5</v>
      </c>
      <c r="F885" s="112">
        <f>(100/((D885-C885)*E885))*((J892*0.5)+(M892*1)+(P892*2)+(S892*20)+(V892*15)+(Y892*1.5))</f>
        <v>66</v>
      </c>
      <c r="G885" s="113" t="str">
        <f>IF(F885&lt;=25,"B",IF(F885&lt;=75,"S",IF(F885&lt;=100,"RR","RB")))</f>
        <v>S</v>
      </c>
      <c r="H885" s="100">
        <v>0</v>
      </c>
      <c r="I885" s="98">
        <v>0</v>
      </c>
      <c r="J885" s="101">
        <f t="shared" ref="J885:J891" si="648">H885*I885</f>
        <v>0</v>
      </c>
      <c r="K885" s="100">
        <v>100</v>
      </c>
      <c r="L885" s="98">
        <v>3</v>
      </c>
      <c r="M885" s="101">
        <f t="shared" ref="M885:M891" si="649">K885*L885</f>
        <v>300</v>
      </c>
      <c r="N885" s="100">
        <v>5</v>
      </c>
      <c r="O885" s="98">
        <v>3</v>
      </c>
      <c r="P885" s="101">
        <f t="shared" ref="P885:P891" si="650">N885*O885</f>
        <v>15</v>
      </c>
      <c r="Q885" s="100">
        <v>0</v>
      </c>
      <c r="R885" s="98">
        <v>0</v>
      </c>
      <c r="S885" s="101">
        <f t="shared" ref="S885:S891" si="651">Q885*R885</f>
        <v>0</v>
      </c>
      <c r="T885" s="100">
        <v>0</v>
      </c>
      <c r="U885" s="98">
        <v>0</v>
      </c>
      <c r="V885" s="101">
        <f>T885*U885</f>
        <v>0</v>
      </c>
      <c r="W885" s="100">
        <v>0</v>
      </c>
      <c r="X885" s="98">
        <v>0</v>
      </c>
      <c r="Y885" s="147">
        <f t="shared" ref="Y885:Y891" si="652">W885*X885</f>
        <v>0</v>
      </c>
      <c r="Z885" s="150"/>
    </row>
    <row r="886" spans="2:26" s="35" customFormat="1" ht="17.100000000000001" customHeight="1">
      <c r="B886" s="105"/>
      <c r="C886" s="54"/>
      <c r="D886" s="96"/>
      <c r="E886" s="111"/>
      <c r="F886" s="112"/>
      <c r="G886" s="113"/>
      <c r="H886" s="100">
        <v>0</v>
      </c>
      <c r="I886" s="98">
        <v>0</v>
      </c>
      <c r="J886" s="101">
        <f t="shared" si="648"/>
        <v>0</v>
      </c>
      <c r="K886" s="100">
        <v>0</v>
      </c>
      <c r="L886" s="98">
        <v>0</v>
      </c>
      <c r="M886" s="101">
        <f t="shared" si="649"/>
        <v>0</v>
      </c>
      <c r="N886" s="100">
        <v>0</v>
      </c>
      <c r="O886" s="98">
        <v>0</v>
      </c>
      <c r="P886" s="101">
        <f t="shared" si="650"/>
        <v>0</v>
      </c>
      <c r="Q886" s="100">
        <v>0</v>
      </c>
      <c r="R886" s="98">
        <v>0</v>
      </c>
      <c r="S886" s="101">
        <f t="shared" si="651"/>
        <v>0</v>
      </c>
      <c r="T886" s="100">
        <v>0</v>
      </c>
      <c r="U886" s="98">
        <v>0</v>
      </c>
      <c r="V886" s="101">
        <f t="shared" ref="V886:V891" si="653">T886*U886</f>
        <v>0</v>
      </c>
      <c r="W886" s="100">
        <v>0</v>
      </c>
      <c r="X886" s="98">
        <v>0</v>
      </c>
      <c r="Y886" s="147">
        <f t="shared" si="652"/>
        <v>0</v>
      </c>
      <c r="Z886" s="150"/>
    </row>
    <row r="887" spans="2:26" s="35" customFormat="1" ht="17.100000000000001" customHeight="1">
      <c r="B887" s="105"/>
      <c r="C887" s="54"/>
      <c r="D887" s="96"/>
      <c r="E887" s="111"/>
      <c r="F887" s="112"/>
      <c r="G887" s="113"/>
      <c r="H887" s="100">
        <v>0</v>
      </c>
      <c r="I887" s="98">
        <v>0</v>
      </c>
      <c r="J887" s="101">
        <f t="shared" si="648"/>
        <v>0</v>
      </c>
      <c r="K887" s="100">
        <v>0</v>
      </c>
      <c r="L887" s="98">
        <v>0</v>
      </c>
      <c r="M887" s="101">
        <f t="shared" si="649"/>
        <v>0</v>
      </c>
      <c r="N887" s="100">
        <v>0</v>
      </c>
      <c r="O887" s="98">
        <v>0</v>
      </c>
      <c r="P887" s="101">
        <f t="shared" si="650"/>
        <v>0</v>
      </c>
      <c r="Q887" s="100">
        <v>0</v>
      </c>
      <c r="R887" s="98">
        <v>0</v>
      </c>
      <c r="S887" s="101">
        <f t="shared" si="651"/>
        <v>0</v>
      </c>
      <c r="T887" s="100">
        <v>0</v>
      </c>
      <c r="U887" s="98">
        <v>0</v>
      </c>
      <c r="V887" s="101">
        <f t="shared" si="653"/>
        <v>0</v>
      </c>
      <c r="W887" s="100">
        <v>0</v>
      </c>
      <c r="X887" s="98">
        <v>0</v>
      </c>
      <c r="Y887" s="147">
        <f t="shared" si="652"/>
        <v>0</v>
      </c>
      <c r="Z887" s="150"/>
    </row>
    <row r="888" spans="2:26" s="35" customFormat="1" ht="17.100000000000001" customHeight="1">
      <c r="B888" s="105"/>
      <c r="C888" s="54"/>
      <c r="D888" s="96"/>
      <c r="E888" s="111"/>
      <c r="F888" s="112"/>
      <c r="G888" s="113"/>
      <c r="H888" s="100">
        <v>0</v>
      </c>
      <c r="I888" s="98">
        <v>0</v>
      </c>
      <c r="J888" s="101">
        <f t="shared" si="648"/>
        <v>0</v>
      </c>
      <c r="K888" s="100">
        <v>0</v>
      </c>
      <c r="L888" s="98">
        <v>0</v>
      </c>
      <c r="M888" s="101">
        <f t="shared" si="649"/>
        <v>0</v>
      </c>
      <c r="N888" s="100">
        <v>0</v>
      </c>
      <c r="O888" s="98">
        <v>0</v>
      </c>
      <c r="P888" s="101">
        <f t="shared" si="650"/>
        <v>0</v>
      </c>
      <c r="Q888" s="100">
        <v>0</v>
      </c>
      <c r="R888" s="98">
        <v>0</v>
      </c>
      <c r="S888" s="101">
        <f t="shared" si="651"/>
        <v>0</v>
      </c>
      <c r="T888" s="100">
        <v>0</v>
      </c>
      <c r="U888" s="98">
        <v>0</v>
      </c>
      <c r="V888" s="101">
        <f t="shared" si="653"/>
        <v>0</v>
      </c>
      <c r="W888" s="100">
        <v>0</v>
      </c>
      <c r="X888" s="98">
        <v>0</v>
      </c>
      <c r="Y888" s="147">
        <f t="shared" si="652"/>
        <v>0</v>
      </c>
      <c r="Z888" s="150"/>
    </row>
    <row r="889" spans="2:26" s="35" customFormat="1" ht="17.100000000000001" customHeight="1">
      <c r="B889" s="105"/>
      <c r="C889" s="54"/>
      <c r="D889" s="96"/>
      <c r="E889" s="111"/>
      <c r="F889" s="112"/>
      <c r="G889" s="113"/>
      <c r="H889" s="100">
        <v>0</v>
      </c>
      <c r="I889" s="98">
        <v>0</v>
      </c>
      <c r="J889" s="101">
        <f t="shared" si="648"/>
        <v>0</v>
      </c>
      <c r="K889" s="100">
        <v>0</v>
      </c>
      <c r="L889" s="98">
        <v>0</v>
      </c>
      <c r="M889" s="101">
        <f t="shared" si="649"/>
        <v>0</v>
      </c>
      <c r="N889" s="100">
        <v>0</v>
      </c>
      <c r="O889" s="98">
        <v>0</v>
      </c>
      <c r="P889" s="101">
        <f t="shared" si="650"/>
        <v>0</v>
      </c>
      <c r="Q889" s="100">
        <v>0</v>
      </c>
      <c r="R889" s="98">
        <v>0</v>
      </c>
      <c r="S889" s="101">
        <f t="shared" si="651"/>
        <v>0</v>
      </c>
      <c r="T889" s="100">
        <v>0</v>
      </c>
      <c r="U889" s="98">
        <v>0</v>
      </c>
      <c r="V889" s="101">
        <f t="shared" si="653"/>
        <v>0</v>
      </c>
      <c r="W889" s="100">
        <v>0</v>
      </c>
      <c r="X889" s="98">
        <v>0</v>
      </c>
      <c r="Y889" s="147">
        <f t="shared" si="652"/>
        <v>0</v>
      </c>
      <c r="Z889" s="150"/>
    </row>
    <row r="890" spans="2:26" s="35" customFormat="1" ht="17.100000000000001" customHeight="1">
      <c r="B890" s="105"/>
      <c r="C890" s="54"/>
      <c r="D890" s="96"/>
      <c r="E890" s="111"/>
      <c r="F890" s="112"/>
      <c r="G890" s="113"/>
      <c r="H890" s="100">
        <v>0</v>
      </c>
      <c r="I890" s="98">
        <v>0</v>
      </c>
      <c r="J890" s="101">
        <f t="shared" si="648"/>
        <v>0</v>
      </c>
      <c r="K890" s="100">
        <v>0</v>
      </c>
      <c r="L890" s="98">
        <v>0</v>
      </c>
      <c r="M890" s="101">
        <f t="shared" si="649"/>
        <v>0</v>
      </c>
      <c r="N890" s="100">
        <v>0</v>
      </c>
      <c r="O890" s="98">
        <v>0</v>
      </c>
      <c r="P890" s="101">
        <f t="shared" si="650"/>
        <v>0</v>
      </c>
      <c r="Q890" s="100">
        <v>0</v>
      </c>
      <c r="R890" s="98">
        <v>0</v>
      </c>
      <c r="S890" s="101">
        <f t="shared" si="651"/>
        <v>0</v>
      </c>
      <c r="T890" s="100">
        <v>0</v>
      </c>
      <c r="U890" s="98">
        <v>0</v>
      </c>
      <c r="V890" s="101">
        <f t="shared" si="653"/>
        <v>0</v>
      </c>
      <c r="W890" s="100">
        <v>0</v>
      </c>
      <c r="X890" s="98">
        <v>0</v>
      </c>
      <c r="Y890" s="147">
        <f t="shared" si="652"/>
        <v>0</v>
      </c>
      <c r="Z890" s="150"/>
    </row>
    <row r="891" spans="2:26" s="35" customFormat="1" ht="17.100000000000001" customHeight="1">
      <c r="B891" s="105"/>
      <c r="C891" s="54"/>
      <c r="D891" s="96"/>
      <c r="E891" s="111"/>
      <c r="F891" s="112"/>
      <c r="G891" s="113"/>
      <c r="H891" s="100">
        <v>0</v>
      </c>
      <c r="I891" s="98">
        <v>0</v>
      </c>
      <c r="J891" s="101">
        <f t="shared" si="648"/>
        <v>0</v>
      </c>
      <c r="K891" s="100">
        <v>0</v>
      </c>
      <c r="L891" s="98">
        <v>0</v>
      </c>
      <c r="M891" s="101">
        <f t="shared" si="649"/>
        <v>0</v>
      </c>
      <c r="N891" s="100">
        <v>0</v>
      </c>
      <c r="O891" s="98">
        <v>0</v>
      </c>
      <c r="P891" s="101">
        <f t="shared" si="650"/>
        <v>0</v>
      </c>
      <c r="Q891" s="100">
        <v>0</v>
      </c>
      <c r="R891" s="98">
        <v>0</v>
      </c>
      <c r="S891" s="101">
        <f t="shared" si="651"/>
        <v>0</v>
      </c>
      <c r="T891" s="100">
        <v>0</v>
      </c>
      <c r="U891" s="98">
        <v>0</v>
      </c>
      <c r="V891" s="101">
        <f t="shared" si="653"/>
        <v>0</v>
      </c>
      <c r="W891" s="100">
        <v>0</v>
      </c>
      <c r="X891" s="98">
        <v>0</v>
      </c>
      <c r="Y891" s="147">
        <f t="shared" si="652"/>
        <v>0</v>
      </c>
      <c r="Z891" s="150"/>
    </row>
    <row r="892" spans="2:26" s="126" customFormat="1" ht="17.100000000000001" customHeight="1">
      <c r="B892" s="118"/>
      <c r="C892" s="119"/>
      <c r="D892" s="120"/>
      <c r="E892" s="121"/>
      <c r="F892" s="122"/>
      <c r="G892" s="123"/>
      <c r="H892" s="341" t="s">
        <v>201</v>
      </c>
      <c r="I892" s="342"/>
      <c r="J892" s="124">
        <f>SUM(J885:J891)</f>
        <v>0</v>
      </c>
      <c r="K892" s="341" t="s">
        <v>201</v>
      </c>
      <c r="L892" s="342"/>
      <c r="M892" s="124">
        <f>SUM(M885:M891)</f>
        <v>300</v>
      </c>
      <c r="N892" s="341" t="s">
        <v>201</v>
      </c>
      <c r="O892" s="342"/>
      <c r="P892" s="124">
        <f>SUM(P885:P891)</f>
        <v>15</v>
      </c>
      <c r="Q892" s="341" t="s">
        <v>201</v>
      </c>
      <c r="R892" s="342"/>
      <c r="S892" s="124">
        <f>SUM(S885:S891)</f>
        <v>0</v>
      </c>
      <c r="T892" s="341" t="s">
        <v>201</v>
      </c>
      <c r="U892" s="342"/>
      <c r="V892" s="124">
        <f>SUM(V885:V891)</f>
        <v>0</v>
      </c>
      <c r="W892" s="341" t="s">
        <v>201</v>
      </c>
      <c r="X892" s="342"/>
      <c r="Y892" s="127">
        <f>SUM(Y885:Y891)</f>
        <v>0</v>
      </c>
      <c r="Z892" s="151"/>
    </row>
    <row r="893" spans="2:26" s="35" customFormat="1" ht="17.100000000000001" customHeight="1">
      <c r="B893" s="105"/>
      <c r="C893" s="54">
        <f>'2. Rekap Back Up Beton'!C130</f>
        <v>20700</v>
      </c>
      <c r="D893" s="96">
        <f>'2. Rekap Back Up Beton'!D130</f>
        <v>20800</v>
      </c>
      <c r="E893" s="111">
        <f>'2. Rekap Back Up Beton'!E130</f>
        <v>5</v>
      </c>
      <c r="F893" s="112">
        <f>(100/((D893-C893)*E893))*((J900*0.5)+(M900*1)+(P900*2)+(S900*20)+(V900*15)+(Y900*1.5))</f>
        <v>60</v>
      </c>
      <c r="G893" s="113" t="str">
        <f>IF(F893&lt;=25,"B",IF(F893&lt;=75,"S",IF(F893&lt;=100,"RR","RB")))</f>
        <v>S</v>
      </c>
      <c r="H893" s="100">
        <v>0</v>
      </c>
      <c r="I893" s="98">
        <v>0</v>
      </c>
      <c r="J893" s="101">
        <f t="shared" ref="J893:J899" si="654">H893*I893</f>
        <v>0</v>
      </c>
      <c r="K893" s="100">
        <v>100</v>
      </c>
      <c r="L893" s="98">
        <v>3</v>
      </c>
      <c r="M893" s="101">
        <f t="shared" ref="M893:M899" si="655">K893*L893</f>
        <v>300</v>
      </c>
      <c r="N893" s="100">
        <v>0</v>
      </c>
      <c r="O893" s="98">
        <v>0</v>
      </c>
      <c r="P893" s="101">
        <f t="shared" ref="P893:P899" si="656">N893*O893</f>
        <v>0</v>
      </c>
      <c r="Q893" s="100">
        <v>0</v>
      </c>
      <c r="R893" s="98">
        <v>0</v>
      </c>
      <c r="S893" s="101">
        <f t="shared" ref="S893:S899" si="657">Q893*R893</f>
        <v>0</v>
      </c>
      <c r="T893" s="100">
        <v>0</v>
      </c>
      <c r="U893" s="98">
        <v>0</v>
      </c>
      <c r="V893" s="101">
        <f>T893*U893</f>
        <v>0</v>
      </c>
      <c r="W893" s="100">
        <v>0</v>
      </c>
      <c r="X893" s="98">
        <v>0</v>
      </c>
      <c r="Y893" s="147">
        <f t="shared" ref="Y893:Y899" si="658">W893*X893</f>
        <v>0</v>
      </c>
      <c r="Z893" s="150"/>
    </row>
    <row r="894" spans="2:26" s="35" customFormat="1" ht="17.100000000000001" customHeight="1">
      <c r="B894" s="105"/>
      <c r="C894" s="54"/>
      <c r="D894" s="96"/>
      <c r="E894" s="111"/>
      <c r="F894" s="112"/>
      <c r="G894" s="113"/>
      <c r="H894" s="100">
        <v>0</v>
      </c>
      <c r="I894" s="98">
        <v>0</v>
      </c>
      <c r="J894" s="101">
        <f t="shared" si="654"/>
        <v>0</v>
      </c>
      <c r="K894" s="100">
        <v>0</v>
      </c>
      <c r="L894" s="98">
        <v>0</v>
      </c>
      <c r="M894" s="101">
        <f t="shared" si="655"/>
        <v>0</v>
      </c>
      <c r="N894" s="100">
        <v>0</v>
      </c>
      <c r="O894" s="98">
        <v>0</v>
      </c>
      <c r="P894" s="101">
        <f t="shared" si="656"/>
        <v>0</v>
      </c>
      <c r="Q894" s="100">
        <v>0</v>
      </c>
      <c r="R894" s="98">
        <v>0</v>
      </c>
      <c r="S894" s="101">
        <f t="shared" si="657"/>
        <v>0</v>
      </c>
      <c r="T894" s="100">
        <v>0</v>
      </c>
      <c r="U894" s="98">
        <v>0</v>
      </c>
      <c r="V894" s="101">
        <f t="shared" ref="V894:V899" si="659">T894*U894</f>
        <v>0</v>
      </c>
      <c r="W894" s="100">
        <v>0</v>
      </c>
      <c r="X894" s="98">
        <v>0</v>
      </c>
      <c r="Y894" s="147">
        <f t="shared" si="658"/>
        <v>0</v>
      </c>
      <c r="Z894" s="150"/>
    </row>
    <row r="895" spans="2:26" s="35" customFormat="1" ht="17.100000000000001" customHeight="1">
      <c r="B895" s="105"/>
      <c r="C895" s="54"/>
      <c r="D895" s="96"/>
      <c r="E895" s="111"/>
      <c r="F895" s="112"/>
      <c r="G895" s="113"/>
      <c r="H895" s="100">
        <v>0</v>
      </c>
      <c r="I895" s="98">
        <v>0</v>
      </c>
      <c r="J895" s="101">
        <f t="shared" si="654"/>
        <v>0</v>
      </c>
      <c r="K895" s="100">
        <v>0</v>
      </c>
      <c r="L895" s="98">
        <v>0</v>
      </c>
      <c r="M895" s="101">
        <f t="shared" si="655"/>
        <v>0</v>
      </c>
      <c r="N895" s="100">
        <v>0</v>
      </c>
      <c r="O895" s="98">
        <v>0</v>
      </c>
      <c r="P895" s="101">
        <f t="shared" si="656"/>
        <v>0</v>
      </c>
      <c r="Q895" s="100">
        <v>0</v>
      </c>
      <c r="R895" s="98">
        <v>0</v>
      </c>
      <c r="S895" s="101">
        <f t="shared" si="657"/>
        <v>0</v>
      </c>
      <c r="T895" s="100">
        <v>0</v>
      </c>
      <c r="U895" s="98">
        <v>0</v>
      </c>
      <c r="V895" s="101">
        <f t="shared" si="659"/>
        <v>0</v>
      </c>
      <c r="W895" s="100">
        <v>0</v>
      </c>
      <c r="X895" s="98">
        <v>0</v>
      </c>
      <c r="Y895" s="147">
        <f t="shared" si="658"/>
        <v>0</v>
      </c>
      <c r="Z895" s="150"/>
    </row>
    <row r="896" spans="2:26" s="35" customFormat="1" ht="17.100000000000001" customHeight="1">
      <c r="B896" s="105"/>
      <c r="C896" s="54"/>
      <c r="D896" s="96"/>
      <c r="E896" s="111"/>
      <c r="F896" s="112"/>
      <c r="G896" s="113"/>
      <c r="H896" s="100">
        <v>0</v>
      </c>
      <c r="I896" s="98">
        <v>0</v>
      </c>
      <c r="J896" s="101">
        <f t="shared" si="654"/>
        <v>0</v>
      </c>
      <c r="K896" s="100">
        <v>0</v>
      </c>
      <c r="L896" s="98">
        <v>0</v>
      </c>
      <c r="M896" s="101">
        <f t="shared" si="655"/>
        <v>0</v>
      </c>
      <c r="N896" s="100">
        <v>0</v>
      </c>
      <c r="O896" s="98">
        <v>0</v>
      </c>
      <c r="P896" s="101">
        <f t="shared" si="656"/>
        <v>0</v>
      </c>
      <c r="Q896" s="100">
        <v>0</v>
      </c>
      <c r="R896" s="98">
        <v>0</v>
      </c>
      <c r="S896" s="101">
        <f t="shared" si="657"/>
        <v>0</v>
      </c>
      <c r="T896" s="100">
        <v>0</v>
      </c>
      <c r="U896" s="98">
        <v>0</v>
      </c>
      <c r="V896" s="101">
        <f t="shared" si="659"/>
        <v>0</v>
      </c>
      <c r="W896" s="100">
        <v>0</v>
      </c>
      <c r="X896" s="98">
        <v>0</v>
      </c>
      <c r="Y896" s="147">
        <f t="shared" si="658"/>
        <v>0</v>
      </c>
      <c r="Z896" s="150"/>
    </row>
    <row r="897" spans="2:26" s="35" customFormat="1" ht="17.100000000000001" customHeight="1">
      <c r="B897" s="105"/>
      <c r="C897" s="54"/>
      <c r="D897" s="96"/>
      <c r="E897" s="111"/>
      <c r="F897" s="112"/>
      <c r="G897" s="113"/>
      <c r="H897" s="100">
        <v>0</v>
      </c>
      <c r="I897" s="98">
        <v>0</v>
      </c>
      <c r="J897" s="101">
        <f t="shared" si="654"/>
        <v>0</v>
      </c>
      <c r="K897" s="100">
        <v>0</v>
      </c>
      <c r="L897" s="98">
        <v>0</v>
      </c>
      <c r="M897" s="101">
        <f t="shared" si="655"/>
        <v>0</v>
      </c>
      <c r="N897" s="100">
        <v>0</v>
      </c>
      <c r="O897" s="98">
        <v>0</v>
      </c>
      <c r="P897" s="101">
        <f t="shared" si="656"/>
        <v>0</v>
      </c>
      <c r="Q897" s="100">
        <v>0</v>
      </c>
      <c r="R897" s="98">
        <v>0</v>
      </c>
      <c r="S897" s="101">
        <f t="shared" si="657"/>
        <v>0</v>
      </c>
      <c r="T897" s="100">
        <v>0</v>
      </c>
      <c r="U897" s="98">
        <v>0</v>
      </c>
      <c r="V897" s="101">
        <f t="shared" si="659"/>
        <v>0</v>
      </c>
      <c r="W897" s="100">
        <v>0</v>
      </c>
      <c r="X897" s="98">
        <v>0</v>
      </c>
      <c r="Y897" s="147">
        <f t="shared" si="658"/>
        <v>0</v>
      </c>
      <c r="Z897" s="150"/>
    </row>
    <row r="898" spans="2:26" s="35" customFormat="1" ht="17.100000000000001" customHeight="1">
      <c r="B898" s="105"/>
      <c r="C898" s="54"/>
      <c r="D898" s="96"/>
      <c r="E898" s="111"/>
      <c r="F898" s="112"/>
      <c r="G898" s="113"/>
      <c r="H898" s="100">
        <v>0</v>
      </c>
      <c r="I898" s="98">
        <v>0</v>
      </c>
      <c r="J898" s="101">
        <f t="shared" si="654"/>
        <v>0</v>
      </c>
      <c r="K898" s="100">
        <v>0</v>
      </c>
      <c r="L898" s="98">
        <v>0</v>
      </c>
      <c r="M898" s="101">
        <f t="shared" si="655"/>
        <v>0</v>
      </c>
      <c r="N898" s="100">
        <v>0</v>
      </c>
      <c r="O898" s="98">
        <v>0</v>
      </c>
      <c r="P898" s="101">
        <f t="shared" si="656"/>
        <v>0</v>
      </c>
      <c r="Q898" s="100">
        <v>0</v>
      </c>
      <c r="R898" s="98">
        <v>0</v>
      </c>
      <c r="S898" s="101">
        <f t="shared" si="657"/>
        <v>0</v>
      </c>
      <c r="T898" s="100">
        <v>0</v>
      </c>
      <c r="U898" s="98">
        <v>0</v>
      </c>
      <c r="V898" s="101">
        <f t="shared" si="659"/>
        <v>0</v>
      </c>
      <c r="W898" s="100">
        <v>0</v>
      </c>
      <c r="X898" s="98">
        <v>0</v>
      </c>
      <c r="Y898" s="147">
        <f t="shared" si="658"/>
        <v>0</v>
      </c>
      <c r="Z898" s="150"/>
    </row>
    <row r="899" spans="2:26" s="35" customFormat="1" ht="17.100000000000001" customHeight="1">
      <c r="B899" s="105"/>
      <c r="C899" s="54"/>
      <c r="D899" s="96"/>
      <c r="E899" s="111"/>
      <c r="F899" s="112"/>
      <c r="G899" s="113"/>
      <c r="H899" s="100">
        <v>0</v>
      </c>
      <c r="I899" s="98">
        <v>0</v>
      </c>
      <c r="J899" s="101">
        <f t="shared" si="654"/>
        <v>0</v>
      </c>
      <c r="K899" s="100">
        <v>0</v>
      </c>
      <c r="L899" s="98">
        <v>0</v>
      </c>
      <c r="M899" s="101">
        <f t="shared" si="655"/>
        <v>0</v>
      </c>
      <c r="N899" s="100">
        <v>0</v>
      </c>
      <c r="O899" s="98">
        <v>0</v>
      </c>
      <c r="P899" s="101">
        <f t="shared" si="656"/>
        <v>0</v>
      </c>
      <c r="Q899" s="100">
        <v>0</v>
      </c>
      <c r="R899" s="98">
        <v>0</v>
      </c>
      <c r="S899" s="101">
        <f t="shared" si="657"/>
        <v>0</v>
      </c>
      <c r="T899" s="100">
        <v>0</v>
      </c>
      <c r="U899" s="98">
        <v>0</v>
      </c>
      <c r="V899" s="101">
        <f t="shared" si="659"/>
        <v>0</v>
      </c>
      <c r="W899" s="100">
        <v>0</v>
      </c>
      <c r="X899" s="98">
        <v>0</v>
      </c>
      <c r="Y899" s="147">
        <f t="shared" si="658"/>
        <v>0</v>
      </c>
      <c r="Z899" s="150"/>
    </row>
    <row r="900" spans="2:26" s="126" customFormat="1" ht="17.100000000000001" customHeight="1">
      <c r="B900" s="118"/>
      <c r="C900" s="119"/>
      <c r="D900" s="120"/>
      <c r="E900" s="121"/>
      <c r="F900" s="122"/>
      <c r="G900" s="123"/>
      <c r="H900" s="341" t="s">
        <v>201</v>
      </c>
      <c r="I900" s="342"/>
      <c r="J900" s="124">
        <f>SUM(J893:J899)</f>
        <v>0</v>
      </c>
      <c r="K900" s="341" t="s">
        <v>201</v>
      </c>
      <c r="L900" s="342"/>
      <c r="M900" s="124">
        <f>SUM(M893:M899)</f>
        <v>300</v>
      </c>
      <c r="N900" s="341" t="s">
        <v>201</v>
      </c>
      <c r="O900" s="342"/>
      <c r="P900" s="124">
        <f>SUM(P893:P899)</f>
        <v>0</v>
      </c>
      <c r="Q900" s="341" t="s">
        <v>201</v>
      </c>
      <c r="R900" s="342"/>
      <c r="S900" s="124">
        <f>SUM(S893:S899)</f>
        <v>0</v>
      </c>
      <c r="T900" s="341" t="s">
        <v>201</v>
      </c>
      <c r="U900" s="342"/>
      <c r="V900" s="124">
        <f>SUM(V893:V899)</f>
        <v>0</v>
      </c>
      <c r="W900" s="341" t="s">
        <v>201</v>
      </c>
      <c r="X900" s="342"/>
      <c r="Y900" s="127">
        <f>SUM(Y893:Y899)</f>
        <v>0</v>
      </c>
      <c r="Z900" s="151"/>
    </row>
    <row r="901" spans="2:26" s="35" customFormat="1" ht="17.100000000000001" customHeight="1">
      <c r="B901" s="105"/>
      <c r="C901" s="54">
        <f>'2. Rekap Back Up Beton'!C131</f>
        <v>20800</v>
      </c>
      <c r="D901" s="96">
        <f>'2. Rekap Back Up Beton'!D131</f>
        <v>20900</v>
      </c>
      <c r="E901" s="111">
        <f>'2. Rekap Back Up Beton'!E131</f>
        <v>6</v>
      </c>
      <c r="F901" s="112">
        <f>(100/((D901-C901)*E901))*((J908*0.5)+(M908*1)+(P908*2)+(S908*20)+(V908*15)+(Y908*1.5))</f>
        <v>41.666666666666664</v>
      </c>
      <c r="G901" s="113" t="str">
        <f>IF(F901&lt;=25,"B",IF(F901&lt;=75,"S",IF(F901&lt;=100,"RR","RB")))</f>
        <v>S</v>
      </c>
      <c r="H901" s="100">
        <v>0</v>
      </c>
      <c r="I901" s="98">
        <v>0</v>
      </c>
      <c r="J901" s="101">
        <f t="shared" ref="J901:J907" si="660">H901*I901</f>
        <v>0</v>
      </c>
      <c r="K901" s="100">
        <v>0</v>
      </c>
      <c r="L901" s="98">
        <v>0</v>
      </c>
      <c r="M901" s="101">
        <f t="shared" ref="M901:M907" si="661">K901*L901</f>
        <v>0</v>
      </c>
      <c r="N901" s="100">
        <v>25</v>
      </c>
      <c r="O901" s="98">
        <v>5</v>
      </c>
      <c r="P901" s="101">
        <f t="shared" ref="P901:P907" si="662">N901*O901</f>
        <v>125</v>
      </c>
      <c r="Q901" s="100">
        <v>0</v>
      </c>
      <c r="R901" s="98">
        <v>0</v>
      </c>
      <c r="S901" s="101">
        <f t="shared" ref="S901:S907" si="663">Q901*R901</f>
        <v>0</v>
      </c>
      <c r="T901" s="100">
        <v>0</v>
      </c>
      <c r="U901" s="98">
        <v>0</v>
      </c>
      <c r="V901" s="101">
        <f>T901*U901</f>
        <v>0</v>
      </c>
      <c r="W901" s="100">
        <v>0</v>
      </c>
      <c r="X901" s="98">
        <v>0</v>
      </c>
      <c r="Y901" s="147">
        <f t="shared" ref="Y901:Y907" si="664">W901*X901</f>
        <v>0</v>
      </c>
      <c r="Z901" s="150"/>
    </row>
    <row r="902" spans="2:26" s="35" customFormat="1" ht="17.100000000000001" customHeight="1">
      <c r="B902" s="105"/>
      <c r="C902" s="54"/>
      <c r="D902" s="96"/>
      <c r="E902" s="111"/>
      <c r="F902" s="112"/>
      <c r="G902" s="113"/>
      <c r="H902" s="100">
        <v>0</v>
      </c>
      <c r="I902" s="98">
        <v>0</v>
      </c>
      <c r="J902" s="101">
        <f t="shared" si="660"/>
        <v>0</v>
      </c>
      <c r="K902" s="100">
        <v>0</v>
      </c>
      <c r="L902" s="98">
        <v>0</v>
      </c>
      <c r="M902" s="101">
        <f t="shared" si="661"/>
        <v>0</v>
      </c>
      <c r="N902" s="100">
        <v>0</v>
      </c>
      <c r="O902" s="98">
        <v>0</v>
      </c>
      <c r="P902" s="101">
        <f t="shared" si="662"/>
        <v>0</v>
      </c>
      <c r="Q902" s="100">
        <v>0</v>
      </c>
      <c r="R902" s="98">
        <v>0</v>
      </c>
      <c r="S902" s="101">
        <f t="shared" si="663"/>
        <v>0</v>
      </c>
      <c r="T902" s="100">
        <v>0</v>
      </c>
      <c r="U902" s="98">
        <v>0</v>
      </c>
      <c r="V902" s="101">
        <f t="shared" ref="V902:V907" si="665">T902*U902</f>
        <v>0</v>
      </c>
      <c r="W902" s="100">
        <v>0</v>
      </c>
      <c r="X902" s="98">
        <v>0</v>
      </c>
      <c r="Y902" s="147">
        <f t="shared" si="664"/>
        <v>0</v>
      </c>
      <c r="Z902" s="150"/>
    </row>
    <row r="903" spans="2:26" s="35" customFormat="1" ht="17.100000000000001" customHeight="1">
      <c r="B903" s="105"/>
      <c r="C903" s="54"/>
      <c r="D903" s="96"/>
      <c r="E903" s="111"/>
      <c r="F903" s="112"/>
      <c r="G903" s="113"/>
      <c r="H903" s="100">
        <v>0</v>
      </c>
      <c r="I903" s="98">
        <v>0</v>
      </c>
      <c r="J903" s="101">
        <f t="shared" si="660"/>
        <v>0</v>
      </c>
      <c r="K903" s="100">
        <v>0</v>
      </c>
      <c r="L903" s="98">
        <v>0</v>
      </c>
      <c r="M903" s="101">
        <f t="shared" si="661"/>
        <v>0</v>
      </c>
      <c r="N903" s="100">
        <v>0</v>
      </c>
      <c r="O903" s="98">
        <v>0</v>
      </c>
      <c r="P903" s="101">
        <f t="shared" si="662"/>
        <v>0</v>
      </c>
      <c r="Q903" s="100">
        <v>0</v>
      </c>
      <c r="R903" s="98">
        <v>0</v>
      </c>
      <c r="S903" s="101">
        <f t="shared" si="663"/>
        <v>0</v>
      </c>
      <c r="T903" s="100">
        <v>0</v>
      </c>
      <c r="U903" s="98">
        <v>0</v>
      </c>
      <c r="V903" s="101">
        <f t="shared" si="665"/>
        <v>0</v>
      </c>
      <c r="W903" s="100">
        <v>0</v>
      </c>
      <c r="X903" s="98">
        <v>0</v>
      </c>
      <c r="Y903" s="147">
        <f t="shared" si="664"/>
        <v>0</v>
      </c>
      <c r="Z903" s="150"/>
    </row>
    <row r="904" spans="2:26" s="35" customFormat="1" ht="17.100000000000001" customHeight="1">
      <c r="B904" s="105"/>
      <c r="C904" s="54"/>
      <c r="D904" s="96"/>
      <c r="E904" s="111"/>
      <c r="F904" s="112"/>
      <c r="G904" s="113"/>
      <c r="H904" s="100">
        <v>0</v>
      </c>
      <c r="I904" s="98">
        <v>0</v>
      </c>
      <c r="J904" s="101">
        <f t="shared" si="660"/>
        <v>0</v>
      </c>
      <c r="K904" s="100">
        <v>0</v>
      </c>
      <c r="L904" s="98">
        <v>0</v>
      </c>
      <c r="M904" s="101">
        <f t="shared" si="661"/>
        <v>0</v>
      </c>
      <c r="N904" s="100">
        <v>0</v>
      </c>
      <c r="O904" s="98">
        <v>0</v>
      </c>
      <c r="P904" s="101">
        <f t="shared" si="662"/>
        <v>0</v>
      </c>
      <c r="Q904" s="100">
        <v>0</v>
      </c>
      <c r="R904" s="98">
        <v>0</v>
      </c>
      <c r="S904" s="101">
        <f t="shared" si="663"/>
        <v>0</v>
      </c>
      <c r="T904" s="100">
        <v>0</v>
      </c>
      <c r="U904" s="98">
        <v>0</v>
      </c>
      <c r="V904" s="101">
        <f t="shared" si="665"/>
        <v>0</v>
      </c>
      <c r="W904" s="100">
        <v>0</v>
      </c>
      <c r="X904" s="98">
        <v>0</v>
      </c>
      <c r="Y904" s="147">
        <f t="shared" si="664"/>
        <v>0</v>
      </c>
      <c r="Z904" s="150"/>
    </row>
    <row r="905" spans="2:26" s="35" customFormat="1" ht="17.100000000000001" customHeight="1">
      <c r="B905" s="105"/>
      <c r="C905" s="54"/>
      <c r="D905" s="96"/>
      <c r="E905" s="111"/>
      <c r="F905" s="112"/>
      <c r="G905" s="113"/>
      <c r="H905" s="100">
        <v>0</v>
      </c>
      <c r="I905" s="98">
        <v>0</v>
      </c>
      <c r="J905" s="101">
        <f t="shared" si="660"/>
        <v>0</v>
      </c>
      <c r="K905" s="100">
        <v>0</v>
      </c>
      <c r="L905" s="98">
        <v>0</v>
      </c>
      <c r="M905" s="101">
        <f t="shared" si="661"/>
        <v>0</v>
      </c>
      <c r="N905" s="100">
        <v>0</v>
      </c>
      <c r="O905" s="98">
        <v>0</v>
      </c>
      <c r="P905" s="101">
        <f t="shared" si="662"/>
        <v>0</v>
      </c>
      <c r="Q905" s="100">
        <v>0</v>
      </c>
      <c r="R905" s="98">
        <v>0</v>
      </c>
      <c r="S905" s="101">
        <f t="shared" si="663"/>
        <v>0</v>
      </c>
      <c r="T905" s="100">
        <v>0</v>
      </c>
      <c r="U905" s="98">
        <v>0</v>
      </c>
      <c r="V905" s="101">
        <f t="shared" si="665"/>
        <v>0</v>
      </c>
      <c r="W905" s="100">
        <v>0</v>
      </c>
      <c r="X905" s="98">
        <v>0</v>
      </c>
      <c r="Y905" s="147">
        <f t="shared" si="664"/>
        <v>0</v>
      </c>
      <c r="Z905" s="150"/>
    </row>
    <row r="906" spans="2:26" s="35" customFormat="1" ht="17.100000000000001" customHeight="1">
      <c r="B906" s="105"/>
      <c r="C906" s="54"/>
      <c r="D906" s="96"/>
      <c r="E906" s="111"/>
      <c r="F906" s="112"/>
      <c r="G906" s="113"/>
      <c r="H906" s="100">
        <v>0</v>
      </c>
      <c r="I906" s="98">
        <v>0</v>
      </c>
      <c r="J906" s="101">
        <f t="shared" si="660"/>
        <v>0</v>
      </c>
      <c r="K906" s="100">
        <v>0</v>
      </c>
      <c r="L906" s="98">
        <v>0</v>
      </c>
      <c r="M906" s="101">
        <f t="shared" si="661"/>
        <v>0</v>
      </c>
      <c r="N906" s="100">
        <v>0</v>
      </c>
      <c r="O906" s="98">
        <v>0</v>
      </c>
      <c r="P906" s="101">
        <f t="shared" si="662"/>
        <v>0</v>
      </c>
      <c r="Q906" s="100">
        <v>0</v>
      </c>
      <c r="R906" s="98">
        <v>0</v>
      </c>
      <c r="S906" s="101">
        <f t="shared" si="663"/>
        <v>0</v>
      </c>
      <c r="T906" s="100">
        <v>0</v>
      </c>
      <c r="U906" s="98">
        <v>0</v>
      </c>
      <c r="V906" s="101">
        <f t="shared" si="665"/>
        <v>0</v>
      </c>
      <c r="W906" s="100">
        <v>0</v>
      </c>
      <c r="X906" s="98">
        <v>0</v>
      </c>
      <c r="Y906" s="147">
        <f t="shared" si="664"/>
        <v>0</v>
      </c>
      <c r="Z906" s="150"/>
    </row>
    <row r="907" spans="2:26" s="35" customFormat="1" ht="17.100000000000001" customHeight="1">
      <c r="B907" s="105"/>
      <c r="C907" s="54"/>
      <c r="D907" s="96"/>
      <c r="E907" s="111"/>
      <c r="F907" s="112"/>
      <c r="G907" s="113"/>
      <c r="H907" s="100">
        <v>0</v>
      </c>
      <c r="I907" s="98">
        <v>0</v>
      </c>
      <c r="J907" s="101">
        <f t="shared" si="660"/>
        <v>0</v>
      </c>
      <c r="K907" s="100">
        <v>0</v>
      </c>
      <c r="L907" s="98">
        <v>0</v>
      </c>
      <c r="M907" s="101">
        <f t="shared" si="661"/>
        <v>0</v>
      </c>
      <c r="N907" s="100">
        <v>0</v>
      </c>
      <c r="O907" s="98">
        <v>0</v>
      </c>
      <c r="P907" s="101">
        <f t="shared" si="662"/>
        <v>0</v>
      </c>
      <c r="Q907" s="100">
        <v>0</v>
      </c>
      <c r="R907" s="98">
        <v>0</v>
      </c>
      <c r="S907" s="101">
        <f t="shared" si="663"/>
        <v>0</v>
      </c>
      <c r="T907" s="100">
        <v>0</v>
      </c>
      <c r="U907" s="98">
        <v>0</v>
      </c>
      <c r="V907" s="101">
        <f t="shared" si="665"/>
        <v>0</v>
      </c>
      <c r="W907" s="100">
        <v>0</v>
      </c>
      <c r="X907" s="98">
        <v>0</v>
      </c>
      <c r="Y907" s="147">
        <f t="shared" si="664"/>
        <v>0</v>
      </c>
      <c r="Z907" s="150"/>
    </row>
    <row r="908" spans="2:26" s="126" customFormat="1" ht="17.100000000000001" customHeight="1">
      <c r="B908" s="118"/>
      <c r="C908" s="119"/>
      <c r="D908" s="120"/>
      <c r="E908" s="121"/>
      <c r="F908" s="122"/>
      <c r="G908" s="123"/>
      <c r="H908" s="341" t="s">
        <v>201</v>
      </c>
      <c r="I908" s="342"/>
      <c r="J908" s="124">
        <f>SUM(J901:J907)</f>
        <v>0</v>
      </c>
      <c r="K908" s="341" t="s">
        <v>201</v>
      </c>
      <c r="L908" s="342"/>
      <c r="M908" s="124">
        <f>SUM(M901:M907)</f>
        <v>0</v>
      </c>
      <c r="N908" s="341" t="s">
        <v>201</v>
      </c>
      <c r="O908" s="342"/>
      <c r="P908" s="124">
        <f>SUM(P901:P907)</f>
        <v>125</v>
      </c>
      <c r="Q908" s="341" t="s">
        <v>201</v>
      </c>
      <c r="R908" s="342"/>
      <c r="S908" s="124">
        <f>SUM(S901:S907)</f>
        <v>0</v>
      </c>
      <c r="T908" s="341" t="s">
        <v>201</v>
      </c>
      <c r="U908" s="342"/>
      <c r="V908" s="124">
        <f>SUM(V901:V907)</f>
        <v>0</v>
      </c>
      <c r="W908" s="341" t="s">
        <v>201</v>
      </c>
      <c r="X908" s="342"/>
      <c r="Y908" s="127">
        <f>SUM(Y901:Y907)</f>
        <v>0</v>
      </c>
      <c r="Z908" s="151"/>
    </row>
    <row r="909" spans="2:26" s="35" customFormat="1" ht="17.100000000000001" customHeight="1">
      <c r="B909" s="105"/>
      <c r="C909" s="54">
        <f>'2. Rekap Back Up Beton'!C132</f>
        <v>20900</v>
      </c>
      <c r="D909" s="96">
        <f>'2. Rekap Back Up Beton'!D132</f>
        <v>21000</v>
      </c>
      <c r="E909" s="111">
        <f>'2. Rekap Back Up Beton'!E132</f>
        <v>6</v>
      </c>
      <c r="F909" s="112">
        <f>(100/((D909-C909)*E909))*((J916*0.5)+(M916*1)+(P916*2)+(S916*20)+(V916*15)+(Y916*1.5))</f>
        <v>0</v>
      </c>
      <c r="G909" s="113" t="str">
        <f>IF(F909&lt;=25,"B",IF(F909&lt;=75,"S",IF(F909&lt;=100,"RR","RB")))</f>
        <v>B</v>
      </c>
      <c r="H909" s="100">
        <v>0</v>
      </c>
      <c r="I909" s="98">
        <v>0</v>
      </c>
      <c r="J909" s="101">
        <f t="shared" ref="J909:J915" si="666">H909*I909</f>
        <v>0</v>
      </c>
      <c r="K909" s="100">
        <v>0</v>
      </c>
      <c r="L909" s="98">
        <v>0</v>
      </c>
      <c r="M909" s="101">
        <f t="shared" ref="M909:M915" si="667">K909*L909</f>
        <v>0</v>
      </c>
      <c r="N909" s="100">
        <v>0</v>
      </c>
      <c r="O909" s="98">
        <v>4</v>
      </c>
      <c r="P909" s="101">
        <f t="shared" ref="P909:P915" si="668">N909*O909</f>
        <v>0</v>
      </c>
      <c r="Q909" s="100">
        <v>0</v>
      </c>
      <c r="R909" s="98">
        <v>0</v>
      </c>
      <c r="S909" s="101">
        <f t="shared" ref="S909:S915" si="669">Q909*R909</f>
        <v>0</v>
      </c>
      <c r="T909" s="100">
        <v>0</v>
      </c>
      <c r="U909" s="98">
        <v>0</v>
      </c>
      <c r="V909" s="101">
        <f>T909*U909</f>
        <v>0</v>
      </c>
      <c r="W909" s="100">
        <v>0</v>
      </c>
      <c r="X909" s="98">
        <v>0</v>
      </c>
      <c r="Y909" s="147">
        <f t="shared" ref="Y909:Y915" si="670">W909*X909</f>
        <v>0</v>
      </c>
      <c r="Z909" s="150"/>
    </row>
    <row r="910" spans="2:26" s="35" customFormat="1" ht="17.100000000000001" customHeight="1">
      <c r="B910" s="105"/>
      <c r="C910" s="54"/>
      <c r="D910" s="96"/>
      <c r="E910" s="111"/>
      <c r="F910" s="112"/>
      <c r="G910" s="113"/>
      <c r="H910" s="100">
        <v>0</v>
      </c>
      <c r="I910" s="98">
        <v>0</v>
      </c>
      <c r="J910" s="101">
        <f t="shared" si="666"/>
        <v>0</v>
      </c>
      <c r="K910" s="100">
        <v>0</v>
      </c>
      <c r="L910" s="98">
        <v>0</v>
      </c>
      <c r="M910" s="101">
        <f t="shared" si="667"/>
        <v>0</v>
      </c>
      <c r="N910" s="100">
        <v>0</v>
      </c>
      <c r="O910" s="98">
        <v>0</v>
      </c>
      <c r="P910" s="101">
        <f t="shared" si="668"/>
        <v>0</v>
      </c>
      <c r="Q910" s="100">
        <v>0</v>
      </c>
      <c r="R910" s="98">
        <v>0</v>
      </c>
      <c r="S910" s="101">
        <f t="shared" si="669"/>
        <v>0</v>
      </c>
      <c r="T910" s="100">
        <v>0</v>
      </c>
      <c r="U910" s="98">
        <v>0</v>
      </c>
      <c r="V910" s="101">
        <f t="shared" ref="V910:V915" si="671">T910*U910</f>
        <v>0</v>
      </c>
      <c r="W910" s="100">
        <v>0</v>
      </c>
      <c r="X910" s="98">
        <v>0</v>
      </c>
      <c r="Y910" s="147">
        <f t="shared" si="670"/>
        <v>0</v>
      </c>
      <c r="Z910" s="150"/>
    </row>
    <row r="911" spans="2:26" s="35" customFormat="1" ht="17.100000000000001" customHeight="1">
      <c r="B911" s="105"/>
      <c r="C911" s="54"/>
      <c r="D911" s="96"/>
      <c r="E911" s="111"/>
      <c r="F911" s="112"/>
      <c r="G911" s="113"/>
      <c r="H911" s="100">
        <v>0</v>
      </c>
      <c r="I911" s="98">
        <v>0</v>
      </c>
      <c r="J911" s="101">
        <f t="shared" si="666"/>
        <v>0</v>
      </c>
      <c r="K911" s="100">
        <v>0</v>
      </c>
      <c r="L911" s="98">
        <v>0</v>
      </c>
      <c r="M911" s="101">
        <f t="shared" si="667"/>
        <v>0</v>
      </c>
      <c r="N911" s="100">
        <v>0</v>
      </c>
      <c r="O911" s="98">
        <v>0</v>
      </c>
      <c r="P911" s="101">
        <f t="shared" si="668"/>
        <v>0</v>
      </c>
      <c r="Q911" s="100">
        <v>0</v>
      </c>
      <c r="R911" s="98">
        <v>0</v>
      </c>
      <c r="S911" s="101">
        <f t="shared" si="669"/>
        <v>0</v>
      </c>
      <c r="T911" s="100">
        <v>0</v>
      </c>
      <c r="U911" s="98">
        <v>0</v>
      </c>
      <c r="V911" s="101">
        <f t="shared" si="671"/>
        <v>0</v>
      </c>
      <c r="W911" s="100">
        <v>0</v>
      </c>
      <c r="X911" s="98">
        <v>0</v>
      </c>
      <c r="Y911" s="147">
        <f t="shared" si="670"/>
        <v>0</v>
      </c>
      <c r="Z911" s="150"/>
    </row>
    <row r="912" spans="2:26" s="35" customFormat="1" ht="17.100000000000001" customHeight="1">
      <c r="B912" s="105"/>
      <c r="C912" s="54"/>
      <c r="D912" s="96"/>
      <c r="E912" s="111"/>
      <c r="F912" s="112"/>
      <c r="G912" s="113"/>
      <c r="H912" s="100">
        <v>0</v>
      </c>
      <c r="I912" s="98">
        <v>0</v>
      </c>
      <c r="J912" s="101">
        <f t="shared" si="666"/>
        <v>0</v>
      </c>
      <c r="K912" s="100">
        <v>0</v>
      </c>
      <c r="L912" s="98">
        <v>0</v>
      </c>
      <c r="M912" s="101">
        <f t="shared" si="667"/>
        <v>0</v>
      </c>
      <c r="N912" s="100">
        <v>0</v>
      </c>
      <c r="O912" s="98">
        <v>0</v>
      </c>
      <c r="P912" s="101">
        <f t="shared" si="668"/>
        <v>0</v>
      </c>
      <c r="Q912" s="100">
        <v>0</v>
      </c>
      <c r="R912" s="98">
        <v>0</v>
      </c>
      <c r="S912" s="101">
        <f t="shared" si="669"/>
        <v>0</v>
      </c>
      <c r="T912" s="100">
        <v>0</v>
      </c>
      <c r="U912" s="98">
        <v>0</v>
      </c>
      <c r="V912" s="101">
        <f t="shared" si="671"/>
        <v>0</v>
      </c>
      <c r="W912" s="100">
        <v>0</v>
      </c>
      <c r="X912" s="98">
        <v>0</v>
      </c>
      <c r="Y912" s="147">
        <f t="shared" si="670"/>
        <v>0</v>
      </c>
      <c r="Z912" s="150"/>
    </row>
    <row r="913" spans="2:26" s="35" customFormat="1" ht="17.100000000000001" customHeight="1">
      <c r="B913" s="105"/>
      <c r="C913" s="54"/>
      <c r="D913" s="96"/>
      <c r="E913" s="111"/>
      <c r="F913" s="112"/>
      <c r="G913" s="113"/>
      <c r="H913" s="100">
        <v>0</v>
      </c>
      <c r="I913" s="98">
        <v>0</v>
      </c>
      <c r="J913" s="101">
        <f t="shared" si="666"/>
        <v>0</v>
      </c>
      <c r="K913" s="100">
        <v>0</v>
      </c>
      <c r="L913" s="98">
        <v>0</v>
      </c>
      <c r="M913" s="101">
        <f t="shared" si="667"/>
        <v>0</v>
      </c>
      <c r="N913" s="100">
        <v>0</v>
      </c>
      <c r="O913" s="98">
        <v>0</v>
      </c>
      <c r="P913" s="101">
        <f t="shared" si="668"/>
        <v>0</v>
      </c>
      <c r="Q913" s="100">
        <v>0</v>
      </c>
      <c r="R913" s="98">
        <v>0</v>
      </c>
      <c r="S913" s="101">
        <f t="shared" si="669"/>
        <v>0</v>
      </c>
      <c r="T913" s="100">
        <v>0</v>
      </c>
      <c r="U913" s="98">
        <v>0</v>
      </c>
      <c r="V913" s="101">
        <f t="shared" si="671"/>
        <v>0</v>
      </c>
      <c r="W913" s="100">
        <v>0</v>
      </c>
      <c r="X913" s="98">
        <v>0</v>
      </c>
      <c r="Y913" s="147">
        <f t="shared" si="670"/>
        <v>0</v>
      </c>
      <c r="Z913" s="150"/>
    </row>
    <row r="914" spans="2:26" s="35" customFormat="1" ht="17.100000000000001" customHeight="1">
      <c r="B914" s="105"/>
      <c r="C914" s="54"/>
      <c r="D914" s="96"/>
      <c r="E914" s="111"/>
      <c r="F914" s="112"/>
      <c r="G914" s="113"/>
      <c r="H914" s="100">
        <v>0</v>
      </c>
      <c r="I914" s="98">
        <v>0</v>
      </c>
      <c r="J914" s="101">
        <f t="shared" si="666"/>
        <v>0</v>
      </c>
      <c r="K914" s="100">
        <v>0</v>
      </c>
      <c r="L914" s="98">
        <v>0</v>
      </c>
      <c r="M914" s="101">
        <f t="shared" si="667"/>
        <v>0</v>
      </c>
      <c r="N914" s="100">
        <v>0</v>
      </c>
      <c r="O914" s="98">
        <v>0</v>
      </c>
      <c r="P914" s="101">
        <f t="shared" si="668"/>
        <v>0</v>
      </c>
      <c r="Q914" s="100">
        <v>0</v>
      </c>
      <c r="R914" s="98">
        <v>0</v>
      </c>
      <c r="S914" s="101">
        <f t="shared" si="669"/>
        <v>0</v>
      </c>
      <c r="T914" s="100">
        <v>0</v>
      </c>
      <c r="U914" s="98">
        <v>0</v>
      </c>
      <c r="V914" s="101">
        <f t="shared" si="671"/>
        <v>0</v>
      </c>
      <c r="W914" s="100">
        <v>0</v>
      </c>
      <c r="X914" s="98">
        <v>0</v>
      </c>
      <c r="Y914" s="147">
        <f t="shared" si="670"/>
        <v>0</v>
      </c>
      <c r="Z914" s="150"/>
    </row>
    <row r="915" spans="2:26" s="35" customFormat="1" ht="17.100000000000001" customHeight="1">
      <c r="B915" s="105"/>
      <c r="C915" s="54"/>
      <c r="D915" s="96"/>
      <c r="E915" s="111"/>
      <c r="F915" s="112"/>
      <c r="G915" s="113"/>
      <c r="H915" s="100">
        <v>0</v>
      </c>
      <c r="I915" s="98">
        <v>0</v>
      </c>
      <c r="J915" s="101">
        <f t="shared" si="666"/>
        <v>0</v>
      </c>
      <c r="K915" s="100">
        <v>0</v>
      </c>
      <c r="L915" s="98">
        <v>0</v>
      </c>
      <c r="M915" s="101">
        <f t="shared" si="667"/>
        <v>0</v>
      </c>
      <c r="N915" s="100">
        <v>0</v>
      </c>
      <c r="O915" s="98">
        <v>0</v>
      </c>
      <c r="P915" s="101">
        <f t="shared" si="668"/>
        <v>0</v>
      </c>
      <c r="Q915" s="100">
        <v>0</v>
      </c>
      <c r="R915" s="98">
        <v>0</v>
      </c>
      <c r="S915" s="101">
        <f t="shared" si="669"/>
        <v>0</v>
      </c>
      <c r="T915" s="100">
        <v>0</v>
      </c>
      <c r="U915" s="98">
        <v>0</v>
      </c>
      <c r="V915" s="101">
        <f t="shared" si="671"/>
        <v>0</v>
      </c>
      <c r="W915" s="100">
        <v>0</v>
      </c>
      <c r="X915" s="98">
        <v>0</v>
      </c>
      <c r="Y915" s="147">
        <f t="shared" si="670"/>
        <v>0</v>
      </c>
      <c r="Z915" s="150"/>
    </row>
    <row r="916" spans="2:26" s="126" customFormat="1" ht="17.100000000000001" customHeight="1">
      <c r="B916" s="118"/>
      <c r="C916" s="119"/>
      <c r="D916" s="120"/>
      <c r="E916" s="121"/>
      <c r="F916" s="122"/>
      <c r="G916" s="123"/>
      <c r="H916" s="341" t="s">
        <v>201</v>
      </c>
      <c r="I916" s="342"/>
      <c r="J916" s="124">
        <f>SUM(J909:J915)</f>
        <v>0</v>
      </c>
      <c r="K916" s="341" t="s">
        <v>201</v>
      </c>
      <c r="L916" s="342"/>
      <c r="M916" s="124">
        <f>SUM(M909:M915)</f>
        <v>0</v>
      </c>
      <c r="N916" s="341" t="s">
        <v>201</v>
      </c>
      <c r="O916" s="342"/>
      <c r="P916" s="124">
        <f>SUM(P909:P915)</f>
        <v>0</v>
      </c>
      <c r="Q916" s="341" t="s">
        <v>201</v>
      </c>
      <c r="R916" s="342"/>
      <c r="S916" s="124">
        <f>SUM(S909:S915)</f>
        <v>0</v>
      </c>
      <c r="T916" s="341" t="s">
        <v>201</v>
      </c>
      <c r="U916" s="342"/>
      <c r="V916" s="124">
        <f>SUM(V909:V915)</f>
        <v>0</v>
      </c>
      <c r="W916" s="341" t="s">
        <v>201</v>
      </c>
      <c r="X916" s="342"/>
      <c r="Y916" s="127">
        <f>SUM(Y909:Y915)</f>
        <v>0</v>
      </c>
      <c r="Z916" s="151"/>
    </row>
    <row r="917" spans="2:26" s="35" customFormat="1" ht="17.100000000000001" customHeight="1">
      <c r="B917" s="105"/>
      <c r="C917" s="54">
        <f>'2. Rekap Back Up Beton'!C133</f>
        <v>21000</v>
      </c>
      <c r="D917" s="96">
        <f>'2. Rekap Back Up Beton'!D133</f>
        <v>21100</v>
      </c>
      <c r="E917" s="111">
        <f>'2. Rekap Back Up Beton'!E133</f>
        <v>6</v>
      </c>
      <c r="F917" s="112">
        <f>(100/((D917-C917)*E917))*((J924*0.5)+(M924*1)+(P924*2)+(S924*20)+(V924*15)+(Y924*1.5))</f>
        <v>0</v>
      </c>
      <c r="G917" s="113" t="str">
        <f>IF(F917&lt;=25,"B",IF(F917&lt;=75,"S",IF(F917&lt;=100,"RR","RB")))</f>
        <v>B</v>
      </c>
      <c r="H917" s="100">
        <v>0</v>
      </c>
      <c r="I917" s="98">
        <v>0</v>
      </c>
      <c r="J917" s="101">
        <f t="shared" ref="J917:J923" si="672">H917*I917</f>
        <v>0</v>
      </c>
      <c r="K917" s="100">
        <v>0</v>
      </c>
      <c r="L917" s="98">
        <v>0</v>
      </c>
      <c r="M917" s="101">
        <f t="shared" ref="M917:M923" si="673">K917*L917</f>
        <v>0</v>
      </c>
      <c r="N917" s="100">
        <v>0</v>
      </c>
      <c r="O917" s="98">
        <v>4</v>
      </c>
      <c r="P917" s="101">
        <f t="shared" ref="P917:P923" si="674">N917*O917</f>
        <v>0</v>
      </c>
      <c r="Q917" s="100">
        <v>0</v>
      </c>
      <c r="R917" s="98">
        <v>0</v>
      </c>
      <c r="S917" s="101">
        <f t="shared" ref="S917:S923" si="675">Q917*R917</f>
        <v>0</v>
      </c>
      <c r="T917" s="100">
        <v>0</v>
      </c>
      <c r="U917" s="98">
        <v>0</v>
      </c>
      <c r="V917" s="101">
        <f>T917*U917</f>
        <v>0</v>
      </c>
      <c r="W917" s="100">
        <v>0</v>
      </c>
      <c r="X917" s="98">
        <v>0</v>
      </c>
      <c r="Y917" s="147">
        <f t="shared" ref="Y917:Y923" si="676">W917*X917</f>
        <v>0</v>
      </c>
      <c r="Z917" s="150"/>
    </row>
    <row r="918" spans="2:26" s="35" customFormat="1" ht="17.100000000000001" customHeight="1">
      <c r="B918" s="105"/>
      <c r="C918" s="54"/>
      <c r="D918" s="96"/>
      <c r="E918" s="111"/>
      <c r="F918" s="112"/>
      <c r="G918" s="113"/>
      <c r="H918" s="100">
        <v>0</v>
      </c>
      <c r="I918" s="98">
        <v>0</v>
      </c>
      <c r="J918" s="101">
        <f t="shared" si="672"/>
        <v>0</v>
      </c>
      <c r="K918" s="100">
        <v>0</v>
      </c>
      <c r="L918" s="98">
        <v>0</v>
      </c>
      <c r="M918" s="101">
        <f t="shared" si="673"/>
        <v>0</v>
      </c>
      <c r="N918" s="100">
        <v>0</v>
      </c>
      <c r="O918" s="98">
        <v>0</v>
      </c>
      <c r="P918" s="101">
        <f t="shared" si="674"/>
        <v>0</v>
      </c>
      <c r="Q918" s="100">
        <v>0</v>
      </c>
      <c r="R918" s="98">
        <v>0</v>
      </c>
      <c r="S918" s="101">
        <f t="shared" si="675"/>
        <v>0</v>
      </c>
      <c r="T918" s="100">
        <v>0</v>
      </c>
      <c r="U918" s="98">
        <v>0</v>
      </c>
      <c r="V918" s="101">
        <f t="shared" ref="V918:V923" si="677">T918*U918</f>
        <v>0</v>
      </c>
      <c r="W918" s="100">
        <v>0</v>
      </c>
      <c r="X918" s="98">
        <v>0</v>
      </c>
      <c r="Y918" s="147">
        <f t="shared" si="676"/>
        <v>0</v>
      </c>
      <c r="Z918" s="150"/>
    </row>
    <row r="919" spans="2:26" s="35" customFormat="1" ht="17.100000000000001" customHeight="1">
      <c r="B919" s="105"/>
      <c r="C919" s="54"/>
      <c r="D919" s="96"/>
      <c r="E919" s="111"/>
      <c r="F919" s="112"/>
      <c r="G919" s="113"/>
      <c r="H919" s="100">
        <v>0</v>
      </c>
      <c r="I919" s="98">
        <v>0</v>
      </c>
      <c r="J919" s="101">
        <f t="shared" si="672"/>
        <v>0</v>
      </c>
      <c r="K919" s="100">
        <v>0</v>
      </c>
      <c r="L919" s="98">
        <v>0</v>
      </c>
      <c r="M919" s="101">
        <f t="shared" si="673"/>
        <v>0</v>
      </c>
      <c r="N919" s="100">
        <v>0</v>
      </c>
      <c r="O919" s="98">
        <v>0</v>
      </c>
      <c r="P919" s="101">
        <f t="shared" si="674"/>
        <v>0</v>
      </c>
      <c r="Q919" s="100">
        <v>0</v>
      </c>
      <c r="R919" s="98">
        <v>0</v>
      </c>
      <c r="S919" s="101">
        <f t="shared" si="675"/>
        <v>0</v>
      </c>
      <c r="T919" s="100">
        <v>0</v>
      </c>
      <c r="U919" s="98">
        <v>0</v>
      </c>
      <c r="V919" s="101">
        <f t="shared" si="677"/>
        <v>0</v>
      </c>
      <c r="W919" s="100">
        <v>0</v>
      </c>
      <c r="X919" s="98">
        <v>0</v>
      </c>
      <c r="Y919" s="147">
        <f t="shared" si="676"/>
        <v>0</v>
      </c>
      <c r="Z919" s="150"/>
    </row>
    <row r="920" spans="2:26" s="35" customFormat="1" ht="17.100000000000001" customHeight="1">
      <c r="B920" s="105"/>
      <c r="C920" s="54"/>
      <c r="D920" s="96"/>
      <c r="E920" s="111"/>
      <c r="F920" s="112"/>
      <c r="G920" s="113"/>
      <c r="H920" s="100">
        <v>0</v>
      </c>
      <c r="I920" s="98">
        <v>0</v>
      </c>
      <c r="J920" s="101">
        <f t="shared" si="672"/>
        <v>0</v>
      </c>
      <c r="K920" s="100">
        <v>0</v>
      </c>
      <c r="L920" s="98">
        <v>0</v>
      </c>
      <c r="M920" s="101">
        <f t="shared" si="673"/>
        <v>0</v>
      </c>
      <c r="N920" s="100">
        <v>0</v>
      </c>
      <c r="O920" s="98">
        <v>0</v>
      </c>
      <c r="P920" s="101">
        <f t="shared" si="674"/>
        <v>0</v>
      </c>
      <c r="Q920" s="100">
        <v>0</v>
      </c>
      <c r="R920" s="98">
        <v>0</v>
      </c>
      <c r="S920" s="101">
        <f t="shared" si="675"/>
        <v>0</v>
      </c>
      <c r="T920" s="100">
        <v>0</v>
      </c>
      <c r="U920" s="98">
        <v>0</v>
      </c>
      <c r="V920" s="101">
        <f t="shared" si="677"/>
        <v>0</v>
      </c>
      <c r="W920" s="100">
        <v>0</v>
      </c>
      <c r="X920" s="98">
        <v>0</v>
      </c>
      <c r="Y920" s="147">
        <f t="shared" si="676"/>
        <v>0</v>
      </c>
      <c r="Z920" s="150"/>
    </row>
    <row r="921" spans="2:26" s="35" customFormat="1" ht="17.100000000000001" customHeight="1">
      <c r="B921" s="105"/>
      <c r="C921" s="54"/>
      <c r="D921" s="96"/>
      <c r="E921" s="111"/>
      <c r="F921" s="112"/>
      <c r="G921" s="113"/>
      <c r="H921" s="100">
        <v>0</v>
      </c>
      <c r="I921" s="98">
        <v>0</v>
      </c>
      <c r="J921" s="101">
        <f t="shared" si="672"/>
        <v>0</v>
      </c>
      <c r="K921" s="100">
        <v>0</v>
      </c>
      <c r="L921" s="98">
        <v>0</v>
      </c>
      <c r="M921" s="101">
        <f t="shared" si="673"/>
        <v>0</v>
      </c>
      <c r="N921" s="100">
        <v>0</v>
      </c>
      <c r="O921" s="98">
        <v>0</v>
      </c>
      <c r="P921" s="101">
        <f t="shared" si="674"/>
        <v>0</v>
      </c>
      <c r="Q921" s="100">
        <v>0</v>
      </c>
      <c r="R921" s="98">
        <v>0</v>
      </c>
      <c r="S921" s="101">
        <f t="shared" si="675"/>
        <v>0</v>
      </c>
      <c r="T921" s="100">
        <v>0</v>
      </c>
      <c r="U921" s="98">
        <v>0</v>
      </c>
      <c r="V921" s="101">
        <f t="shared" si="677"/>
        <v>0</v>
      </c>
      <c r="W921" s="100">
        <v>0</v>
      </c>
      <c r="X921" s="98">
        <v>0</v>
      </c>
      <c r="Y921" s="147">
        <f t="shared" si="676"/>
        <v>0</v>
      </c>
      <c r="Z921" s="150"/>
    </row>
    <row r="922" spans="2:26" s="35" customFormat="1" ht="17.100000000000001" customHeight="1">
      <c r="B922" s="105"/>
      <c r="C922" s="54"/>
      <c r="D922" s="96"/>
      <c r="E922" s="111"/>
      <c r="F922" s="112"/>
      <c r="G922" s="113"/>
      <c r="H922" s="100">
        <v>0</v>
      </c>
      <c r="I922" s="98">
        <v>0</v>
      </c>
      <c r="J922" s="101">
        <f t="shared" si="672"/>
        <v>0</v>
      </c>
      <c r="K922" s="100">
        <v>0</v>
      </c>
      <c r="L922" s="98">
        <v>0</v>
      </c>
      <c r="M922" s="101">
        <f t="shared" si="673"/>
        <v>0</v>
      </c>
      <c r="N922" s="100">
        <v>0</v>
      </c>
      <c r="O922" s="98">
        <v>0</v>
      </c>
      <c r="P922" s="101">
        <f t="shared" si="674"/>
        <v>0</v>
      </c>
      <c r="Q922" s="100">
        <v>0</v>
      </c>
      <c r="R922" s="98">
        <v>0</v>
      </c>
      <c r="S922" s="101">
        <f t="shared" si="675"/>
        <v>0</v>
      </c>
      <c r="T922" s="100">
        <v>0</v>
      </c>
      <c r="U922" s="98">
        <v>0</v>
      </c>
      <c r="V922" s="101">
        <f t="shared" si="677"/>
        <v>0</v>
      </c>
      <c r="W922" s="100">
        <v>0</v>
      </c>
      <c r="X922" s="98">
        <v>0</v>
      </c>
      <c r="Y922" s="147">
        <f t="shared" si="676"/>
        <v>0</v>
      </c>
      <c r="Z922" s="150"/>
    </row>
    <row r="923" spans="2:26" s="35" customFormat="1" ht="17.100000000000001" customHeight="1">
      <c r="B923" s="105"/>
      <c r="C923" s="54"/>
      <c r="D923" s="96"/>
      <c r="E923" s="111"/>
      <c r="F923" s="112"/>
      <c r="G923" s="113"/>
      <c r="H923" s="100">
        <v>0</v>
      </c>
      <c r="I923" s="98">
        <v>0</v>
      </c>
      <c r="J923" s="101">
        <f t="shared" si="672"/>
        <v>0</v>
      </c>
      <c r="K923" s="100">
        <v>0</v>
      </c>
      <c r="L923" s="98">
        <v>0</v>
      </c>
      <c r="M923" s="101">
        <f t="shared" si="673"/>
        <v>0</v>
      </c>
      <c r="N923" s="100">
        <v>0</v>
      </c>
      <c r="O923" s="98">
        <v>0</v>
      </c>
      <c r="P923" s="101">
        <f t="shared" si="674"/>
        <v>0</v>
      </c>
      <c r="Q923" s="100">
        <v>0</v>
      </c>
      <c r="R923" s="98">
        <v>0</v>
      </c>
      <c r="S923" s="101">
        <f t="shared" si="675"/>
        <v>0</v>
      </c>
      <c r="T923" s="100">
        <v>0</v>
      </c>
      <c r="U923" s="98">
        <v>0</v>
      </c>
      <c r="V923" s="101">
        <f t="shared" si="677"/>
        <v>0</v>
      </c>
      <c r="W923" s="100">
        <v>0</v>
      </c>
      <c r="X923" s="98">
        <v>0</v>
      </c>
      <c r="Y923" s="147">
        <f t="shared" si="676"/>
        <v>0</v>
      </c>
      <c r="Z923" s="150"/>
    </row>
    <row r="924" spans="2:26" s="126" customFormat="1" ht="17.100000000000001" customHeight="1" thickBot="1">
      <c r="B924" s="128"/>
      <c r="C924" s="154"/>
      <c r="D924" s="155"/>
      <c r="E924" s="156"/>
      <c r="F924" s="129"/>
      <c r="G924" s="130"/>
      <c r="H924" s="344" t="s">
        <v>201</v>
      </c>
      <c r="I924" s="345"/>
      <c r="J924" s="131">
        <f>SUM(J917:J923)</f>
        <v>0</v>
      </c>
      <c r="K924" s="344" t="s">
        <v>201</v>
      </c>
      <c r="L924" s="345"/>
      <c r="M924" s="131">
        <f>SUM(M917:M923)</f>
        <v>0</v>
      </c>
      <c r="N924" s="344" t="s">
        <v>201</v>
      </c>
      <c r="O924" s="345"/>
      <c r="P924" s="131">
        <f>SUM(P917:P923)</f>
        <v>0</v>
      </c>
      <c r="Q924" s="344" t="s">
        <v>201</v>
      </c>
      <c r="R924" s="345"/>
      <c r="S924" s="131">
        <f>SUM(S917:S923)</f>
        <v>0</v>
      </c>
      <c r="T924" s="344" t="s">
        <v>201</v>
      </c>
      <c r="U924" s="345"/>
      <c r="V924" s="131">
        <f>SUM(V917:V923)</f>
        <v>0</v>
      </c>
      <c r="W924" s="344" t="s">
        <v>201</v>
      </c>
      <c r="X924" s="345"/>
      <c r="Y924" s="132">
        <f>SUM(Y917:Y923)</f>
        <v>0</v>
      </c>
      <c r="Z924" s="152"/>
    </row>
    <row r="925" spans="2:26" s="35" customFormat="1" ht="17.100000000000001" customHeight="1">
      <c r="B925" s="114"/>
      <c r="C925" s="157">
        <f>'2. Rekap Back Up Beton'!C134</f>
        <v>21100</v>
      </c>
      <c r="D925" s="158">
        <f>'2. Rekap Back Up Beton'!D134</f>
        <v>21200</v>
      </c>
      <c r="E925" s="159">
        <f>'2. Rekap Back Up Beton'!E134</f>
        <v>6</v>
      </c>
      <c r="F925" s="115">
        <f>(100/((D925-C925)*E925))*((J932*0.5)+(M932*1)+(P932*2)+(S932*20)+(V932*15)+(Y932*1.5))</f>
        <v>0</v>
      </c>
      <c r="G925" s="116" t="str">
        <f>IF(F925&lt;=25,"B",IF(F925&lt;=75,"S",IF(F925&lt;=100,"RR","RB")))</f>
        <v>B</v>
      </c>
      <c r="H925" s="135">
        <v>0</v>
      </c>
      <c r="I925" s="136">
        <v>0</v>
      </c>
      <c r="J925" s="137">
        <f t="shared" ref="J925:J931" si="678">H925*I925</f>
        <v>0</v>
      </c>
      <c r="K925" s="135">
        <v>0</v>
      </c>
      <c r="L925" s="136">
        <v>0</v>
      </c>
      <c r="M925" s="137">
        <f t="shared" ref="M925:M931" si="679">K925*L925</f>
        <v>0</v>
      </c>
      <c r="N925" s="135">
        <v>0</v>
      </c>
      <c r="O925" s="136">
        <v>4</v>
      </c>
      <c r="P925" s="137">
        <f t="shared" ref="P925:P931" si="680">N925*O925</f>
        <v>0</v>
      </c>
      <c r="Q925" s="135">
        <v>0</v>
      </c>
      <c r="R925" s="136">
        <v>0</v>
      </c>
      <c r="S925" s="137">
        <f t="shared" ref="S925:S931" si="681">Q925*R925</f>
        <v>0</v>
      </c>
      <c r="T925" s="135">
        <v>0</v>
      </c>
      <c r="U925" s="136">
        <v>0</v>
      </c>
      <c r="V925" s="137">
        <f>T925*U925</f>
        <v>0</v>
      </c>
      <c r="W925" s="135">
        <v>0</v>
      </c>
      <c r="X925" s="136">
        <v>0</v>
      </c>
      <c r="Y925" s="148">
        <f t="shared" ref="Y925:Y931" si="682">W925*X925</f>
        <v>0</v>
      </c>
      <c r="Z925" s="153"/>
    </row>
    <row r="926" spans="2:26" s="35" customFormat="1" ht="17.100000000000001" customHeight="1">
      <c r="B926" s="105"/>
      <c r="C926" s="54"/>
      <c r="D926" s="96"/>
      <c r="E926" s="111"/>
      <c r="F926" s="112"/>
      <c r="G926" s="113"/>
      <c r="H926" s="100">
        <v>0</v>
      </c>
      <c r="I926" s="98">
        <v>0</v>
      </c>
      <c r="J926" s="101">
        <f t="shared" si="678"/>
        <v>0</v>
      </c>
      <c r="K926" s="100">
        <v>0</v>
      </c>
      <c r="L926" s="98">
        <v>0</v>
      </c>
      <c r="M926" s="101">
        <f t="shared" si="679"/>
        <v>0</v>
      </c>
      <c r="N926" s="100">
        <v>0</v>
      </c>
      <c r="O926" s="98">
        <v>0</v>
      </c>
      <c r="P926" s="101">
        <f t="shared" si="680"/>
        <v>0</v>
      </c>
      <c r="Q926" s="100">
        <v>0</v>
      </c>
      <c r="R926" s="98">
        <v>0</v>
      </c>
      <c r="S926" s="101">
        <f t="shared" si="681"/>
        <v>0</v>
      </c>
      <c r="T926" s="100">
        <v>0</v>
      </c>
      <c r="U926" s="98">
        <v>0</v>
      </c>
      <c r="V926" s="101">
        <f t="shared" ref="V926:V931" si="683">T926*U926</f>
        <v>0</v>
      </c>
      <c r="W926" s="100">
        <v>0</v>
      </c>
      <c r="X926" s="98">
        <v>0</v>
      </c>
      <c r="Y926" s="147">
        <f t="shared" si="682"/>
        <v>0</v>
      </c>
      <c r="Z926" s="150"/>
    </row>
    <row r="927" spans="2:26" s="35" customFormat="1" ht="17.100000000000001" customHeight="1">
      <c r="B927" s="105"/>
      <c r="C927" s="54"/>
      <c r="D927" s="96"/>
      <c r="E927" s="111"/>
      <c r="F927" s="112"/>
      <c r="G927" s="113"/>
      <c r="H927" s="100">
        <v>0</v>
      </c>
      <c r="I927" s="98">
        <v>0</v>
      </c>
      <c r="J927" s="101">
        <f t="shared" si="678"/>
        <v>0</v>
      </c>
      <c r="K927" s="100">
        <v>0</v>
      </c>
      <c r="L927" s="98">
        <v>0</v>
      </c>
      <c r="M927" s="101">
        <f t="shared" si="679"/>
        <v>0</v>
      </c>
      <c r="N927" s="100">
        <v>0</v>
      </c>
      <c r="O927" s="98">
        <v>0</v>
      </c>
      <c r="P927" s="101">
        <f t="shared" si="680"/>
        <v>0</v>
      </c>
      <c r="Q927" s="100">
        <v>0</v>
      </c>
      <c r="R927" s="98">
        <v>0</v>
      </c>
      <c r="S927" s="101">
        <f t="shared" si="681"/>
        <v>0</v>
      </c>
      <c r="T927" s="100">
        <v>0</v>
      </c>
      <c r="U927" s="98">
        <v>0</v>
      </c>
      <c r="V927" s="101">
        <f t="shared" si="683"/>
        <v>0</v>
      </c>
      <c r="W927" s="100">
        <v>0</v>
      </c>
      <c r="X927" s="98">
        <v>0</v>
      </c>
      <c r="Y927" s="147">
        <f t="shared" si="682"/>
        <v>0</v>
      </c>
      <c r="Z927" s="150"/>
    </row>
    <row r="928" spans="2:26" s="35" customFormat="1" ht="17.100000000000001" customHeight="1">
      <c r="B928" s="105"/>
      <c r="C928" s="54"/>
      <c r="D928" s="96"/>
      <c r="E928" s="111"/>
      <c r="F928" s="112"/>
      <c r="G928" s="113"/>
      <c r="H928" s="100">
        <v>0</v>
      </c>
      <c r="I928" s="98">
        <v>0</v>
      </c>
      <c r="J928" s="101">
        <f t="shared" si="678"/>
        <v>0</v>
      </c>
      <c r="K928" s="100">
        <v>0</v>
      </c>
      <c r="L928" s="98">
        <v>0</v>
      </c>
      <c r="M928" s="101">
        <f t="shared" si="679"/>
        <v>0</v>
      </c>
      <c r="N928" s="100">
        <v>0</v>
      </c>
      <c r="O928" s="98">
        <v>0</v>
      </c>
      <c r="P928" s="101">
        <f t="shared" si="680"/>
        <v>0</v>
      </c>
      <c r="Q928" s="100">
        <v>0</v>
      </c>
      <c r="R928" s="98">
        <v>0</v>
      </c>
      <c r="S928" s="101">
        <f t="shared" si="681"/>
        <v>0</v>
      </c>
      <c r="T928" s="100">
        <v>0</v>
      </c>
      <c r="U928" s="98">
        <v>0</v>
      </c>
      <c r="V928" s="101">
        <f t="shared" si="683"/>
        <v>0</v>
      </c>
      <c r="W928" s="100">
        <v>0</v>
      </c>
      <c r="X928" s="98">
        <v>0</v>
      </c>
      <c r="Y928" s="147">
        <f t="shared" si="682"/>
        <v>0</v>
      </c>
      <c r="Z928" s="150"/>
    </row>
    <row r="929" spans="2:26" s="35" customFormat="1" ht="17.100000000000001" customHeight="1">
      <c r="B929" s="105"/>
      <c r="C929" s="54"/>
      <c r="D929" s="96"/>
      <c r="E929" s="111"/>
      <c r="F929" s="112"/>
      <c r="G929" s="113"/>
      <c r="H929" s="100">
        <v>0</v>
      </c>
      <c r="I929" s="98">
        <v>0</v>
      </c>
      <c r="J929" s="101">
        <f t="shared" si="678"/>
        <v>0</v>
      </c>
      <c r="K929" s="100">
        <v>0</v>
      </c>
      <c r="L929" s="98">
        <v>0</v>
      </c>
      <c r="M929" s="101">
        <f t="shared" si="679"/>
        <v>0</v>
      </c>
      <c r="N929" s="100">
        <v>0</v>
      </c>
      <c r="O929" s="98">
        <v>0</v>
      </c>
      <c r="P929" s="101">
        <f t="shared" si="680"/>
        <v>0</v>
      </c>
      <c r="Q929" s="100">
        <v>0</v>
      </c>
      <c r="R929" s="98">
        <v>0</v>
      </c>
      <c r="S929" s="101">
        <f t="shared" si="681"/>
        <v>0</v>
      </c>
      <c r="T929" s="100">
        <v>0</v>
      </c>
      <c r="U929" s="98">
        <v>0</v>
      </c>
      <c r="V929" s="101">
        <f t="shared" si="683"/>
        <v>0</v>
      </c>
      <c r="W929" s="100">
        <v>0</v>
      </c>
      <c r="X929" s="98">
        <v>0</v>
      </c>
      <c r="Y929" s="147">
        <f t="shared" si="682"/>
        <v>0</v>
      </c>
      <c r="Z929" s="150"/>
    </row>
    <row r="930" spans="2:26" s="35" customFormat="1" ht="17.100000000000001" customHeight="1">
      <c r="B930" s="105"/>
      <c r="C930" s="54"/>
      <c r="D930" s="96"/>
      <c r="E930" s="111"/>
      <c r="F930" s="112"/>
      <c r="G930" s="113"/>
      <c r="H930" s="100">
        <v>0</v>
      </c>
      <c r="I930" s="98">
        <v>0</v>
      </c>
      <c r="J930" s="101">
        <f t="shared" si="678"/>
        <v>0</v>
      </c>
      <c r="K930" s="100">
        <v>0</v>
      </c>
      <c r="L930" s="98">
        <v>0</v>
      </c>
      <c r="M930" s="101">
        <f t="shared" si="679"/>
        <v>0</v>
      </c>
      <c r="N930" s="100">
        <v>0</v>
      </c>
      <c r="O930" s="98">
        <v>0</v>
      </c>
      <c r="P930" s="101">
        <f t="shared" si="680"/>
        <v>0</v>
      </c>
      <c r="Q930" s="100">
        <v>0</v>
      </c>
      <c r="R930" s="98">
        <v>0</v>
      </c>
      <c r="S930" s="101">
        <f t="shared" si="681"/>
        <v>0</v>
      </c>
      <c r="T930" s="100">
        <v>0</v>
      </c>
      <c r="U930" s="98">
        <v>0</v>
      </c>
      <c r="V930" s="101">
        <f t="shared" si="683"/>
        <v>0</v>
      </c>
      <c r="W930" s="100">
        <v>0</v>
      </c>
      <c r="X930" s="98">
        <v>0</v>
      </c>
      <c r="Y930" s="147">
        <f t="shared" si="682"/>
        <v>0</v>
      </c>
      <c r="Z930" s="150"/>
    </row>
    <row r="931" spans="2:26" s="35" customFormat="1" ht="17.100000000000001" customHeight="1">
      <c r="B931" s="105"/>
      <c r="C931" s="54"/>
      <c r="D931" s="96"/>
      <c r="E931" s="111"/>
      <c r="F931" s="112"/>
      <c r="G931" s="113"/>
      <c r="H931" s="100">
        <v>0</v>
      </c>
      <c r="I931" s="98">
        <v>0</v>
      </c>
      <c r="J931" s="101">
        <f t="shared" si="678"/>
        <v>0</v>
      </c>
      <c r="K931" s="100">
        <v>0</v>
      </c>
      <c r="L931" s="98">
        <v>0</v>
      </c>
      <c r="M931" s="101">
        <f t="shared" si="679"/>
        <v>0</v>
      </c>
      <c r="N931" s="100">
        <v>0</v>
      </c>
      <c r="O931" s="98">
        <v>0</v>
      </c>
      <c r="P931" s="101">
        <f t="shared" si="680"/>
        <v>0</v>
      </c>
      <c r="Q931" s="100">
        <v>0</v>
      </c>
      <c r="R931" s="98">
        <v>0</v>
      </c>
      <c r="S931" s="101">
        <f t="shared" si="681"/>
        <v>0</v>
      </c>
      <c r="T931" s="100">
        <v>0</v>
      </c>
      <c r="U931" s="98">
        <v>0</v>
      </c>
      <c r="V931" s="101">
        <f t="shared" si="683"/>
        <v>0</v>
      </c>
      <c r="W931" s="100">
        <v>0</v>
      </c>
      <c r="X931" s="98">
        <v>0</v>
      </c>
      <c r="Y931" s="147">
        <f t="shared" si="682"/>
        <v>0</v>
      </c>
      <c r="Z931" s="150"/>
    </row>
    <row r="932" spans="2:26" s="126" customFormat="1" ht="17.100000000000001" customHeight="1">
      <c r="B932" s="118"/>
      <c r="C932" s="119"/>
      <c r="D932" s="120"/>
      <c r="E932" s="121"/>
      <c r="F932" s="122"/>
      <c r="G932" s="123"/>
      <c r="H932" s="341" t="s">
        <v>201</v>
      </c>
      <c r="I932" s="342"/>
      <c r="J932" s="124">
        <f>SUM(J925:J931)</f>
        <v>0</v>
      </c>
      <c r="K932" s="341" t="s">
        <v>201</v>
      </c>
      <c r="L932" s="342"/>
      <c r="M932" s="124">
        <f>SUM(M925:M931)</f>
        <v>0</v>
      </c>
      <c r="N932" s="341" t="s">
        <v>201</v>
      </c>
      <c r="O932" s="342"/>
      <c r="P932" s="124">
        <f>SUM(P925:P931)</f>
        <v>0</v>
      </c>
      <c r="Q932" s="341" t="s">
        <v>201</v>
      </c>
      <c r="R932" s="342"/>
      <c r="S932" s="124">
        <f>SUM(S925:S931)</f>
        <v>0</v>
      </c>
      <c r="T932" s="341" t="s">
        <v>201</v>
      </c>
      <c r="U932" s="342"/>
      <c r="V932" s="124">
        <f>SUM(V925:V931)</f>
        <v>0</v>
      </c>
      <c r="W932" s="341" t="s">
        <v>201</v>
      </c>
      <c r="X932" s="342"/>
      <c r="Y932" s="127">
        <f>SUM(Y925:Y931)</f>
        <v>0</v>
      </c>
      <c r="Z932" s="151"/>
    </row>
    <row r="933" spans="2:26" s="35" customFormat="1" ht="17.100000000000001" customHeight="1">
      <c r="B933" s="105"/>
      <c r="C933" s="54">
        <f>'2. Rekap Back Up Beton'!C135</f>
        <v>21200</v>
      </c>
      <c r="D933" s="96">
        <f>'2. Rekap Back Up Beton'!D135</f>
        <v>21300</v>
      </c>
      <c r="E933" s="111">
        <f>'2. Rekap Back Up Beton'!E135</f>
        <v>6</v>
      </c>
      <c r="F933" s="112">
        <f>(100/((D933-C933)*E933))*((J940*0.5)+(M940*1)+(P940*2)+(S940*20)+(V940*15)+(Y940*1.5))</f>
        <v>0</v>
      </c>
      <c r="G933" s="113" t="str">
        <f>IF(F933&lt;=25,"B",IF(F933&lt;=75,"S",IF(F933&lt;=100,"RR","RB")))</f>
        <v>B</v>
      </c>
      <c r="H933" s="100">
        <v>0</v>
      </c>
      <c r="I933" s="98">
        <v>0</v>
      </c>
      <c r="J933" s="101">
        <f t="shared" ref="J933:J939" si="684">H933*I933</f>
        <v>0</v>
      </c>
      <c r="K933" s="100">
        <v>0</v>
      </c>
      <c r="L933" s="98">
        <v>0</v>
      </c>
      <c r="M933" s="101">
        <f t="shared" ref="M933:M939" si="685">K933*L933</f>
        <v>0</v>
      </c>
      <c r="N933" s="100">
        <v>0</v>
      </c>
      <c r="O933" s="98">
        <v>4</v>
      </c>
      <c r="P933" s="101">
        <f t="shared" ref="P933:P939" si="686">N933*O933</f>
        <v>0</v>
      </c>
      <c r="Q933" s="100">
        <v>0</v>
      </c>
      <c r="R933" s="98">
        <v>0</v>
      </c>
      <c r="S933" s="101">
        <f t="shared" ref="S933:S939" si="687">Q933*R933</f>
        <v>0</v>
      </c>
      <c r="T933" s="100">
        <v>0</v>
      </c>
      <c r="U933" s="98">
        <v>0</v>
      </c>
      <c r="V933" s="101">
        <f>T933*U933</f>
        <v>0</v>
      </c>
      <c r="W933" s="100">
        <v>0</v>
      </c>
      <c r="X933" s="98">
        <v>0</v>
      </c>
      <c r="Y933" s="147">
        <f t="shared" ref="Y933:Y939" si="688">W933*X933</f>
        <v>0</v>
      </c>
      <c r="Z933" s="150"/>
    </row>
    <row r="934" spans="2:26" s="35" customFormat="1" ht="17.100000000000001" customHeight="1">
      <c r="B934" s="105"/>
      <c r="C934" s="54"/>
      <c r="D934" s="96"/>
      <c r="E934" s="111"/>
      <c r="F934" s="112"/>
      <c r="G934" s="113"/>
      <c r="H934" s="100">
        <v>0</v>
      </c>
      <c r="I934" s="98">
        <v>0</v>
      </c>
      <c r="J934" s="101">
        <f t="shared" si="684"/>
        <v>0</v>
      </c>
      <c r="K934" s="100">
        <v>0</v>
      </c>
      <c r="L934" s="98">
        <v>0</v>
      </c>
      <c r="M934" s="101">
        <f t="shared" si="685"/>
        <v>0</v>
      </c>
      <c r="N934" s="100">
        <v>0</v>
      </c>
      <c r="O934" s="98">
        <v>0</v>
      </c>
      <c r="P934" s="101">
        <f t="shared" si="686"/>
        <v>0</v>
      </c>
      <c r="Q934" s="100">
        <v>0</v>
      </c>
      <c r="R934" s="98">
        <v>0</v>
      </c>
      <c r="S934" s="101">
        <f t="shared" si="687"/>
        <v>0</v>
      </c>
      <c r="T934" s="100">
        <v>0</v>
      </c>
      <c r="U934" s="98">
        <v>0</v>
      </c>
      <c r="V934" s="101">
        <f t="shared" ref="V934:V939" si="689">T934*U934</f>
        <v>0</v>
      </c>
      <c r="W934" s="100">
        <v>0</v>
      </c>
      <c r="X934" s="98">
        <v>0</v>
      </c>
      <c r="Y934" s="147">
        <f t="shared" si="688"/>
        <v>0</v>
      </c>
      <c r="Z934" s="150"/>
    </row>
    <row r="935" spans="2:26" s="35" customFormat="1" ht="17.100000000000001" customHeight="1">
      <c r="B935" s="105"/>
      <c r="C935" s="54"/>
      <c r="D935" s="96"/>
      <c r="E935" s="111"/>
      <c r="F935" s="112"/>
      <c r="G935" s="113"/>
      <c r="H935" s="100">
        <v>0</v>
      </c>
      <c r="I935" s="98">
        <v>0</v>
      </c>
      <c r="J935" s="101">
        <f t="shared" si="684"/>
        <v>0</v>
      </c>
      <c r="K935" s="100">
        <v>0</v>
      </c>
      <c r="L935" s="98">
        <v>0</v>
      </c>
      <c r="M935" s="101">
        <f t="shared" si="685"/>
        <v>0</v>
      </c>
      <c r="N935" s="100">
        <v>0</v>
      </c>
      <c r="O935" s="98">
        <v>0</v>
      </c>
      <c r="P935" s="101">
        <f t="shared" si="686"/>
        <v>0</v>
      </c>
      <c r="Q935" s="100">
        <v>0</v>
      </c>
      <c r="R935" s="98">
        <v>0</v>
      </c>
      <c r="S935" s="101">
        <f t="shared" si="687"/>
        <v>0</v>
      </c>
      <c r="T935" s="100">
        <v>0</v>
      </c>
      <c r="U935" s="98">
        <v>0</v>
      </c>
      <c r="V935" s="101">
        <f t="shared" si="689"/>
        <v>0</v>
      </c>
      <c r="W935" s="100">
        <v>0</v>
      </c>
      <c r="X935" s="98">
        <v>0</v>
      </c>
      <c r="Y935" s="147">
        <f t="shared" si="688"/>
        <v>0</v>
      </c>
      <c r="Z935" s="150"/>
    </row>
    <row r="936" spans="2:26" s="35" customFormat="1" ht="17.100000000000001" customHeight="1">
      <c r="B936" s="105"/>
      <c r="C936" s="54"/>
      <c r="D936" s="96"/>
      <c r="E936" s="111"/>
      <c r="F936" s="112"/>
      <c r="G936" s="113"/>
      <c r="H936" s="100">
        <v>0</v>
      </c>
      <c r="I936" s="98">
        <v>0</v>
      </c>
      <c r="J936" s="101">
        <f t="shared" si="684"/>
        <v>0</v>
      </c>
      <c r="K936" s="100">
        <v>0</v>
      </c>
      <c r="L936" s="98">
        <v>0</v>
      </c>
      <c r="M936" s="101">
        <f t="shared" si="685"/>
        <v>0</v>
      </c>
      <c r="N936" s="100">
        <v>0</v>
      </c>
      <c r="O936" s="98">
        <v>0</v>
      </c>
      <c r="P936" s="101">
        <f t="shared" si="686"/>
        <v>0</v>
      </c>
      <c r="Q936" s="100">
        <v>0</v>
      </c>
      <c r="R936" s="98">
        <v>0</v>
      </c>
      <c r="S936" s="101">
        <f t="shared" si="687"/>
        <v>0</v>
      </c>
      <c r="T936" s="100">
        <v>0</v>
      </c>
      <c r="U936" s="98">
        <v>0</v>
      </c>
      <c r="V936" s="101">
        <f t="shared" si="689"/>
        <v>0</v>
      </c>
      <c r="W936" s="100">
        <v>0</v>
      </c>
      <c r="X936" s="98">
        <v>0</v>
      </c>
      <c r="Y936" s="147">
        <f t="shared" si="688"/>
        <v>0</v>
      </c>
      <c r="Z936" s="150"/>
    </row>
    <row r="937" spans="2:26" s="35" customFormat="1" ht="17.100000000000001" customHeight="1">
      <c r="B937" s="105"/>
      <c r="C937" s="54"/>
      <c r="D937" s="96"/>
      <c r="E937" s="111"/>
      <c r="F937" s="112"/>
      <c r="G937" s="113"/>
      <c r="H937" s="100">
        <v>0</v>
      </c>
      <c r="I937" s="98">
        <v>0</v>
      </c>
      <c r="J937" s="101">
        <f t="shared" si="684"/>
        <v>0</v>
      </c>
      <c r="K937" s="100">
        <v>0</v>
      </c>
      <c r="L937" s="98">
        <v>0</v>
      </c>
      <c r="M937" s="101">
        <f t="shared" si="685"/>
        <v>0</v>
      </c>
      <c r="N937" s="100">
        <v>0</v>
      </c>
      <c r="O937" s="98">
        <v>0</v>
      </c>
      <c r="P937" s="101">
        <f t="shared" si="686"/>
        <v>0</v>
      </c>
      <c r="Q937" s="100">
        <v>0</v>
      </c>
      <c r="R937" s="98">
        <v>0</v>
      </c>
      <c r="S937" s="101">
        <f t="shared" si="687"/>
        <v>0</v>
      </c>
      <c r="T937" s="100">
        <v>0</v>
      </c>
      <c r="U937" s="98">
        <v>0</v>
      </c>
      <c r="V937" s="101">
        <f t="shared" si="689"/>
        <v>0</v>
      </c>
      <c r="W937" s="100">
        <v>0</v>
      </c>
      <c r="X937" s="98">
        <v>0</v>
      </c>
      <c r="Y937" s="147">
        <f t="shared" si="688"/>
        <v>0</v>
      </c>
      <c r="Z937" s="150"/>
    </row>
    <row r="938" spans="2:26" s="35" customFormat="1" ht="17.100000000000001" customHeight="1">
      <c r="B938" s="105"/>
      <c r="C938" s="54"/>
      <c r="D938" s="96"/>
      <c r="E938" s="111"/>
      <c r="F938" s="112"/>
      <c r="G938" s="113"/>
      <c r="H938" s="100">
        <v>0</v>
      </c>
      <c r="I938" s="98">
        <v>0</v>
      </c>
      <c r="J938" s="101">
        <f t="shared" si="684"/>
        <v>0</v>
      </c>
      <c r="K938" s="100">
        <v>0</v>
      </c>
      <c r="L938" s="98">
        <v>0</v>
      </c>
      <c r="M938" s="101">
        <f t="shared" si="685"/>
        <v>0</v>
      </c>
      <c r="N938" s="100">
        <v>0</v>
      </c>
      <c r="O938" s="98">
        <v>0</v>
      </c>
      <c r="P938" s="101">
        <f t="shared" si="686"/>
        <v>0</v>
      </c>
      <c r="Q938" s="100">
        <v>0</v>
      </c>
      <c r="R938" s="98">
        <v>0</v>
      </c>
      <c r="S938" s="101">
        <f t="shared" si="687"/>
        <v>0</v>
      </c>
      <c r="T938" s="100">
        <v>0</v>
      </c>
      <c r="U938" s="98">
        <v>0</v>
      </c>
      <c r="V938" s="101">
        <f t="shared" si="689"/>
        <v>0</v>
      </c>
      <c r="W938" s="100">
        <v>0</v>
      </c>
      <c r="X938" s="98">
        <v>0</v>
      </c>
      <c r="Y938" s="147">
        <f t="shared" si="688"/>
        <v>0</v>
      </c>
      <c r="Z938" s="150"/>
    </row>
    <row r="939" spans="2:26" s="35" customFormat="1" ht="17.100000000000001" customHeight="1">
      <c r="B939" s="105"/>
      <c r="C939" s="54"/>
      <c r="D939" s="96"/>
      <c r="E939" s="111"/>
      <c r="F939" s="112"/>
      <c r="G939" s="113"/>
      <c r="H939" s="100">
        <v>0</v>
      </c>
      <c r="I939" s="98">
        <v>0</v>
      </c>
      <c r="J939" s="101">
        <f t="shared" si="684"/>
        <v>0</v>
      </c>
      <c r="K939" s="100">
        <v>0</v>
      </c>
      <c r="L939" s="98">
        <v>0</v>
      </c>
      <c r="M939" s="101">
        <f t="shared" si="685"/>
        <v>0</v>
      </c>
      <c r="N939" s="100">
        <v>0</v>
      </c>
      <c r="O939" s="98">
        <v>0</v>
      </c>
      <c r="P939" s="101">
        <f t="shared" si="686"/>
        <v>0</v>
      </c>
      <c r="Q939" s="100">
        <v>0</v>
      </c>
      <c r="R939" s="98">
        <v>0</v>
      </c>
      <c r="S939" s="101">
        <f t="shared" si="687"/>
        <v>0</v>
      </c>
      <c r="T939" s="100">
        <v>0</v>
      </c>
      <c r="U939" s="98">
        <v>0</v>
      </c>
      <c r="V939" s="101">
        <f t="shared" si="689"/>
        <v>0</v>
      </c>
      <c r="W939" s="100">
        <v>0</v>
      </c>
      <c r="X939" s="98">
        <v>0</v>
      </c>
      <c r="Y939" s="147">
        <f t="shared" si="688"/>
        <v>0</v>
      </c>
      <c r="Z939" s="150"/>
    </row>
    <row r="940" spans="2:26" s="126" customFormat="1" ht="17.100000000000001" customHeight="1">
      <c r="B940" s="118"/>
      <c r="C940" s="119"/>
      <c r="D940" s="120"/>
      <c r="E940" s="121"/>
      <c r="F940" s="122"/>
      <c r="G940" s="123"/>
      <c r="H940" s="341" t="s">
        <v>201</v>
      </c>
      <c r="I940" s="342"/>
      <c r="J940" s="124">
        <f>SUM(J933:J939)</f>
        <v>0</v>
      </c>
      <c r="K940" s="341" t="s">
        <v>201</v>
      </c>
      <c r="L940" s="342"/>
      <c r="M940" s="124">
        <f>SUM(M933:M939)</f>
        <v>0</v>
      </c>
      <c r="N940" s="341" t="s">
        <v>201</v>
      </c>
      <c r="O940" s="342"/>
      <c r="P940" s="124">
        <f>SUM(P933:P939)</f>
        <v>0</v>
      </c>
      <c r="Q940" s="341" t="s">
        <v>201</v>
      </c>
      <c r="R940" s="342"/>
      <c r="S940" s="124">
        <f>SUM(S933:S939)</f>
        <v>0</v>
      </c>
      <c r="T940" s="341" t="s">
        <v>201</v>
      </c>
      <c r="U940" s="342"/>
      <c r="V940" s="124">
        <f>SUM(V933:V939)</f>
        <v>0</v>
      </c>
      <c r="W940" s="341" t="s">
        <v>201</v>
      </c>
      <c r="X940" s="342"/>
      <c r="Y940" s="127">
        <f>SUM(Y933:Y939)</f>
        <v>0</v>
      </c>
      <c r="Z940" s="151"/>
    </row>
    <row r="941" spans="2:26" s="35" customFormat="1" ht="17.100000000000001" customHeight="1">
      <c r="B941" s="105"/>
      <c r="C941" s="54">
        <f>'2. Rekap Back Up Beton'!C136</f>
        <v>21300</v>
      </c>
      <c r="D941" s="96">
        <f>'2. Rekap Back Up Beton'!D136</f>
        <v>21400</v>
      </c>
      <c r="E941" s="111">
        <f>'2. Rekap Back Up Beton'!E136</f>
        <v>6</v>
      </c>
      <c r="F941" s="112">
        <f>(100/((D941-C941)*E941))*((J948*0.5)+(M948*1)+(P948*2)+(S948*20)+(V948*15)+(Y948*1.5))</f>
        <v>0</v>
      </c>
      <c r="G941" s="113" t="str">
        <f>IF(F941&lt;=25,"B",IF(F941&lt;=75,"S",IF(F941&lt;=100,"RR","RB")))</f>
        <v>B</v>
      </c>
      <c r="H941" s="100">
        <v>0</v>
      </c>
      <c r="I941" s="98">
        <v>0</v>
      </c>
      <c r="J941" s="101">
        <f t="shared" ref="J941:J947" si="690">H941*I941</f>
        <v>0</v>
      </c>
      <c r="K941" s="100">
        <v>0</v>
      </c>
      <c r="L941" s="98">
        <v>0</v>
      </c>
      <c r="M941" s="101">
        <f t="shared" ref="M941:M947" si="691">K941*L941</f>
        <v>0</v>
      </c>
      <c r="N941" s="100">
        <v>0</v>
      </c>
      <c r="O941" s="98">
        <v>4</v>
      </c>
      <c r="P941" s="101">
        <f t="shared" ref="P941:P947" si="692">N941*O941</f>
        <v>0</v>
      </c>
      <c r="Q941" s="100">
        <v>0</v>
      </c>
      <c r="R941" s="98">
        <v>0</v>
      </c>
      <c r="S941" s="101">
        <f t="shared" ref="S941:S947" si="693">Q941*R941</f>
        <v>0</v>
      </c>
      <c r="T941" s="100">
        <v>0</v>
      </c>
      <c r="U941" s="98">
        <v>0</v>
      </c>
      <c r="V941" s="101">
        <f>T941*U941</f>
        <v>0</v>
      </c>
      <c r="W941" s="100">
        <v>0</v>
      </c>
      <c r="X941" s="98">
        <v>0</v>
      </c>
      <c r="Y941" s="147">
        <f t="shared" ref="Y941:Y947" si="694">W941*X941</f>
        <v>0</v>
      </c>
      <c r="Z941" s="150"/>
    </row>
    <row r="942" spans="2:26" s="35" customFormat="1" ht="17.100000000000001" customHeight="1">
      <c r="B942" s="105"/>
      <c r="C942" s="54"/>
      <c r="D942" s="96"/>
      <c r="E942" s="111"/>
      <c r="F942" s="112"/>
      <c r="G942" s="113"/>
      <c r="H942" s="100">
        <v>0</v>
      </c>
      <c r="I942" s="98">
        <v>0</v>
      </c>
      <c r="J942" s="101">
        <f t="shared" si="690"/>
        <v>0</v>
      </c>
      <c r="K942" s="100">
        <v>0</v>
      </c>
      <c r="L942" s="98">
        <v>0</v>
      </c>
      <c r="M942" s="101">
        <f t="shared" si="691"/>
        <v>0</v>
      </c>
      <c r="N942" s="100">
        <v>0</v>
      </c>
      <c r="O942" s="98">
        <v>0</v>
      </c>
      <c r="P942" s="101">
        <f t="shared" si="692"/>
        <v>0</v>
      </c>
      <c r="Q942" s="100">
        <v>0</v>
      </c>
      <c r="R942" s="98">
        <v>0</v>
      </c>
      <c r="S942" s="101">
        <f t="shared" si="693"/>
        <v>0</v>
      </c>
      <c r="T942" s="100">
        <v>0</v>
      </c>
      <c r="U942" s="98">
        <v>0</v>
      </c>
      <c r="V942" s="101">
        <f t="shared" ref="V942:V947" si="695">T942*U942</f>
        <v>0</v>
      </c>
      <c r="W942" s="100">
        <v>0</v>
      </c>
      <c r="X942" s="98">
        <v>0</v>
      </c>
      <c r="Y942" s="147">
        <f t="shared" si="694"/>
        <v>0</v>
      </c>
      <c r="Z942" s="150"/>
    </row>
    <row r="943" spans="2:26" s="35" customFormat="1" ht="17.100000000000001" customHeight="1">
      <c r="B943" s="105"/>
      <c r="C943" s="54"/>
      <c r="D943" s="96"/>
      <c r="E943" s="111"/>
      <c r="F943" s="112"/>
      <c r="G943" s="113"/>
      <c r="H943" s="100">
        <v>0</v>
      </c>
      <c r="I943" s="98">
        <v>0</v>
      </c>
      <c r="J943" s="101">
        <f t="shared" si="690"/>
        <v>0</v>
      </c>
      <c r="K943" s="100">
        <v>0</v>
      </c>
      <c r="L943" s="98">
        <v>0</v>
      </c>
      <c r="M943" s="101">
        <f t="shared" si="691"/>
        <v>0</v>
      </c>
      <c r="N943" s="100">
        <v>0</v>
      </c>
      <c r="O943" s="98">
        <v>0</v>
      </c>
      <c r="P943" s="101">
        <f t="shared" si="692"/>
        <v>0</v>
      </c>
      <c r="Q943" s="100">
        <v>0</v>
      </c>
      <c r="R943" s="98">
        <v>0</v>
      </c>
      <c r="S943" s="101">
        <f t="shared" si="693"/>
        <v>0</v>
      </c>
      <c r="T943" s="100">
        <v>0</v>
      </c>
      <c r="U943" s="98">
        <v>0</v>
      </c>
      <c r="V943" s="101">
        <f t="shared" si="695"/>
        <v>0</v>
      </c>
      <c r="W943" s="100">
        <v>0</v>
      </c>
      <c r="X943" s="98">
        <v>0</v>
      </c>
      <c r="Y943" s="147">
        <f t="shared" si="694"/>
        <v>0</v>
      </c>
      <c r="Z943" s="150"/>
    </row>
    <row r="944" spans="2:26" s="35" customFormat="1" ht="17.100000000000001" customHeight="1">
      <c r="B944" s="105"/>
      <c r="C944" s="54"/>
      <c r="D944" s="96"/>
      <c r="E944" s="111"/>
      <c r="F944" s="112"/>
      <c r="G944" s="113"/>
      <c r="H944" s="100">
        <v>0</v>
      </c>
      <c r="I944" s="98">
        <v>0</v>
      </c>
      <c r="J944" s="101">
        <f t="shared" si="690"/>
        <v>0</v>
      </c>
      <c r="K944" s="100">
        <v>0</v>
      </c>
      <c r="L944" s="98">
        <v>0</v>
      </c>
      <c r="M944" s="101">
        <f t="shared" si="691"/>
        <v>0</v>
      </c>
      <c r="N944" s="100">
        <v>0</v>
      </c>
      <c r="O944" s="98">
        <v>0</v>
      </c>
      <c r="P944" s="101">
        <f t="shared" si="692"/>
        <v>0</v>
      </c>
      <c r="Q944" s="100">
        <v>0</v>
      </c>
      <c r="R944" s="98">
        <v>0</v>
      </c>
      <c r="S944" s="101">
        <f t="shared" si="693"/>
        <v>0</v>
      </c>
      <c r="T944" s="100">
        <v>0</v>
      </c>
      <c r="U944" s="98">
        <v>0</v>
      </c>
      <c r="V944" s="101">
        <f t="shared" si="695"/>
        <v>0</v>
      </c>
      <c r="W944" s="100">
        <v>0</v>
      </c>
      <c r="X944" s="98">
        <v>0</v>
      </c>
      <c r="Y944" s="147">
        <f t="shared" si="694"/>
        <v>0</v>
      </c>
      <c r="Z944" s="150"/>
    </row>
    <row r="945" spans="2:26" s="35" customFormat="1" ht="17.100000000000001" customHeight="1">
      <c r="B945" s="105"/>
      <c r="C945" s="54"/>
      <c r="D945" s="96"/>
      <c r="E945" s="111"/>
      <c r="F945" s="112"/>
      <c r="G945" s="113"/>
      <c r="H945" s="100">
        <v>0</v>
      </c>
      <c r="I945" s="98">
        <v>0</v>
      </c>
      <c r="J945" s="101">
        <f t="shared" si="690"/>
        <v>0</v>
      </c>
      <c r="K945" s="100">
        <v>0</v>
      </c>
      <c r="L945" s="98">
        <v>0</v>
      </c>
      <c r="M945" s="101">
        <f t="shared" si="691"/>
        <v>0</v>
      </c>
      <c r="N945" s="100">
        <v>0</v>
      </c>
      <c r="O945" s="98">
        <v>0</v>
      </c>
      <c r="P945" s="101">
        <f t="shared" si="692"/>
        <v>0</v>
      </c>
      <c r="Q945" s="100">
        <v>0</v>
      </c>
      <c r="R945" s="98">
        <v>0</v>
      </c>
      <c r="S945" s="101">
        <f t="shared" si="693"/>
        <v>0</v>
      </c>
      <c r="T945" s="100">
        <v>0</v>
      </c>
      <c r="U945" s="98">
        <v>0</v>
      </c>
      <c r="V945" s="101">
        <f t="shared" si="695"/>
        <v>0</v>
      </c>
      <c r="W945" s="100">
        <v>0</v>
      </c>
      <c r="X945" s="98">
        <v>0</v>
      </c>
      <c r="Y945" s="147">
        <f t="shared" si="694"/>
        <v>0</v>
      </c>
      <c r="Z945" s="150"/>
    </row>
    <row r="946" spans="2:26" s="35" customFormat="1" ht="17.100000000000001" customHeight="1">
      <c r="B946" s="105"/>
      <c r="C946" s="54"/>
      <c r="D946" s="96"/>
      <c r="E946" s="111"/>
      <c r="F946" s="112"/>
      <c r="G946" s="113"/>
      <c r="H946" s="100">
        <v>0</v>
      </c>
      <c r="I946" s="98">
        <v>0</v>
      </c>
      <c r="J946" s="101">
        <f t="shared" si="690"/>
        <v>0</v>
      </c>
      <c r="K946" s="100">
        <v>0</v>
      </c>
      <c r="L946" s="98">
        <v>0</v>
      </c>
      <c r="M946" s="101">
        <f t="shared" si="691"/>
        <v>0</v>
      </c>
      <c r="N946" s="100">
        <v>0</v>
      </c>
      <c r="O946" s="98">
        <v>0</v>
      </c>
      <c r="P946" s="101">
        <f t="shared" si="692"/>
        <v>0</v>
      </c>
      <c r="Q946" s="100">
        <v>0</v>
      </c>
      <c r="R946" s="98">
        <v>0</v>
      </c>
      <c r="S946" s="101">
        <f t="shared" si="693"/>
        <v>0</v>
      </c>
      <c r="T946" s="100">
        <v>0</v>
      </c>
      <c r="U946" s="98">
        <v>0</v>
      </c>
      <c r="V946" s="101">
        <f t="shared" si="695"/>
        <v>0</v>
      </c>
      <c r="W946" s="100">
        <v>0</v>
      </c>
      <c r="X946" s="98">
        <v>0</v>
      </c>
      <c r="Y946" s="147">
        <f t="shared" si="694"/>
        <v>0</v>
      </c>
      <c r="Z946" s="150"/>
    </row>
    <row r="947" spans="2:26" s="35" customFormat="1" ht="17.100000000000001" customHeight="1">
      <c r="B947" s="105"/>
      <c r="C947" s="54"/>
      <c r="D947" s="96"/>
      <c r="E947" s="111"/>
      <c r="F947" s="112"/>
      <c r="G947" s="113"/>
      <c r="H947" s="100">
        <v>0</v>
      </c>
      <c r="I947" s="98">
        <v>0</v>
      </c>
      <c r="J947" s="101">
        <f t="shared" si="690"/>
        <v>0</v>
      </c>
      <c r="K947" s="100">
        <v>0</v>
      </c>
      <c r="L947" s="98">
        <v>0</v>
      </c>
      <c r="M947" s="101">
        <f t="shared" si="691"/>
        <v>0</v>
      </c>
      <c r="N947" s="100">
        <v>0</v>
      </c>
      <c r="O947" s="98">
        <v>0</v>
      </c>
      <c r="P947" s="101">
        <f t="shared" si="692"/>
        <v>0</v>
      </c>
      <c r="Q947" s="100">
        <v>0</v>
      </c>
      <c r="R947" s="98">
        <v>0</v>
      </c>
      <c r="S947" s="101">
        <f t="shared" si="693"/>
        <v>0</v>
      </c>
      <c r="T947" s="100">
        <v>0</v>
      </c>
      <c r="U947" s="98">
        <v>0</v>
      </c>
      <c r="V947" s="101">
        <f t="shared" si="695"/>
        <v>0</v>
      </c>
      <c r="W947" s="100">
        <v>0</v>
      </c>
      <c r="X947" s="98">
        <v>0</v>
      </c>
      <c r="Y947" s="147">
        <f t="shared" si="694"/>
        <v>0</v>
      </c>
      <c r="Z947" s="150"/>
    </row>
    <row r="948" spans="2:26" s="126" customFormat="1" ht="17.100000000000001" customHeight="1">
      <c r="B948" s="118"/>
      <c r="C948" s="119"/>
      <c r="D948" s="120"/>
      <c r="E948" s="121"/>
      <c r="F948" s="122"/>
      <c r="G948" s="123"/>
      <c r="H948" s="341" t="s">
        <v>201</v>
      </c>
      <c r="I948" s="342"/>
      <c r="J948" s="124">
        <f>SUM(J941:J947)</f>
        <v>0</v>
      </c>
      <c r="K948" s="341" t="s">
        <v>201</v>
      </c>
      <c r="L948" s="342"/>
      <c r="M948" s="124">
        <f>SUM(M941:M947)</f>
        <v>0</v>
      </c>
      <c r="N948" s="341" t="s">
        <v>201</v>
      </c>
      <c r="O948" s="342"/>
      <c r="P948" s="124">
        <f>SUM(P941:P947)</f>
        <v>0</v>
      </c>
      <c r="Q948" s="341" t="s">
        <v>201</v>
      </c>
      <c r="R948" s="342"/>
      <c r="S948" s="124">
        <f>SUM(S941:S947)</f>
        <v>0</v>
      </c>
      <c r="T948" s="341" t="s">
        <v>201</v>
      </c>
      <c r="U948" s="342"/>
      <c r="V948" s="124">
        <f>SUM(V941:V947)</f>
        <v>0</v>
      </c>
      <c r="W948" s="341" t="s">
        <v>201</v>
      </c>
      <c r="X948" s="342"/>
      <c r="Y948" s="127">
        <f>SUM(Y941:Y947)</f>
        <v>0</v>
      </c>
      <c r="Z948" s="151"/>
    </row>
    <row r="949" spans="2:26" s="35" customFormat="1" ht="17.100000000000001" customHeight="1">
      <c r="B949" s="105"/>
      <c r="C949" s="54">
        <f>'2. Rekap Back Up Beton'!C137</f>
        <v>21400</v>
      </c>
      <c r="D949" s="96">
        <f>'2. Rekap Back Up Beton'!D137</f>
        <v>21500</v>
      </c>
      <c r="E949" s="111">
        <f>'2. Rekap Back Up Beton'!E137</f>
        <v>6</v>
      </c>
      <c r="F949" s="112">
        <f>(100/((D949-C949)*E949))*((J956*0.5)+(M956*1)+(P956*2)+(S956*20)+(V956*15)+(Y956*1.5))</f>
        <v>0</v>
      </c>
      <c r="G949" s="113" t="str">
        <f>IF(F949&lt;=25,"B",IF(F949&lt;=75,"S",IF(F949&lt;=100,"RR","RB")))</f>
        <v>B</v>
      </c>
      <c r="H949" s="100">
        <v>0</v>
      </c>
      <c r="I949" s="98">
        <v>0</v>
      </c>
      <c r="J949" s="101">
        <f t="shared" ref="J949:J955" si="696">H949*I949</f>
        <v>0</v>
      </c>
      <c r="K949" s="100">
        <v>0</v>
      </c>
      <c r="L949" s="98">
        <v>0</v>
      </c>
      <c r="M949" s="101">
        <f t="shared" ref="M949:M955" si="697">K949*L949</f>
        <v>0</v>
      </c>
      <c r="N949" s="100">
        <v>0</v>
      </c>
      <c r="O949" s="98">
        <v>4</v>
      </c>
      <c r="P949" s="101">
        <f t="shared" ref="P949:P955" si="698">N949*O949</f>
        <v>0</v>
      </c>
      <c r="Q949" s="100">
        <v>0</v>
      </c>
      <c r="R949" s="98">
        <v>0</v>
      </c>
      <c r="S949" s="101">
        <f t="shared" ref="S949:S955" si="699">Q949*R949</f>
        <v>0</v>
      </c>
      <c r="T949" s="100">
        <v>0</v>
      </c>
      <c r="U949" s="98">
        <v>0</v>
      </c>
      <c r="V949" s="101">
        <f>T949*U949</f>
        <v>0</v>
      </c>
      <c r="W949" s="100">
        <v>0</v>
      </c>
      <c r="X949" s="98">
        <v>0</v>
      </c>
      <c r="Y949" s="147">
        <f t="shared" ref="Y949:Y955" si="700">W949*X949</f>
        <v>0</v>
      </c>
      <c r="Z949" s="150"/>
    </row>
    <row r="950" spans="2:26" s="35" customFormat="1" ht="17.100000000000001" customHeight="1">
      <c r="B950" s="105"/>
      <c r="C950" s="54"/>
      <c r="D950" s="96"/>
      <c r="E950" s="111"/>
      <c r="F950" s="112"/>
      <c r="G950" s="113"/>
      <c r="H950" s="100">
        <v>0</v>
      </c>
      <c r="I950" s="98">
        <v>0</v>
      </c>
      <c r="J950" s="101">
        <f t="shared" si="696"/>
        <v>0</v>
      </c>
      <c r="K950" s="100">
        <v>0</v>
      </c>
      <c r="L950" s="98">
        <v>0</v>
      </c>
      <c r="M950" s="101">
        <f t="shared" si="697"/>
        <v>0</v>
      </c>
      <c r="N950" s="100">
        <v>0</v>
      </c>
      <c r="O950" s="98">
        <v>0</v>
      </c>
      <c r="P950" s="101">
        <f t="shared" si="698"/>
        <v>0</v>
      </c>
      <c r="Q950" s="100">
        <v>0</v>
      </c>
      <c r="R950" s="98">
        <v>0</v>
      </c>
      <c r="S950" s="101">
        <f t="shared" si="699"/>
        <v>0</v>
      </c>
      <c r="T950" s="100">
        <v>0</v>
      </c>
      <c r="U950" s="98">
        <v>0</v>
      </c>
      <c r="V950" s="101">
        <f t="shared" ref="V950:V955" si="701">T950*U950</f>
        <v>0</v>
      </c>
      <c r="W950" s="100">
        <v>0</v>
      </c>
      <c r="X950" s="98">
        <v>0</v>
      </c>
      <c r="Y950" s="147">
        <f t="shared" si="700"/>
        <v>0</v>
      </c>
      <c r="Z950" s="150"/>
    </row>
    <row r="951" spans="2:26" s="35" customFormat="1" ht="17.100000000000001" customHeight="1">
      <c r="B951" s="105"/>
      <c r="C951" s="54"/>
      <c r="D951" s="96"/>
      <c r="E951" s="111"/>
      <c r="F951" s="112"/>
      <c r="G951" s="113"/>
      <c r="H951" s="100">
        <v>0</v>
      </c>
      <c r="I951" s="98">
        <v>0</v>
      </c>
      <c r="J951" s="101">
        <f t="shared" si="696"/>
        <v>0</v>
      </c>
      <c r="K951" s="100">
        <v>0</v>
      </c>
      <c r="L951" s="98">
        <v>0</v>
      </c>
      <c r="M951" s="101">
        <f t="shared" si="697"/>
        <v>0</v>
      </c>
      <c r="N951" s="100">
        <v>0</v>
      </c>
      <c r="O951" s="98">
        <v>0</v>
      </c>
      <c r="P951" s="101">
        <f t="shared" si="698"/>
        <v>0</v>
      </c>
      <c r="Q951" s="100">
        <v>0</v>
      </c>
      <c r="R951" s="98">
        <v>0</v>
      </c>
      <c r="S951" s="101">
        <f t="shared" si="699"/>
        <v>0</v>
      </c>
      <c r="T951" s="100">
        <v>0</v>
      </c>
      <c r="U951" s="98">
        <v>0</v>
      </c>
      <c r="V951" s="101">
        <f t="shared" si="701"/>
        <v>0</v>
      </c>
      <c r="W951" s="100">
        <v>0</v>
      </c>
      <c r="X951" s="98">
        <v>0</v>
      </c>
      <c r="Y951" s="147">
        <f t="shared" si="700"/>
        <v>0</v>
      </c>
      <c r="Z951" s="150"/>
    </row>
    <row r="952" spans="2:26" s="35" customFormat="1" ht="17.100000000000001" customHeight="1">
      <c r="B952" s="105"/>
      <c r="C952" s="54"/>
      <c r="D952" s="96"/>
      <c r="E952" s="111"/>
      <c r="F952" s="112"/>
      <c r="G952" s="113"/>
      <c r="H952" s="100">
        <v>0</v>
      </c>
      <c r="I952" s="98">
        <v>0</v>
      </c>
      <c r="J952" s="101">
        <f t="shared" si="696"/>
        <v>0</v>
      </c>
      <c r="K952" s="100">
        <v>0</v>
      </c>
      <c r="L952" s="98">
        <v>0</v>
      </c>
      <c r="M952" s="101">
        <f t="shared" si="697"/>
        <v>0</v>
      </c>
      <c r="N952" s="100">
        <v>0</v>
      </c>
      <c r="O952" s="98">
        <v>0</v>
      </c>
      <c r="P952" s="101">
        <f t="shared" si="698"/>
        <v>0</v>
      </c>
      <c r="Q952" s="100">
        <v>0</v>
      </c>
      <c r="R952" s="98">
        <v>0</v>
      </c>
      <c r="S952" s="101">
        <f t="shared" si="699"/>
        <v>0</v>
      </c>
      <c r="T952" s="100">
        <v>0</v>
      </c>
      <c r="U952" s="98">
        <v>0</v>
      </c>
      <c r="V952" s="101">
        <f t="shared" si="701"/>
        <v>0</v>
      </c>
      <c r="W952" s="100">
        <v>0</v>
      </c>
      <c r="X952" s="98">
        <v>0</v>
      </c>
      <c r="Y952" s="147">
        <f t="shared" si="700"/>
        <v>0</v>
      </c>
      <c r="Z952" s="150"/>
    </row>
    <row r="953" spans="2:26" s="35" customFormat="1" ht="17.100000000000001" customHeight="1">
      <c r="B953" s="105"/>
      <c r="C953" s="54"/>
      <c r="D953" s="96"/>
      <c r="E953" s="111"/>
      <c r="F953" s="112"/>
      <c r="G953" s="113"/>
      <c r="H953" s="100">
        <v>0</v>
      </c>
      <c r="I953" s="98">
        <v>0</v>
      </c>
      <c r="J953" s="101">
        <f t="shared" si="696"/>
        <v>0</v>
      </c>
      <c r="K953" s="100">
        <v>0</v>
      </c>
      <c r="L953" s="98">
        <v>0</v>
      </c>
      <c r="M953" s="101">
        <f t="shared" si="697"/>
        <v>0</v>
      </c>
      <c r="N953" s="100">
        <v>0</v>
      </c>
      <c r="O953" s="98">
        <v>0</v>
      </c>
      <c r="P953" s="101">
        <f t="shared" si="698"/>
        <v>0</v>
      </c>
      <c r="Q953" s="100">
        <v>0</v>
      </c>
      <c r="R953" s="98">
        <v>0</v>
      </c>
      <c r="S953" s="101">
        <f t="shared" si="699"/>
        <v>0</v>
      </c>
      <c r="T953" s="100">
        <v>0</v>
      </c>
      <c r="U953" s="98">
        <v>0</v>
      </c>
      <c r="V953" s="101">
        <f t="shared" si="701"/>
        <v>0</v>
      </c>
      <c r="W953" s="100">
        <v>0</v>
      </c>
      <c r="X953" s="98">
        <v>0</v>
      </c>
      <c r="Y953" s="147">
        <f t="shared" si="700"/>
        <v>0</v>
      </c>
      <c r="Z953" s="150"/>
    </row>
    <row r="954" spans="2:26" s="35" customFormat="1" ht="17.100000000000001" customHeight="1">
      <c r="B954" s="105"/>
      <c r="C954" s="54"/>
      <c r="D954" s="96"/>
      <c r="E954" s="111"/>
      <c r="F954" s="112"/>
      <c r="G954" s="113"/>
      <c r="H954" s="100">
        <v>0</v>
      </c>
      <c r="I954" s="98">
        <v>0</v>
      </c>
      <c r="J954" s="101">
        <f t="shared" si="696"/>
        <v>0</v>
      </c>
      <c r="K954" s="100">
        <v>0</v>
      </c>
      <c r="L954" s="98">
        <v>0</v>
      </c>
      <c r="M954" s="101">
        <f t="shared" si="697"/>
        <v>0</v>
      </c>
      <c r="N954" s="100">
        <v>0</v>
      </c>
      <c r="O954" s="98">
        <v>0</v>
      </c>
      <c r="P954" s="101">
        <f t="shared" si="698"/>
        <v>0</v>
      </c>
      <c r="Q954" s="100">
        <v>0</v>
      </c>
      <c r="R954" s="98">
        <v>0</v>
      </c>
      <c r="S954" s="101">
        <f t="shared" si="699"/>
        <v>0</v>
      </c>
      <c r="T954" s="100">
        <v>0</v>
      </c>
      <c r="U954" s="98">
        <v>0</v>
      </c>
      <c r="V954" s="101">
        <f t="shared" si="701"/>
        <v>0</v>
      </c>
      <c r="W954" s="100">
        <v>0</v>
      </c>
      <c r="X954" s="98">
        <v>0</v>
      </c>
      <c r="Y954" s="147">
        <f t="shared" si="700"/>
        <v>0</v>
      </c>
      <c r="Z954" s="150"/>
    </row>
    <row r="955" spans="2:26" s="35" customFormat="1" ht="17.100000000000001" customHeight="1">
      <c r="B955" s="105"/>
      <c r="C955" s="54"/>
      <c r="D955" s="96"/>
      <c r="E955" s="111"/>
      <c r="F955" s="112"/>
      <c r="G955" s="113"/>
      <c r="H955" s="100">
        <v>0</v>
      </c>
      <c r="I955" s="98">
        <v>0</v>
      </c>
      <c r="J955" s="101">
        <f t="shared" si="696"/>
        <v>0</v>
      </c>
      <c r="K955" s="100">
        <v>0</v>
      </c>
      <c r="L955" s="98">
        <v>0</v>
      </c>
      <c r="M955" s="101">
        <f t="shared" si="697"/>
        <v>0</v>
      </c>
      <c r="N955" s="100">
        <v>0</v>
      </c>
      <c r="O955" s="98">
        <v>0</v>
      </c>
      <c r="P955" s="101">
        <f t="shared" si="698"/>
        <v>0</v>
      </c>
      <c r="Q955" s="100">
        <v>0</v>
      </c>
      <c r="R955" s="98">
        <v>0</v>
      </c>
      <c r="S955" s="101">
        <f t="shared" si="699"/>
        <v>0</v>
      </c>
      <c r="T955" s="100">
        <v>0</v>
      </c>
      <c r="U955" s="98">
        <v>0</v>
      </c>
      <c r="V955" s="101">
        <f t="shared" si="701"/>
        <v>0</v>
      </c>
      <c r="W955" s="100">
        <v>0</v>
      </c>
      <c r="X955" s="98">
        <v>0</v>
      </c>
      <c r="Y955" s="147">
        <f t="shared" si="700"/>
        <v>0</v>
      </c>
      <c r="Z955" s="150"/>
    </row>
    <row r="956" spans="2:26" s="126" customFormat="1" ht="17.100000000000001" customHeight="1">
      <c r="B956" s="118"/>
      <c r="C956" s="119"/>
      <c r="D956" s="120"/>
      <c r="E956" s="121"/>
      <c r="F956" s="122"/>
      <c r="G956" s="123"/>
      <c r="H956" s="341" t="s">
        <v>201</v>
      </c>
      <c r="I956" s="342"/>
      <c r="J956" s="124">
        <f>SUM(J949:J955)</f>
        <v>0</v>
      </c>
      <c r="K956" s="341" t="s">
        <v>201</v>
      </c>
      <c r="L956" s="342"/>
      <c r="M956" s="124">
        <f>SUM(M949:M955)</f>
        <v>0</v>
      </c>
      <c r="N956" s="341" t="s">
        <v>201</v>
      </c>
      <c r="O956" s="342"/>
      <c r="P956" s="124">
        <f>SUM(P949:P955)</f>
        <v>0</v>
      </c>
      <c r="Q956" s="341" t="s">
        <v>201</v>
      </c>
      <c r="R956" s="342"/>
      <c r="S956" s="124">
        <f>SUM(S949:S955)</f>
        <v>0</v>
      </c>
      <c r="T956" s="341" t="s">
        <v>201</v>
      </c>
      <c r="U956" s="342"/>
      <c r="V956" s="124">
        <f>SUM(V949:V955)</f>
        <v>0</v>
      </c>
      <c r="W956" s="341" t="s">
        <v>201</v>
      </c>
      <c r="X956" s="342"/>
      <c r="Y956" s="127">
        <f>SUM(Y949:Y955)</f>
        <v>0</v>
      </c>
      <c r="Z956" s="151"/>
    </row>
    <row r="957" spans="2:26" s="35" customFormat="1" ht="17.100000000000001" customHeight="1">
      <c r="B957" s="105"/>
      <c r="C957" s="54">
        <f>'2. Rekap Back Up Beton'!C138</f>
        <v>21500</v>
      </c>
      <c r="D957" s="96">
        <f>'2. Rekap Back Up Beton'!D138</f>
        <v>21600</v>
      </c>
      <c r="E957" s="111">
        <f>'2. Rekap Back Up Beton'!E138</f>
        <v>6</v>
      </c>
      <c r="F957" s="112">
        <f>(100/((D957-C957)*E957))*((J964*0.5)+(M964*1)+(P964*2)+(S964*20)+(V964*15)+(Y964*1.5))</f>
        <v>0</v>
      </c>
      <c r="G957" s="113" t="str">
        <f>IF(F957&lt;=25,"B",IF(F957&lt;=75,"S",IF(F957&lt;=100,"RR","RB")))</f>
        <v>B</v>
      </c>
      <c r="H957" s="100">
        <v>0</v>
      </c>
      <c r="I957" s="98">
        <v>0</v>
      </c>
      <c r="J957" s="101">
        <f t="shared" ref="J957:J963" si="702">H957*I957</f>
        <v>0</v>
      </c>
      <c r="K957" s="100">
        <v>0</v>
      </c>
      <c r="L957" s="98">
        <v>0</v>
      </c>
      <c r="M957" s="101">
        <f t="shared" ref="M957:M963" si="703">K957*L957</f>
        <v>0</v>
      </c>
      <c r="N957" s="100">
        <v>0</v>
      </c>
      <c r="O957" s="98">
        <v>4</v>
      </c>
      <c r="P957" s="101">
        <f t="shared" ref="P957:P963" si="704">N957*O957</f>
        <v>0</v>
      </c>
      <c r="Q957" s="100">
        <v>0</v>
      </c>
      <c r="R957" s="98">
        <v>0</v>
      </c>
      <c r="S957" s="101">
        <f t="shared" ref="S957:S963" si="705">Q957*R957</f>
        <v>0</v>
      </c>
      <c r="T957" s="100">
        <v>0</v>
      </c>
      <c r="U957" s="98">
        <v>0</v>
      </c>
      <c r="V957" s="101">
        <f>T957*U957</f>
        <v>0</v>
      </c>
      <c r="W957" s="100">
        <v>0</v>
      </c>
      <c r="X957" s="98">
        <v>0</v>
      </c>
      <c r="Y957" s="147">
        <f t="shared" ref="Y957:Y963" si="706">W957*X957</f>
        <v>0</v>
      </c>
      <c r="Z957" s="150"/>
    </row>
    <row r="958" spans="2:26" s="35" customFormat="1" ht="17.100000000000001" customHeight="1">
      <c r="B958" s="105"/>
      <c r="C958" s="54"/>
      <c r="D958" s="96"/>
      <c r="E958" s="111"/>
      <c r="F958" s="112"/>
      <c r="G958" s="113"/>
      <c r="H958" s="100">
        <v>0</v>
      </c>
      <c r="I958" s="98">
        <v>0</v>
      </c>
      <c r="J958" s="101">
        <f t="shared" si="702"/>
        <v>0</v>
      </c>
      <c r="K958" s="100">
        <v>0</v>
      </c>
      <c r="L958" s="98">
        <v>0</v>
      </c>
      <c r="M958" s="101">
        <f t="shared" si="703"/>
        <v>0</v>
      </c>
      <c r="N958" s="100">
        <v>0</v>
      </c>
      <c r="O958" s="98">
        <v>0</v>
      </c>
      <c r="P958" s="101">
        <f t="shared" si="704"/>
        <v>0</v>
      </c>
      <c r="Q958" s="100">
        <v>0</v>
      </c>
      <c r="R958" s="98">
        <v>0</v>
      </c>
      <c r="S958" s="101">
        <f t="shared" si="705"/>
        <v>0</v>
      </c>
      <c r="T958" s="100">
        <v>0</v>
      </c>
      <c r="U958" s="98">
        <v>0</v>
      </c>
      <c r="V958" s="101">
        <f t="shared" ref="V958:V963" si="707">T958*U958</f>
        <v>0</v>
      </c>
      <c r="W958" s="100">
        <v>0</v>
      </c>
      <c r="X958" s="98">
        <v>0</v>
      </c>
      <c r="Y958" s="147">
        <f t="shared" si="706"/>
        <v>0</v>
      </c>
      <c r="Z958" s="150"/>
    </row>
    <row r="959" spans="2:26" s="35" customFormat="1" ht="17.100000000000001" customHeight="1">
      <c r="B959" s="105"/>
      <c r="C959" s="54"/>
      <c r="D959" s="96"/>
      <c r="E959" s="111"/>
      <c r="F959" s="112"/>
      <c r="G959" s="113"/>
      <c r="H959" s="100">
        <v>0</v>
      </c>
      <c r="I959" s="98">
        <v>0</v>
      </c>
      <c r="J959" s="101">
        <f t="shared" si="702"/>
        <v>0</v>
      </c>
      <c r="K959" s="100">
        <v>0</v>
      </c>
      <c r="L959" s="98">
        <v>0</v>
      </c>
      <c r="M959" s="101">
        <f t="shared" si="703"/>
        <v>0</v>
      </c>
      <c r="N959" s="100">
        <v>0</v>
      </c>
      <c r="O959" s="98">
        <v>0</v>
      </c>
      <c r="P959" s="101">
        <f t="shared" si="704"/>
        <v>0</v>
      </c>
      <c r="Q959" s="100">
        <v>0</v>
      </c>
      <c r="R959" s="98">
        <v>0</v>
      </c>
      <c r="S959" s="101">
        <f t="shared" si="705"/>
        <v>0</v>
      </c>
      <c r="T959" s="100">
        <v>0</v>
      </c>
      <c r="U959" s="98">
        <v>0</v>
      </c>
      <c r="V959" s="101">
        <f t="shared" si="707"/>
        <v>0</v>
      </c>
      <c r="W959" s="100">
        <v>0</v>
      </c>
      <c r="X959" s="98">
        <v>0</v>
      </c>
      <c r="Y959" s="147">
        <f t="shared" si="706"/>
        <v>0</v>
      </c>
      <c r="Z959" s="150"/>
    </row>
    <row r="960" spans="2:26" s="35" customFormat="1" ht="17.100000000000001" customHeight="1">
      <c r="B960" s="105"/>
      <c r="C960" s="54"/>
      <c r="D960" s="96"/>
      <c r="E960" s="111"/>
      <c r="F960" s="112"/>
      <c r="G960" s="113"/>
      <c r="H960" s="100">
        <v>0</v>
      </c>
      <c r="I960" s="98">
        <v>0</v>
      </c>
      <c r="J960" s="101">
        <f t="shared" si="702"/>
        <v>0</v>
      </c>
      <c r="K960" s="100">
        <v>0</v>
      </c>
      <c r="L960" s="98">
        <v>0</v>
      </c>
      <c r="M960" s="101">
        <f t="shared" si="703"/>
        <v>0</v>
      </c>
      <c r="N960" s="100">
        <v>0</v>
      </c>
      <c r="O960" s="98">
        <v>0</v>
      </c>
      <c r="P960" s="101">
        <f t="shared" si="704"/>
        <v>0</v>
      </c>
      <c r="Q960" s="100">
        <v>0</v>
      </c>
      <c r="R960" s="98">
        <v>0</v>
      </c>
      <c r="S960" s="101">
        <f t="shared" si="705"/>
        <v>0</v>
      </c>
      <c r="T960" s="100">
        <v>0</v>
      </c>
      <c r="U960" s="98">
        <v>0</v>
      </c>
      <c r="V960" s="101">
        <f t="shared" si="707"/>
        <v>0</v>
      </c>
      <c r="W960" s="100">
        <v>0</v>
      </c>
      <c r="X960" s="98">
        <v>0</v>
      </c>
      <c r="Y960" s="147">
        <f t="shared" si="706"/>
        <v>0</v>
      </c>
      <c r="Z960" s="150"/>
    </row>
    <row r="961" spans="2:26" s="35" customFormat="1" ht="17.100000000000001" customHeight="1">
      <c r="B961" s="105"/>
      <c r="C961" s="54"/>
      <c r="D961" s="96"/>
      <c r="E961" s="111"/>
      <c r="F961" s="112"/>
      <c r="G961" s="113"/>
      <c r="H961" s="100">
        <v>0</v>
      </c>
      <c r="I961" s="98">
        <v>0</v>
      </c>
      <c r="J961" s="101">
        <f t="shared" si="702"/>
        <v>0</v>
      </c>
      <c r="K961" s="100">
        <v>0</v>
      </c>
      <c r="L961" s="98">
        <v>0</v>
      </c>
      <c r="M961" s="101">
        <f t="shared" si="703"/>
        <v>0</v>
      </c>
      <c r="N961" s="100">
        <v>0</v>
      </c>
      <c r="O961" s="98">
        <v>0</v>
      </c>
      <c r="P961" s="101">
        <f t="shared" si="704"/>
        <v>0</v>
      </c>
      <c r="Q961" s="100">
        <v>0</v>
      </c>
      <c r="R961" s="98">
        <v>0</v>
      </c>
      <c r="S961" s="101">
        <f t="shared" si="705"/>
        <v>0</v>
      </c>
      <c r="T961" s="100">
        <v>0</v>
      </c>
      <c r="U961" s="98">
        <v>0</v>
      </c>
      <c r="V961" s="101">
        <f t="shared" si="707"/>
        <v>0</v>
      </c>
      <c r="W961" s="100">
        <v>0</v>
      </c>
      <c r="X961" s="98">
        <v>0</v>
      </c>
      <c r="Y961" s="147">
        <f t="shared" si="706"/>
        <v>0</v>
      </c>
      <c r="Z961" s="150"/>
    </row>
    <row r="962" spans="2:26" s="35" customFormat="1" ht="17.100000000000001" customHeight="1">
      <c r="B962" s="105"/>
      <c r="C962" s="54"/>
      <c r="D962" s="96"/>
      <c r="E962" s="111"/>
      <c r="F962" s="112"/>
      <c r="G962" s="113"/>
      <c r="H962" s="100">
        <v>0</v>
      </c>
      <c r="I962" s="98">
        <v>0</v>
      </c>
      <c r="J962" s="101">
        <f t="shared" si="702"/>
        <v>0</v>
      </c>
      <c r="K962" s="100">
        <v>0</v>
      </c>
      <c r="L962" s="98">
        <v>0</v>
      </c>
      <c r="M962" s="101">
        <f t="shared" si="703"/>
        <v>0</v>
      </c>
      <c r="N962" s="100">
        <v>0</v>
      </c>
      <c r="O962" s="98">
        <v>0</v>
      </c>
      <c r="P962" s="101">
        <f t="shared" si="704"/>
        <v>0</v>
      </c>
      <c r="Q962" s="100">
        <v>0</v>
      </c>
      <c r="R962" s="98">
        <v>0</v>
      </c>
      <c r="S962" s="101">
        <f t="shared" si="705"/>
        <v>0</v>
      </c>
      <c r="T962" s="100">
        <v>0</v>
      </c>
      <c r="U962" s="98">
        <v>0</v>
      </c>
      <c r="V962" s="101">
        <f t="shared" si="707"/>
        <v>0</v>
      </c>
      <c r="W962" s="100">
        <v>0</v>
      </c>
      <c r="X962" s="98">
        <v>0</v>
      </c>
      <c r="Y962" s="147">
        <f t="shared" si="706"/>
        <v>0</v>
      </c>
      <c r="Z962" s="150"/>
    </row>
    <row r="963" spans="2:26" s="35" customFormat="1" ht="17.100000000000001" customHeight="1">
      <c r="B963" s="105"/>
      <c r="C963" s="54"/>
      <c r="D963" s="96"/>
      <c r="E963" s="111"/>
      <c r="F963" s="112"/>
      <c r="G963" s="113"/>
      <c r="H963" s="100">
        <v>0</v>
      </c>
      <c r="I963" s="98">
        <v>0</v>
      </c>
      <c r="J963" s="101">
        <f t="shared" si="702"/>
        <v>0</v>
      </c>
      <c r="K963" s="100">
        <v>0</v>
      </c>
      <c r="L963" s="98">
        <v>0</v>
      </c>
      <c r="M963" s="101">
        <f t="shared" si="703"/>
        <v>0</v>
      </c>
      <c r="N963" s="100">
        <v>0</v>
      </c>
      <c r="O963" s="98">
        <v>0</v>
      </c>
      <c r="P963" s="101">
        <f t="shared" si="704"/>
        <v>0</v>
      </c>
      <c r="Q963" s="100">
        <v>0</v>
      </c>
      <c r="R963" s="98">
        <v>0</v>
      </c>
      <c r="S963" s="101">
        <f t="shared" si="705"/>
        <v>0</v>
      </c>
      <c r="T963" s="100">
        <v>0</v>
      </c>
      <c r="U963" s="98">
        <v>0</v>
      </c>
      <c r="V963" s="101">
        <f t="shared" si="707"/>
        <v>0</v>
      </c>
      <c r="W963" s="100">
        <v>0</v>
      </c>
      <c r="X963" s="98">
        <v>0</v>
      </c>
      <c r="Y963" s="147">
        <f t="shared" si="706"/>
        <v>0</v>
      </c>
      <c r="Z963" s="150"/>
    </row>
    <row r="964" spans="2:26" s="126" customFormat="1" ht="17.100000000000001" customHeight="1">
      <c r="B964" s="118"/>
      <c r="C964" s="119"/>
      <c r="D964" s="120"/>
      <c r="E964" s="121"/>
      <c r="F964" s="122"/>
      <c r="G964" s="123"/>
      <c r="H964" s="341" t="s">
        <v>201</v>
      </c>
      <c r="I964" s="342"/>
      <c r="J964" s="124">
        <f>SUM(J957:J963)</f>
        <v>0</v>
      </c>
      <c r="K964" s="341" t="s">
        <v>201</v>
      </c>
      <c r="L964" s="342"/>
      <c r="M964" s="124">
        <f>SUM(M957:M963)</f>
        <v>0</v>
      </c>
      <c r="N964" s="341" t="s">
        <v>201</v>
      </c>
      <c r="O964" s="342"/>
      <c r="P964" s="124">
        <f>SUM(P957:P963)</f>
        <v>0</v>
      </c>
      <c r="Q964" s="341" t="s">
        <v>201</v>
      </c>
      <c r="R964" s="342"/>
      <c r="S964" s="124">
        <f>SUM(S957:S963)</f>
        <v>0</v>
      </c>
      <c r="T964" s="341" t="s">
        <v>201</v>
      </c>
      <c r="U964" s="342"/>
      <c r="V964" s="124">
        <f>SUM(V957:V963)</f>
        <v>0</v>
      </c>
      <c r="W964" s="341" t="s">
        <v>201</v>
      </c>
      <c r="X964" s="342"/>
      <c r="Y964" s="127">
        <f>SUM(Y957:Y963)</f>
        <v>0</v>
      </c>
      <c r="Z964" s="151"/>
    </row>
    <row r="965" spans="2:26" s="35" customFormat="1" ht="17.100000000000001" customHeight="1">
      <c r="B965" s="105"/>
      <c r="C965" s="54">
        <f>'2. Rekap Back Up Beton'!C139</f>
        <v>21600</v>
      </c>
      <c r="D965" s="96">
        <f>'2. Rekap Back Up Beton'!D139</f>
        <v>21700</v>
      </c>
      <c r="E965" s="111">
        <f>'2. Rekap Back Up Beton'!E139</f>
        <v>6</v>
      </c>
      <c r="F965" s="112">
        <f>(100/((D965-C965)*E965))*((J972*0.5)+(M972*1)+(P972*2)+(S972*20)+(V972*15)+(Y972*1.5))</f>
        <v>0</v>
      </c>
      <c r="G965" s="113" t="str">
        <f>IF(F965&lt;=25,"B",IF(F965&lt;=75,"S",IF(F965&lt;=100,"RR","RB")))</f>
        <v>B</v>
      </c>
      <c r="H965" s="100">
        <v>0</v>
      </c>
      <c r="I965" s="98">
        <v>0</v>
      </c>
      <c r="J965" s="101">
        <f t="shared" ref="J965:J971" si="708">H965*I965</f>
        <v>0</v>
      </c>
      <c r="K965" s="100">
        <v>0</v>
      </c>
      <c r="L965" s="98">
        <v>0</v>
      </c>
      <c r="M965" s="101">
        <f t="shared" ref="M965:M971" si="709">K965*L965</f>
        <v>0</v>
      </c>
      <c r="N965" s="100">
        <v>0</v>
      </c>
      <c r="O965" s="98">
        <v>4</v>
      </c>
      <c r="P965" s="101">
        <f t="shared" ref="P965:P971" si="710">N965*O965</f>
        <v>0</v>
      </c>
      <c r="Q965" s="100">
        <v>0</v>
      </c>
      <c r="R965" s="98">
        <v>0</v>
      </c>
      <c r="S965" s="101">
        <f t="shared" ref="S965:S971" si="711">Q965*R965</f>
        <v>0</v>
      </c>
      <c r="T965" s="100">
        <v>0</v>
      </c>
      <c r="U965" s="98">
        <v>0</v>
      </c>
      <c r="V965" s="101">
        <f>T965*U965</f>
        <v>0</v>
      </c>
      <c r="W965" s="100">
        <v>0</v>
      </c>
      <c r="X965" s="98">
        <v>0</v>
      </c>
      <c r="Y965" s="147">
        <f t="shared" ref="Y965:Y971" si="712">W965*X965</f>
        <v>0</v>
      </c>
      <c r="Z965" s="150"/>
    </row>
    <row r="966" spans="2:26" s="35" customFormat="1" ht="17.100000000000001" customHeight="1">
      <c r="B966" s="105"/>
      <c r="C966" s="54"/>
      <c r="D966" s="96"/>
      <c r="E966" s="111"/>
      <c r="F966" s="112"/>
      <c r="G966" s="113"/>
      <c r="H966" s="100">
        <v>0</v>
      </c>
      <c r="I966" s="98">
        <v>0</v>
      </c>
      <c r="J966" s="101">
        <f t="shared" si="708"/>
        <v>0</v>
      </c>
      <c r="K966" s="100">
        <v>0</v>
      </c>
      <c r="L966" s="98">
        <v>0</v>
      </c>
      <c r="M966" s="101">
        <f t="shared" si="709"/>
        <v>0</v>
      </c>
      <c r="N966" s="100">
        <v>0</v>
      </c>
      <c r="O966" s="98">
        <v>0</v>
      </c>
      <c r="P966" s="101">
        <f t="shared" si="710"/>
        <v>0</v>
      </c>
      <c r="Q966" s="100">
        <v>0</v>
      </c>
      <c r="R966" s="98">
        <v>0</v>
      </c>
      <c r="S966" s="101">
        <f t="shared" si="711"/>
        <v>0</v>
      </c>
      <c r="T966" s="100">
        <v>0</v>
      </c>
      <c r="U966" s="98">
        <v>0</v>
      </c>
      <c r="V966" s="101">
        <f t="shared" ref="V966:V971" si="713">T966*U966</f>
        <v>0</v>
      </c>
      <c r="W966" s="100">
        <v>0</v>
      </c>
      <c r="X966" s="98">
        <v>0</v>
      </c>
      <c r="Y966" s="147">
        <f t="shared" si="712"/>
        <v>0</v>
      </c>
      <c r="Z966" s="150"/>
    </row>
    <row r="967" spans="2:26" s="35" customFormat="1" ht="17.100000000000001" customHeight="1">
      <c r="B967" s="105"/>
      <c r="C967" s="54"/>
      <c r="D967" s="96"/>
      <c r="E967" s="111"/>
      <c r="F967" s="112"/>
      <c r="G967" s="113"/>
      <c r="H967" s="100">
        <v>0</v>
      </c>
      <c r="I967" s="98">
        <v>0</v>
      </c>
      <c r="J967" s="101">
        <f t="shared" si="708"/>
        <v>0</v>
      </c>
      <c r="K967" s="100">
        <v>0</v>
      </c>
      <c r="L967" s="98">
        <v>0</v>
      </c>
      <c r="M967" s="101">
        <f t="shared" si="709"/>
        <v>0</v>
      </c>
      <c r="N967" s="100">
        <v>0</v>
      </c>
      <c r="O967" s="98">
        <v>0</v>
      </c>
      <c r="P967" s="101">
        <f t="shared" si="710"/>
        <v>0</v>
      </c>
      <c r="Q967" s="100">
        <v>0</v>
      </c>
      <c r="R967" s="98">
        <v>0</v>
      </c>
      <c r="S967" s="101">
        <f t="shared" si="711"/>
        <v>0</v>
      </c>
      <c r="T967" s="100">
        <v>0</v>
      </c>
      <c r="U967" s="98">
        <v>0</v>
      </c>
      <c r="V967" s="101">
        <f t="shared" si="713"/>
        <v>0</v>
      </c>
      <c r="W967" s="100">
        <v>0</v>
      </c>
      <c r="X967" s="98">
        <v>0</v>
      </c>
      <c r="Y967" s="147">
        <f t="shared" si="712"/>
        <v>0</v>
      </c>
      <c r="Z967" s="150"/>
    </row>
    <row r="968" spans="2:26" s="35" customFormat="1" ht="17.100000000000001" customHeight="1">
      <c r="B968" s="105"/>
      <c r="C968" s="54"/>
      <c r="D968" s="96"/>
      <c r="E968" s="111"/>
      <c r="F968" s="112"/>
      <c r="G968" s="113"/>
      <c r="H968" s="100">
        <v>0</v>
      </c>
      <c r="I968" s="98">
        <v>0</v>
      </c>
      <c r="J968" s="101">
        <f t="shared" si="708"/>
        <v>0</v>
      </c>
      <c r="K968" s="100">
        <v>0</v>
      </c>
      <c r="L968" s="98">
        <v>0</v>
      </c>
      <c r="M968" s="101">
        <f t="shared" si="709"/>
        <v>0</v>
      </c>
      <c r="N968" s="100">
        <v>0</v>
      </c>
      <c r="O968" s="98">
        <v>0</v>
      </c>
      <c r="P968" s="101">
        <f t="shared" si="710"/>
        <v>0</v>
      </c>
      <c r="Q968" s="100">
        <v>0</v>
      </c>
      <c r="R968" s="98">
        <v>0</v>
      </c>
      <c r="S968" s="101">
        <f t="shared" si="711"/>
        <v>0</v>
      </c>
      <c r="T968" s="100">
        <v>0</v>
      </c>
      <c r="U968" s="98">
        <v>0</v>
      </c>
      <c r="V968" s="101">
        <f t="shared" si="713"/>
        <v>0</v>
      </c>
      <c r="W968" s="100">
        <v>0</v>
      </c>
      <c r="X968" s="98">
        <v>0</v>
      </c>
      <c r="Y968" s="147">
        <f t="shared" si="712"/>
        <v>0</v>
      </c>
      <c r="Z968" s="150"/>
    </row>
    <row r="969" spans="2:26" s="35" customFormat="1" ht="17.100000000000001" customHeight="1">
      <c r="B969" s="105"/>
      <c r="C969" s="54"/>
      <c r="D969" s="96"/>
      <c r="E969" s="111"/>
      <c r="F969" s="112"/>
      <c r="G969" s="113"/>
      <c r="H969" s="100">
        <v>0</v>
      </c>
      <c r="I969" s="98">
        <v>0</v>
      </c>
      <c r="J969" s="101">
        <f t="shared" si="708"/>
        <v>0</v>
      </c>
      <c r="K969" s="100">
        <v>0</v>
      </c>
      <c r="L969" s="98">
        <v>0</v>
      </c>
      <c r="M969" s="101">
        <f t="shared" si="709"/>
        <v>0</v>
      </c>
      <c r="N969" s="100">
        <v>0</v>
      </c>
      <c r="O969" s="98">
        <v>0</v>
      </c>
      <c r="P969" s="101">
        <f t="shared" si="710"/>
        <v>0</v>
      </c>
      <c r="Q969" s="100">
        <v>0</v>
      </c>
      <c r="R969" s="98">
        <v>0</v>
      </c>
      <c r="S969" s="101">
        <f t="shared" si="711"/>
        <v>0</v>
      </c>
      <c r="T969" s="100">
        <v>0</v>
      </c>
      <c r="U969" s="98">
        <v>0</v>
      </c>
      <c r="V969" s="101">
        <f t="shared" si="713"/>
        <v>0</v>
      </c>
      <c r="W969" s="100">
        <v>0</v>
      </c>
      <c r="X969" s="98">
        <v>0</v>
      </c>
      <c r="Y969" s="147">
        <f t="shared" si="712"/>
        <v>0</v>
      </c>
      <c r="Z969" s="150"/>
    </row>
    <row r="970" spans="2:26" s="35" customFormat="1" ht="17.100000000000001" customHeight="1">
      <c r="B970" s="105"/>
      <c r="C970" s="54"/>
      <c r="D970" s="96"/>
      <c r="E970" s="111"/>
      <c r="F970" s="112"/>
      <c r="G970" s="113"/>
      <c r="H970" s="100">
        <v>0</v>
      </c>
      <c r="I970" s="98">
        <v>0</v>
      </c>
      <c r="J970" s="101">
        <f t="shared" si="708"/>
        <v>0</v>
      </c>
      <c r="K970" s="100">
        <v>0</v>
      </c>
      <c r="L970" s="98">
        <v>0</v>
      </c>
      <c r="M970" s="101">
        <f t="shared" si="709"/>
        <v>0</v>
      </c>
      <c r="N970" s="100">
        <v>0</v>
      </c>
      <c r="O970" s="98">
        <v>0</v>
      </c>
      <c r="P970" s="101">
        <f t="shared" si="710"/>
        <v>0</v>
      </c>
      <c r="Q970" s="100">
        <v>0</v>
      </c>
      <c r="R970" s="98">
        <v>0</v>
      </c>
      <c r="S970" s="101">
        <f t="shared" si="711"/>
        <v>0</v>
      </c>
      <c r="T970" s="100">
        <v>0</v>
      </c>
      <c r="U970" s="98">
        <v>0</v>
      </c>
      <c r="V970" s="101">
        <f t="shared" si="713"/>
        <v>0</v>
      </c>
      <c r="W970" s="100">
        <v>0</v>
      </c>
      <c r="X970" s="98">
        <v>0</v>
      </c>
      <c r="Y970" s="147">
        <f t="shared" si="712"/>
        <v>0</v>
      </c>
      <c r="Z970" s="150"/>
    </row>
    <row r="971" spans="2:26" s="35" customFormat="1" ht="17.100000000000001" customHeight="1">
      <c r="B971" s="105"/>
      <c r="C971" s="54"/>
      <c r="D971" s="96"/>
      <c r="E971" s="111"/>
      <c r="F971" s="112"/>
      <c r="G971" s="113"/>
      <c r="H971" s="100">
        <v>0</v>
      </c>
      <c r="I971" s="98">
        <v>0</v>
      </c>
      <c r="J971" s="101">
        <f t="shared" si="708"/>
        <v>0</v>
      </c>
      <c r="K971" s="100">
        <v>0</v>
      </c>
      <c r="L971" s="98">
        <v>0</v>
      </c>
      <c r="M971" s="101">
        <f t="shared" si="709"/>
        <v>0</v>
      </c>
      <c r="N971" s="100">
        <v>0</v>
      </c>
      <c r="O971" s="98">
        <v>0</v>
      </c>
      <c r="P971" s="101">
        <f t="shared" si="710"/>
        <v>0</v>
      </c>
      <c r="Q971" s="100">
        <v>0</v>
      </c>
      <c r="R971" s="98">
        <v>0</v>
      </c>
      <c r="S971" s="101">
        <f t="shared" si="711"/>
        <v>0</v>
      </c>
      <c r="T971" s="100">
        <v>0</v>
      </c>
      <c r="U971" s="98">
        <v>0</v>
      </c>
      <c r="V971" s="101">
        <f t="shared" si="713"/>
        <v>0</v>
      </c>
      <c r="W971" s="100">
        <v>0</v>
      </c>
      <c r="X971" s="98">
        <v>0</v>
      </c>
      <c r="Y971" s="147">
        <f t="shared" si="712"/>
        <v>0</v>
      </c>
      <c r="Z971" s="150"/>
    </row>
    <row r="972" spans="2:26" s="126" customFormat="1" ht="17.100000000000001" customHeight="1">
      <c r="B972" s="118"/>
      <c r="C972" s="119"/>
      <c r="D972" s="120"/>
      <c r="E972" s="121"/>
      <c r="F972" s="122"/>
      <c r="G972" s="123"/>
      <c r="H972" s="341" t="s">
        <v>201</v>
      </c>
      <c r="I972" s="342"/>
      <c r="J972" s="124">
        <f>SUM(J965:J971)</f>
        <v>0</v>
      </c>
      <c r="K972" s="341" t="s">
        <v>201</v>
      </c>
      <c r="L972" s="342"/>
      <c r="M972" s="124">
        <f>SUM(M965:M971)</f>
        <v>0</v>
      </c>
      <c r="N972" s="341" t="s">
        <v>201</v>
      </c>
      <c r="O972" s="342"/>
      <c r="P972" s="124">
        <f>SUM(P965:P971)</f>
        <v>0</v>
      </c>
      <c r="Q972" s="341" t="s">
        <v>201</v>
      </c>
      <c r="R972" s="342"/>
      <c r="S972" s="124">
        <f>SUM(S965:S971)</f>
        <v>0</v>
      </c>
      <c r="T972" s="341" t="s">
        <v>201</v>
      </c>
      <c r="U972" s="342"/>
      <c r="V972" s="124">
        <f>SUM(V965:V971)</f>
        <v>0</v>
      </c>
      <c r="W972" s="341" t="s">
        <v>201</v>
      </c>
      <c r="X972" s="342"/>
      <c r="Y972" s="127">
        <f>SUM(Y965:Y971)</f>
        <v>0</v>
      </c>
      <c r="Z972" s="151"/>
    </row>
    <row r="973" spans="2:26" s="35" customFormat="1" ht="17.100000000000001" customHeight="1">
      <c r="B973" s="248"/>
      <c r="C973" s="249">
        <f>'2. Rekap Back Up Beton'!C140</f>
        <v>21700</v>
      </c>
      <c r="D973" s="250">
        <f>'2. Rekap Back Up Beton'!D140</f>
        <v>21780</v>
      </c>
      <c r="E973" s="251">
        <f>'2. Rekap Back Up Beton'!E140</f>
        <v>5</v>
      </c>
      <c r="F973" s="112">
        <f>(100/((D973-C973)*E973))*((J980*0.5)+(M980*1)+(P980*2)+(S980*20)+(V980*15)+(Y980*1.5))</f>
        <v>0</v>
      </c>
      <c r="G973" s="113" t="str">
        <f>IF(F973&lt;=25,"B",IF(F973&lt;=75,"S",IF(F973&lt;=100,"RR","RB")))</f>
        <v>B</v>
      </c>
      <c r="H973" s="100">
        <v>0</v>
      </c>
      <c r="I973" s="98">
        <v>0</v>
      </c>
      <c r="J973" s="101">
        <f t="shared" ref="J973:J979" si="714">H973*I973</f>
        <v>0</v>
      </c>
      <c r="K973" s="100">
        <v>0</v>
      </c>
      <c r="L973" s="98">
        <v>0</v>
      </c>
      <c r="M973" s="101">
        <f t="shared" ref="M973:M979" si="715">K973*L973</f>
        <v>0</v>
      </c>
      <c r="N973" s="100">
        <v>0</v>
      </c>
      <c r="O973" s="98">
        <v>4</v>
      </c>
      <c r="P973" s="101">
        <f t="shared" ref="P973:P979" si="716">N973*O973</f>
        <v>0</v>
      </c>
      <c r="Q973" s="100">
        <v>0</v>
      </c>
      <c r="R973" s="98">
        <v>0</v>
      </c>
      <c r="S973" s="101">
        <f t="shared" ref="S973:S979" si="717">Q973*R973</f>
        <v>0</v>
      </c>
      <c r="T973" s="100">
        <v>0</v>
      </c>
      <c r="U973" s="98">
        <v>0</v>
      </c>
      <c r="V973" s="101">
        <f>T973*U973</f>
        <v>0</v>
      </c>
      <c r="W973" s="100">
        <v>0</v>
      </c>
      <c r="X973" s="98">
        <v>0</v>
      </c>
      <c r="Y973" s="147">
        <f t="shared" ref="Y973:Y979" si="718">W973*X973</f>
        <v>0</v>
      </c>
      <c r="Z973" s="150"/>
    </row>
    <row r="974" spans="2:26" s="35" customFormat="1" ht="17.100000000000001" customHeight="1">
      <c r="B974" s="105"/>
      <c r="C974" s="54"/>
      <c r="D974" s="96"/>
      <c r="E974" s="111"/>
      <c r="F974" s="112"/>
      <c r="G974" s="113"/>
      <c r="H974" s="100">
        <v>0</v>
      </c>
      <c r="I974" s="98">
        <v>0</v>
      </c>
      <c r="J974" s="101">
        <f t="shared" si="714"/>
        <v>0</v>
      </c>
      <c r="K974" s="100">
        <v>0</v>
      </c>
      <c r="L974" s="98">
        <v>0</v>
      </c>
      <c r="M974" s="101">
        <f t="shared" si="715"/>
        <v>0</v>
      </c>
      <c r="N974" s="100">
        <v>0</v>
      </c>
      <c r="O974" s="98">
        <v>0</v>
      </c>
      <c r="P974" s="101">
        <f t="shared" si="716"/>
        <v>0</v>
      </c>
      <c r="Q974" s="100">
        <v>0</v>
      </c>
      <c r="R974" s="98">
        <v>0</v>
      </c>
      <c r="S974" s="101">
        <f t="shared" si="717"/>
        <v>0</v>
      </c>
      <c r="T974" s="100">
        <v>0</v>
      </c>
      <c r="U974" s="98">
        <v>0</v>
      </c>
      <c r="V974" s="101">
        <f t="shared" ref="V974:V979" si="719">T974*U974</f>
        <v>0</v>
      </c>
      <c r="W974" s="100">
        <v>0</v>
      </c>
      <c r="X974" s="98">
        <v>0</v>
      </c>
      <c r="Y974" s="147">
        <f t="shared" si="718"/>
        <v>0</v>
      </c>
      <c r="Z974" s="150"/>
    </row>
    <row r="975" spans="2:26" s="35" customFormat="1" ht="17.100000000000001" customHeight="1">
      <c r="B975" s="105"/>
      <c r="C975" s="54"/>
      <c r="D975" s="96"/>
      <c r="E975" s="111"/>
      <c r="F975" s="112"/>
      <c r="G975" s="113"/>
      <c r="H975" s="100">
        <v>0</v>
      </c>
      <c r="I975" s="98">
        <v>0</v>
      </c>
      <c r="J975" s="101">
        <f t="shared" si="714"/>
        <v>0</v>
      </c>
      <c r="K975" s="100">
        <v>0</v>
      </c>
      <c r="L975" s="98">
        <v>0</v>
      </c>
      <c r="M975" s="101">
        <f t="shared" si="715"/>
        <v>0</v>
      </c>
      <c r="N975" s="100">
        <v>0</v>
      </c>
      <c r="O975" s="98">
        <v>0</v>
      </c>
      <c r="P975" s="101">
        <f t="shared" si="716"/>
        <v>0</v>
      </c>
      <c r="Q975" s="100">
        <v>0</v>
      </c>
      <c r="R975" s="98">
        <v>0</v>
      </c>
      <c r="S975" s="101">
        <f t="shared" si="717"/>
        <v>0</v>
      </c>
      <c r="T975" s="100">
        <v>0</v>
      </c>
      <c r="U975" s="98">
        <v>0</v>
      </c>
      <c r="V975" s="101">
        <f t="shared" si="719"/>
        <v>0</v>
      </c>
      <c r="W975" s="100">
        <v>0</v>
      </c>
      <c r="X975" s="98">
        <v>0</v>
      </c>
      <c r="Y975" s="147">
        <f t="shared" si="718"/>
        <v>0</v>
      </c>
      <c r="Z975" s="150"/>
    </row>
    <row r="976" spans="2:26" s="35" customFormat="1" ht="17.100000000000001" customHeight="1">
      <c r="B976" s="105"/>
      <c r="C976" s="54"/>
      <c r="D976" s="96"/>
      <c r="E976" s="111"/>
      <c r="F976" s="112"/>
      <c r="G976" s="113"/>
      <c r="H976" s="100">
        <v>0</v>
      </c>
      <c r="I976" s="98">
        <v>0</v>
      </c>
      <c r="J976" s="101">
        <f t="shared" si="714"/>
        <v>0</v>
      </c>
      <c r="K976" s="100">
        <v>0</v>
      </c>
      <c r="L976" s="98">
        <v>0</v>
      </c>
      <c r="M976" s="101">
        <f t="shared" si="715"/>
        <v>0</v>
      </c>
      <c r="N976" s="100">
        <v>0</v>
      </c>
      <c r="O976" s="98">
        <v>0</v>
      </c>
      <c r="P976" s="101">
        <f t="shared" si="716"/>
        <v>0</v>
      </c>
      <c r="Q976" s="100">
        <v>0</v>
      </c>
      <c r="R976" s="98">
        <v>0</v>
      </c>
      <c r="S976" s="101">
        <f t="shared" si="717"/>
        <v>0</v>
      </c>
      <c r="T976" s="100">
        <v>0</v>
      </c>
      <c r="U976" s="98">
        <v>0</v>
      </c>
      <c r="V976" s="101">
        <f t="shared" si="719"/>
        <v>0</v>
      </c>
      <c r="W976" s="100">
        <v>0</v>
      </c>
      <c r="X976" s="98">
        <v>0</v>
      </c>
      <c r="Y976" s="147">
        <f t="shared" si="718"/>
        <v>0</v>
      </c>
      <c r="Z976" s="150"/>
    </row>
    <row r="977" spans="2:26" s="35" customFormat="1" ht="17.100000000000001" customHeight="1">
      <c r="B977" s="105"/>
      <c r="C977" s="54"/>
      <c r="D977" s="96"/>
      <c r="E977" s="111"/>
      <c r="F977" s="112"/>
      <c r="G977" s="113"/>
      <c r="H977" s="100">
        <v>0</v>
      </c>
      <c r="I977" s="98">
        <v>0</v>
      </c>
      <c r="J977" s="101">
        <f t="shared" si="714"/>
        <v>0</v>
      </c>
      <c r="K977" s="100">
        <v>0</v>
      </c>
      <c r="L977" s="98">
        <v>0</v>
      </c>
      <c r="M977" s="101">
        <f t="shared" si="715"/>
        <v>0</v>
      </c>
      <c r="N977" s="100">
        <v>0</v>
      </c>
      <c r="O977" s="98">
        <v>0</v>
      </c>
      <c r="P977" s="101">
        <f t="shared" si="716"/>
        <v>0</v>
      </c>
      <c r="Q977" s="100">
        <v>0</v>
      </c>
      <c r="R977" s="98">
        <v>0</v>
      </c>
      <c r="S977" s="101">
        <f t="shared" si="717"/>
        <v>0</v>
      </c>
      <c r="T977" s="100">
        <v>0</v>
      </c>
      <c r="U977" s="98">
        <v>0</v>
      </c>
      <c r="V977" s="101">
        <f t="shared" si="719"/>
        <v>0</v>
      </c>
      <c r="W977" s="100">
        <v>0</v>
      </c>
      <c r="X977" s="98">
        <v>0</v>
      </c>
      <c r="Y977" s="147">
        <f t="shared" si="718"/>
        <v>0</v>
      </c>
      <c r="Z977" s="150"/>
    </row>
    <row r="978" spans="2:26" s="35" customFormat="1" ht="17.100000000000001" customHeight="1">
      <c r="B978" s="105"/>
      <c r="C978" s="54"/>
      <c r="D978" s="96"/>
      <c r="E978" s="111"/>
      <c r="F978" s="112"/>
      <c r="G978" s="113"/>
      <c r="H978" s="100">
        <v>0</v>
      </c>
      <c r="I978" s="98">
        <v>0</v>
      </c>
      <c r="J978" s="101">
        <f t="shared" si="714"/>
        <v>0</v>
      </c>
      <c r="K978" s="100">
        <v>0</v>
      </c>
      <c r="L978" s="98">
        <v>0</v>
      </c>
      <c r="M978" s="101">
        <f t="shared" si="715"/>
        <v>0</v>
      </c>
      <c r="N978" s="100">
        <v>0</v>
      </c>
      <c r="O978" s="98">
        <v>0</v>
      </c>
      <c r="P978" s="101">
        <f t="shared" si="716"/>
        <v>0</v>
      </c>
      <c r="Q978" s="100">
        <v>0</v>
      </c>
      <c r="R978" s="98">
        <v>0</v>
      </c>
      <c r="S978" s="101">
        <f t="shared" si="717"/>
        <v>0</v>
      </c>
      <c r="T978" s="100">
        <v>0</v>
      </c>
      <c r="U978" s="98">
        <v>0</v>
      </c>
      <c r="V978" s="101">
        <f t="shared" si="719"/>
        <v>0</v>
      </c>
      <c r="W978" s="100">
        <v>0</v>
      </c>
      <c r="X978" s="98">
        <v>0</v>
      </c>
      <c r="Y978" s="147">
        <f t="shared" si="718"/>
        <v>0</v>
      </c>
      <c r="Z978" s="150"/>
    </row>
    <row r="979" spans="2:26" s="35" customFormat="1" ht="17.100000000000001" customHeight="1">
      <c r="B979" s="105"/>
      <c r="C979" s="54"/>
      <c r="D979" s="96"/>
      <c r="E979" s="111"/>
      <c r="F979" s="112"/>
      <c r="G979" s="113"/>
      <c r="H979" s="100">
        <v>0</v>
      </c>
      <c r="I979" s="98">
        <v>0</v>
      </c>
      <c r="J979" s="101">
        <f t="shared" si="714"/>
        <v>0</v>
      </c>
      <c r="K979" s="100">
        <v>0</v>
      </c>
      <c r="L979" s="98">
        <v>0</v>
      </c>
      <c r="M979" s="101">
        <f t="shared" si="715"/>
        <v>0</v>
      </c>
      <c r="N979" s="100">
        <v>0</v>
      </c>
      <c r="O979" s="98">
        <v>0</v>
      </c>
      <c r="P979" s="101">
        <f t="shared" si="716"/>
        <v>0</v>
      </c>
      <c r="Q979" s="100">
        <v>0</v>
      </c>
      <c r="R979" s="98">
        <v>0</v>
      </c>
      <c r="S979" s="101">
        <f t="shared" si="717"/>
        <v>0</v>
      </c>
      <c r="T979" s="100">
        <v>0</v>
      </c>
      <c r="U979" s="98">
        <v>0</v>
      </c>
      <c r="V979" s="101">
        <f t="shared" si="719"/>
        <v>0</v>
      </c>
      <c r="W979" s="100">
        <v>0</v>
      </c>
      <c r="X979" s="98">
        <v>0</v>
      </c>
      <c r="Y979" s="147">
        <f t="shared" si="718"/>
        <v>0</v>
      </c>
      <c r="Z979" s="150"/>
    </row>
    <row r="980" spans="2:26" s="126" customFormat="1" ht="17.100000000000001" customHeight="1">
      <c r="B980" s="118"/>
      <c r="C980" s="119"/>
      <c r="D980" s="120"/>
      <c r="E980" s="121"/>
      <c r="F980" s="122"/>
      <c r="G980" s="123"/>
      <c r="H980" s="341" t="s">
        <v>201</v>
      </c>
      <c r="I980" s="342"/>
      <c r="J980" s="124">
        <f>SUM(J973:J979)</f>
        <v>0</v>
      </c>
      <c r="K980" s="341" t="s">
        <v>201</v>
      </c>
      <c r="L980" s="342"/>
      <c r="M980" s="124">
        <f>SUM(M973:M979)</f>
        <v>0</v>
      </c>
      <c r="N980" s="341" t="s">
        <v>201</v>
      </c>
      <c r="O980" s="342"/>
      <c r="P980" s="124">
        <f>SUM(P973:P979)</f>
        <v>0</v>
      </c>
      <c r="Q980" s="341" t="s">
        <v>201</v>
      </c>
      <c r="R980" s="342"/>
      <c r="S980" s="124">
        <f>SUM(S973:S979)</f>
        <v>0</v>
      </c>
      <c r="T980" s="341" t="s">
        <v>201</v>
      </c>
      <c r="U980" s="342"/>
      <c r="V980" s="124">
        <f>SUM(V973:V979)</f>
        <v>0</v>
      </c>
      <c r="W980" s="341" t="s">
        <v>201</v>
      </c>
      <c r="X980" s="342"/>
      <c r="Y980" s="127">
        <f>SUM(Y973:Y979)</f>
        <v>0</v>
      </c>
      <c r="Z980" s="151"/>
    </row>
    <row r="981" spans="2:26" s="35" customFormat="1" ht="17.100000000000001" customHeight="1">
      <c r="B981" s="105"/>
      <c r="C981" s="54">
        <f>'2. Rekap Back Up Beton'!C141</f>
        <v>22150</v>
      </c>
      <c r="D981" s="96">
        <f>'2. Rekap Back Up Beton'!D141</f>
        <v>22200</v>
      </c>
      <c r="E981" s="111">
        <f>'2. Rekap Back Up Beton'!E141</f>
        <v>5</v>
      </c>
      <c r="F981" s="112">
        <f>(100/((D981-C981)*E981))*((J988*0.5)+(M988*1)+(P988*2)+(S988*20)+(V988*15)+(Y988*1.5))</f>
        <v>50</v>
      </c>
      <c r="G981" s="113" t="str">
        <f>IF(F981&lt;=25,"B",IF(F981&lt;=75,"S",IF(F981&lt;=100,"RR","RB")))</f>
        <v>S</v>
      </c>
      <c r="H981" s="100">
        <v>50</v>
      </c>
      <c r="I981" s="98">
        <v>5</v>
      </c>
      <c r="J981" s="101">
        <f t="shared" ref="J981:J987" si="720">H981*I981</f>
        <v>250</v>
      </c>
      <c r="K981" s="100">
        <v>0</v>
      </c>
      <c r="L981" s="98">
        <v>0</v>
      </c>
      <c r="M981" s="101">
        <f t="shared" ref="M981:M987" si="721">K981*L981</f>
        <v>0</v>
      </c>
      <c r="N981" s="100">
        <v>0</v>
      </c>
      <c r="O981" s="98">
        <v>4</v>
      </c>
      <c r="P981" s="101">
        <f t="shared" ref="P981:P987" si="722">N981*O981</f>
        <v>0</v>
      </c>
      <c r="Q981" s="100">
        <v>0</v>
      </c>
      <c r="R981" s="98">
        <v>0</v>
      </c>
      <c r="S981" s="101">
        <f t="shared" ref="S981:S987" si="723">Q981*R981</f>
        <v>0</v>
      </c>
      <c r="T981" s="100">
        <v>0</v>
      </c>
      <c r="U981" s="98">
        <v>0</v>
      </c>
      <c r="V981" s="101">
        <f>T981*U981</f>
        <v>0</v>
      </c>
      <c r="W981" s="100">
        <v>0</v>
      </c>
      <c r="X981" s="98">
        <v>0</v>
      </c>
      <c r="Y981" s="147">
        <f t="shared" ref="Y981:Y987" si="724">W981*X981</f>
        <v>0</v>
      </c>
      <c r="Z981" s="150"/>
    </row>
    <row r="982" spans="2:26" s="35" customFormat="1" ht="17.100000000000001" customHeight="1">
      <c r="B982" s="105"/>
      <c r="C982" s="54"/>
      <c r="D982" s="96"/>
      <c r="E982" s="111"/>
      <c r="F982" s="112"/>
      <c r="G982" s="113"/>
      <c r="H982" s="100">
        <v>0</v>
      </c>
      <c r="I982" s="98">
        <v>0</v>
      </c>
      <c r="J982" s="101">
        <f t="shared" si="720"/>
        <v>0</v>
      </c>
      <c r="K982" s="100">
        <v>0</v>
      </c>
      <c r="L982" s="98">
        <v>0</v>
      </c>
      <c r="M982" s="101">
        <f t="shared" si="721"/>
        <v>0</v>
      </c>
      <c r="N982" s="100">
        <v>0</v>
      </c>
      <c r="O982" s="98">
        <v>0</v>
      </c>
      <c r="P982" s="101">
        <f t="shared" si="722"/>
        <v>0</v>
      </c>
      <c r="Q982" s="100">
        <v>0</v>
      </c>
      <c r="R982" s="98">
        <v>0</v>
      </c>
      <c r="S982" s="101">
        <f t="shared" si="723"/>
        <v>0</v>
      </c>
      <c r="T982" s="100">
        <v>0</v>
      </c>
      <c r="U982" s="98">
        <v>0</v>
      </c>
      <c r="V982" s="101">
        <f t="shared" ref="V982:V987" si="725">T982*U982</f>
        <v>0</v>
      </c>
      <c r="W982" s="100">
        <v>0</v>
      </c>
      <c r="X982" s="98">
        <v>0</v>
      </c>
      <c r="Y982" s="147">
        <f t="shared" si="724"/>
        <v>0</v>
      </c>
      <c r="Z982" s="150"/>
    </row>
    <row r="983" spans="2:26" s="35" customFormat="1" ht="17.100000000000001" customHeight="1">
      <c r="B983" s="105"/>
      <c r="C983" s="54"/>
      <c r="D983" s="96"/>
      <c r="E983" s="111"/>
      <c r="F983" s="112"/>
      <c r="G983" s="113"/>
      <c r="H983" s="100">
        <v>0</v>
      </c>
      <c r="I983" s="98">
        <v>0</v>
      </c>
      <c r="J983" s="101">
        <f t="shared" si="720"/>
        <v>0</v>
      </c>
      <c r="K983" s="100">
        <v>0</v>
      </c>
      <c r="L983" s="98">
        <v>0</v>
      </c>
      <c r="M983" s="101">
        <f t="shared" si="721"/>
        <v>0</v>
      </c>
      <c r="N983" s="100">
        <v>0</v>
      </c>
      <c r="O983" s="98">
        <v>0</v>
      </c>
      <c r="P983" s="101">
        <f t="shared" si="722"/>
        <v>0</v>
      </c>
      <c r="Q983" s="100">
        <v>0</v>
      </c>
      <c r="R983" s="98">
        <v>0</v>
      </c>
      <c r="S983" s="101">
        <f t="shared" si="723"/>
        <v>0</v>
      </c>
      <c r="T983" s="100">
        <v>0</v>
      </c>
      <c r="U983" s="98">
        <v>0</v>
      </c>
      <c r="V983" s="101">
        <f t="shared" si="725"/>
        <v>0</v>
      </c>
      <c r="W983" s="100">
        <v>0</v>
      </c>
      <c r="X983" s="98">
        <v>0</v>
      </c>
      <c r="Y983" s="147">
        <f t="shared" si="724"/>
        <v>0</v>
      </c>
      <c r="Z983" s="150"/>
    </row>
    <row r="984" spans="2:26" s="35" customFormat="1" ht="17.100000000000001" customHeight="1">
      <c r="B984" s="105"/>
      <c r="C984" s="54"/>
      <c r="D984" s="96"/>
      <c r="E984" s="111"/>
      <c r="F984" s="112"/>
      <c r="G984" s="113"/>
      <c r="H984" s="100">
        <v>0</v>
      </c>
      <c r="I984" s="98">
        <v>0</v>
      </c>
      <c r="J984" s="101">
        <f t="shared" si="720"/>
        <v>0</v>
      </c>
      <c r="K984" s="100">
        <v>0</v>
      </c>
      <c r="L984" s="98">
        <v>0</v>
      </c>
      <c r="M984" s="101">
        <f t="shared" si="721"/>
        <v>0</v>
      </c>
      <c r="N984" s="100">
        <v>0</v>
      </c>
      <c r="O984" s="98">
        <v>0</v>
      </c>
      <c r="P984" s="101">
        <f t="shared" si="722"/>
        <v>0</v>
      </c>
      <c r="Q984" s="100">
        <v>0</v>
      </c>
      <c r="R984" s="98">
        <v>0</v>
      </c>
      <c r="S984" s="101">
        <f t="shared" si="723"/>
        <v>0</v>
      </c>
      <c r="T984" s="100">
        <v>0</v>
      </c>
      <c r="U984" s="98">
        <v>0</v>
      </c>
      <c r="V984" s="101">
        <f t="shared" si="725"/>
        <v>0</v>
      </c>
      <c r="W984" s="100">
        <v>0</v>
      </c>
      <c r="X984" s="98">
        <v>0</v>
      </c>
      <c r="Y984" s="147">
        <f t="shared" si="724"/>
        <v>0</v>
      </c>
      <c r="Z984" s="150"/>
    </row>
    <row r="985" spans="2:26" s="35" customFormat="1" ht="17.100000000000001" customHeight="1">
      <c r="B985" s="105"/>
      <c r="C985" s="54"/>
      <c r="D985" s="96"/>
      <c r="E985" s="111"/>
      <c r="F985" s="112"/>
      <c r="G985" s="113"/>
      <c r="H985" s="100">
        <v>0</v>
      </c>
      <c r="I985" s="98">
        <v>0</v>
      </c>
      <c r="J985" s="101">
        <f t="shared" si="720"/>
        <v>0</v>
      </c>
      <c r="K985" s="100">
        <v>0</v>
      </c>
      <c r="L985" s="98">
        <v>0</v>
      </c>
      <c r="M985" s="101">
        <f t="shared" si="721"/>
        <v>0</v>
      </c>
      <c r="N985" s="100">
        <v>0</v>
      </c>
      <c r="O985" s="98">
        <v>0</v>
      </c>
      <c r="P985" s="101">
        <f t="shared" si="722"/>
        <v>0</v>
      </c>
      <c r="Q985" s="100">
        <v>0</v>
      </c>
      <c r="R985" s="98">
        <v>0</v>
      </c>
      <c r="S985" s="101">
        <f t="shared" si="723"/>
        <v>0</v>
      </c>
      <c r="T985" s="100">
        <v>0</v>
      </c>
      <c r="U985" s="98">
        <v>0</v>
      </c>
      <c r="V985" s="101">
        <f t="shared" si="725"/>
        <v>0</v>
      </c>
      <c r="W985" s="100">
        <v>0</v>
      </c>
      <c r="X985" s="98">
        <v>0</v>
      </c>
      <c r="Y985" s="147">
        <f t="shared" si="724"/>
        <v>0</v>
      </c>
      <c r="Z985" s="150"/>
    </row>
    <row r="986" spans="2:26" s="35" customFormat="1" ht="17.100000000000001" customHeight="1">
      <c r="B986" s="105"/>
      <c r="C986" s="54"/>
      <c r="D986" s="96"/>
      <c r="E986" s="111"/>
      <c r="F986" s="112"/>
      <c r="G986" s="113"/>
      <c r="H986" s="100">
        <v>0</v>
      </c>
      <c r="I986" s="98">
        <v>0</v>
      </c>
      <c r="J986" s="101">
        <f t="shared" si="720"/>
        <v>0</v>
      </c>
      <c r="K986" s="100">
        <v>0</v>
      </c>
      <c r="L986" s="98">
        <v>0</v>
      </c>
      <c r="M986" s="101">
        <f t="shared" si="721"/>
        <v>0</v>
      </c>
      <c r="N986" s="100">
        <v>0</v>
      </c>
      <c r="O986" s="98">
        <v>0</v>
      </c>
      <c r="P986" s="101">
        <f t="shared" si="722"/>
        <v>0</v>
      </c>
      <c r="Q986" s="100">
        <v>0</v>
      </c>
      <c r="R986" s="98">
        <v>0</v>
      </c>
      <c r="S986" s="101">
        <f t="shared" si="723"/>
        <v>0</v>
      </c>
      <c r="T986" s="100">
        <v>0</v>
      </c>
      <c r="U986" s="98">
        <v>0</v>
      </c>
      <c r="V986" s="101">
        <f t="shared" si="725"/>
        <v>0</v>
      </c>
      <c r="W986" s="100">
        <v>0</v>
      </c>
      <c r="X986" s="98">
        <v>0</v>
      </c>
      <c r="Y986" s="147">
        <f t="shared" si="724"/>
        <v>0</v>
      </c>
      <c r="Z986" s="150"/>
    </row>
    <row r="987" spans="2:26" s="35" customFormat="1" ht="17.100000000000001" customHeight="1">
      <c r="B987" s="105"/>
      <c r="C987" s="54"/>
      <c r="D987" s="96"/>
      <c r="E987" s="111"/>
      <c r="F987" s="112"/>
      <c r="G987" s="113"/>
      <c r="H987" s="100">
        <v>0</v>
      </c>
      <c r="I987" s="98">
        <v>0</v>
      </c>
      <c r="J987" s="101">
        <f t="shared" si="720"/>
        <v>0</v>
      </c>
      <c r="K987" s="100">
        <v>0</v>
      </c>
      <c r="L987" s="98">
        <v>0</v>
      </c>
      <c r="M987" s="101">
        <f t="shared" si="721"/>
        <v>0</v>
      </c>
      <c r="N987" s="100">
        <v>0</v>
      </c>
      <c r="O987" s="98">
        <v>0</v>
      </c>
      <c r="P987" s="101">
        <f t="shared" si="722"/>
        <v>0</v>
      </c>
      <c r="Q987" s="100">
        <v>0</v>
      </c>
      <c r="R987" s="98">
        <v>0</v>
      </c>
      <c r="S987" s="101">
        <f t="shared" si="723"/>
        <v>0</v>
      </c>
      <c r="T987" s="100">
        <v>0</v>
      </c>
      <c r="U987" s="98">
        <v>0</v>
      </c>
      <c r="V987" s="101">
        <f t="shared" si="725"/>
        <v>0</v>
      </c>
      <c r="W987" s="100">
        <v>0</v>
      </c>
      <c r="X987" s="98">
        <v>0</v>
      </c>
      <c r="Y987" s="147">
        <f t="shared" si="724"/>
        <v>0</v>
      </c>
      <c r="Z987" s="150"/>
    </row>
    <row r="988" spans="2:26" s="126" customFormat="1" ht="17.100000000000001" customHeight="1">
      <c r="B988" s="118"/>
      <c r="C988" s="119"/>
      <c r="D988" s="120"/>
      <c r="E988" s="121"/>
      <c r="F988" s="122"/>
      <c r="G988" s="123"/>
      <c r="H988" s="341" t="s">
        <v>201</v>
      </c>
      <c r="I988" s="342"/>
      <c r="J988" s="124">
        <f>SUM(J981:J987)</f>
        <v>250</v>
      </c>
      <c r="K988" s="341" t="s">
        <v>201</v>
      </c>
      <c r="L988" s="342"/>
      <c r="M988" s="124">
        <f>SUM(M981:M987)</f>
        <v>0</v>
      </c>
      <c r="N988" s="341" t="s">
        <v>201</v>
      </c>
      <c r="O988" s="342"/>
      <c r="P988" s="124">
        <f>SUM(P981:P987)</f>
        <v>0</v>
      </c>
      <c r="Q988" s="341" t="s">
        <v>201</v>
      </c>
      <c r="R988" s="342"/>
      <c r="S988" s="124">
        <f>SUM(S981:S987)</f>
        <v>0</v>
      </c>
      <c r="T988" s="341" t="s">
        <v>201</v>
      </c>
      <c r="U988" s="342"/>
      <c r="V988" s="124">
        <f>SUM(V981:V987)</f>
        <v>0</v>
      </c>
      <c r="W988" s="341" t="s">
        <v>201</v>
      </c>
      <c r="X988" s="342"/>
      <c r="Y988" s="127">
        <f>SUM(Y981:Y987)</f>
        <v>0</v>
      </c>
      <c r="Z988" s="151"/>
    </row>
    <row r="989" spans="2:26" s="35" customFormat="1" ht="17.100000000000001" customHeight="1">
      <c r="B989" s="105"/>
      <c r="C989" s="54">
        <f>'2. Rekap Back Up Beton'!C142</f>
        <v>22200</v>
      </c>
      <c r="D989" s="96">
        <f>'2. Rekap Back Up Beton'!D142</f>
        <v>22300</v>
      </c>
      <c r="E989" s="111">
        <f>'2. Rekap Back Up Beton'!E142</f>
        <v>5</v>
      </c>
      <c r="F989" s="112">
        <f>(100/((D989-C989)*E989))*((J996*0.5)+(M996*1)+(P996*2)+(S996*20)+(V996*15)+(Y996*1.5))</f>
        <v>50</v>
      </c>
      <c r="G989" s="113" t="str">
        <f>IF(F989&lt;=25,"B",IF(F989&lt;=75,"S",IF(F989&lt;=100,"RR","RB")))</f>
        <v>S</v>
      </c>
      <c r="H989" s="100">
        <v>100</v>
      </c>
      <c r="I989" s="98">
        <v>5</v>
      </c>
      <c r="J989" s="101">
        <f t="shared" ref="J989:J995" si="726">H989*I989</f>
        <v>500</v>
      </c>
      <c r="K989" s="100">
        <v>0</v>
      </c>
      <c r="L989" s="98">
        <v>0</v>
      </c>
      <c r="M989" s="101">
        <f t="shared" ref="M989:M995" si="727">K989*L989</f>
        <v>0</v>
      </c>
      <c r="N989" s="100">
        <v>0</v>
      </c>
      <c r="O989" s="98">
        <v>4</v>
      </c>
      <c r="P989" s="101">
        <f t="shared" ref="P989:P995" si="728">N989*O989</f>
        <v>0</v>
      </c>
      <c r="Q989" s="100">
        <v>0</v>
      </c>
      <c r="R989" s="98">
        <v>0</v>
      </c>
      <c r="S989" s="101">
        <f t="shared" ref="S989:S995" si="729">Q989*R989</f>
        <v>0</v>
      </c>
      <c r="T989" s="100">
        <v>0</v>
      </c>
      <c r="U989" s="98">
        <v>0</v>
      </c>
      <c r="V989" s="101">
        <f>T989*U989</f>
        <v>0</v>
      </c>
      <c r="W989" s="100">
        <v>0</v>
      </c>
      <c r="X989" s="98">
        <v>0</v>
      </c>
      <c r="Y989" s="147">
        <f t="shared" ref="Y989:Y995" si="730">W989*X989</f>
        <v>0</v>
      </c>
      <c r="Z989" s="150"/>
    </row>
    <row r="990" spans="2:26" s="35" customFormat="1" ht="17.100000000000001" customHeight="1">
      <c r="B990" s="105"/>
      <c r="C990" s="54"/>
      <c r="D990" s="96"/>
      <c r="E990" s="111"/>
      <c r="F990" s="112"/>
      <c r="G990" s="113"/>
      <c r="H990" s="100">
        <v>0</v>
      </c>
      <c r="I990" s="98">
        <v>0</v>
      </c>
      <c r="J990" s="101">
        <f t="shared" si="726"/>
        <v>0</v>
      </c>
      <c r="K990" s="100">
        <v>0</v>
      </c>
      <c r="L990" s="98">
        <v>0</v>
      </c>
      <c r="M990" s="101">
        <f t="shared" si="727"/>
        <v>0</v>
      </c>
      <c r="N990" s="100">
        <v>0</v>
      </c>
      <c r="O990" s="98">
        <v>0</v>
      </c>
      <c r="P990" s="101">
        <f t="shared" si="728"/>
        <v>0</v>
      </c>
      <c r="Q990" s="100">
        <v>0</v>
      </c>
      <c r="R990" s="98">
        <v>0</v>
      </c>
      <c r="S990" s="101">
        <f t="shared" si="729"/>
        <v>0</v>
      </c>
      <c r="T990" s="100">
        <v>0</v>
      </c>
      <c r="U990" s="98">
        <v>0</v>
      </c>
      <c r="V990" s="101">
        <f t="shared" ref="V990:V995" si="731">T990*U990</f>
        <v>0</v>
      </c>
      <c r="W990" s="100">
        <v>0</v>
      </c>
      <c r="X990" s="98">
        <v>0</v>
      </c>
      <c r="Y990" s="147">
        <f t="shared" si="730"/>
        <v>0</v>
      </c>
      <c r="Z990" s="150"/>
    </row>
    <row r="991" spans="2:26" s="35" customFormat="1" ht="17.100000000000001" customHeight="1">
      <c r="B991" s="105"/>
      <c r="C991" s="54"/>
      <c r="D991" s="96"/>
      <c r="E991" s="111"/>
      <c r="F991" s="112"/>
      <c r="G991" s="113"/>
      <c r="H991" s="100">
        <v>0</v>
      </c>
      <c r="I991" s="98">
        <v>0</v>
      </c>
      <c r="J991" s="101">
        <f t="shared" si="726"/>
        <v>0</v>
      </c>
      <c r="K991" s="100">
        <v>0</v>
      </c>
      <c r="L991" s="98">
        <v>0</v>
      </c>
      <c r="M991" s="101">
        <f t="shared" si="727"/>
        <v>0</v>
      </c>
      <c r="N991" s="100">
        <v>0</v>
      </c>
      <c r="O991" s="98">
        <v>0</v>
      </c>
      <c r="P991" s="101">
        <f t="shared" si="728"/>
        <v>0</v>
      </c>
      <c r="Q991" s="100">
        <v>0</v>
      </c>
      <c r="R991" s="98">
        <v>0</v>
      </c>
      <c r="S991" s="101">
        <f t="shared" si="729"/>
        <v>0</v>
      </c>
      <c r="T991" s="100">
        <v>0</v>
      </c>
      <c r="U991" s="98">
        <v>0</v>
      </c>
      <c r="V991" s="101">
        <f t="shared" si="731"/>
        <v>0</v>
      </c>
      <c r="W991" s="100">
        <v>0</v>
      </c>
      <c r="X991" s="98">
        <v>0</v>
      </c>
      <c r="Y991" s="147">
        <f t="shared" si="730"/>
        <v>0</v>
      </c>
      <c r="Z991" s="150"/>
    </row>
    <row r="992" spans="2:26" s="35" customFormat="1" ht="17.100000000000001" customHeight="1">
      <c r="B992" s="105"/>
      <c r="C992" s="54"/>
      <c r="D992" s="96"/>
      <c r="E992" s="111"/>
      <c r="F992" s="112"/>
      <c r="G992" s="113"/>
      <c r="H992" s="100">
        <v>0</v>
      </c>
      <c r="I992" s="98">
        <v>0</v>
      </c>
      <c r="J992" s="101">
        <f t="shared" si="726"/>
        <v>0</v>
      </c>
      <c r="K992" s="100">
        <v>0</v>
      </c>
      <c r="L992" s="98">
        <v>0</v>
      </c>
      <c r="M992" s="101">
        <f t="shared" si="727"/>
        <v>0</v>
      </c>
      <c r="N992" s="100">
        <v>0</v>
      </c>
      <c r="O992" s="98">
        <v>0</v>
      </c>
      <c r="P992" s="101">
        <f t="shared" si="728"/>
        <v>0</v>
      </c>
      <c r="Q992" s="100">
        <v>0</v>
      </c>
      <c r="R992" s="98">
        <v>0</v>
      </c>
      <c r="S992" s="101">
        <f t="shared" si="729"/>
        <v>0</v>
      </c>
      <c r="T992" s="100">
        <v>0</v>
      </c>
      <c r="U992" s="98">
        <v>0</v>
      </c>
      <c r="V992" s="101">
        <f t="shared" si="731"/>
        <v>0</v>
      </c>
      <c r="W992" s="100">
        <v>0</v>
      </c>
      <c r="X992" s="98">
        <v>0</v>
      </c>
      <c r="Y992" s="147">
        <f t="shared" si="730"/>
        <v>0</v>
      </c>
      <c r="Z992" s="150"/>
    </row>
    <row r="993" spans="2:26" s="35" customFormat="1" ht="17.100000000000001" customHeight="1">
      <c r="B993" s="105"/>
      <c r="C993" s="54"/>
      <c r="D993" s="96"/>
      <c r="E993" s="111"/>
      <c r="F993" s="112"/>
      <c r="G993" s="113"/>
      <c r="H993" s="100">
        <v>0</v>
      </c>
      <c r="I993" s="98">
        <v>0</v>
      </c>
      <c r="J993" s="101">
        <f t="shared" si="726"/>
        <v>0</v>
      </c>
      <c r="K993" s="100">
        <v>0</v>
      </c>
      <c r="L993" s="98">
        <v>0</v>
      </c>
      <c r="M993" s="101">
        <f t="shared" si="727"/>
        <v>0</v>
      </c>
      <c r="N993" s="100">
        <v>0</v>
      </c>
      <c r="O993" s="98">
        <v>0</v>
      </c>
      <c r="P993" s="101">
        <f t="shared" si="728"/>
        <v>0</v>
      </c>
      <c r="Q993" s="100">
        <v>0</v>
      </c>
      <c r="R993" s="98">
        <v>0</v>
      </c>
      <c r="S993" s="101">
        <f t="shared" si="729"/>
        <v>0</v>
      </c>
      <c r="T993" s="100">
        <v>0</v>
      </c>
      <c r="U993" s="98">
        <v>0</v>
      </c>
      <c r="V993" s="101">
        <f t="shared" si="731"/>
        <v>0</v>
      </c>
      <c r="W993" s="100">
        <v>0</v>
      </c>
      <c r="X993" s="98">
        <v>0</v>
      </c>
      <c r="Y993" s="147">
        <f t="shared" si="730"/>
        <v>0</v>
      </c>
      <c r="Z993" s="150"/>
    </row>
    <row r="994" spans="2:26" s="35" customFormat="1" ht="17.100000000000001" customHeight="1">
      <c r="B994" s="105"/>
      <c r="C994" s="54"/>
      <c r="D994" s="96"/>
      <c r="E994" s="111"/>
      <c r="F994" s="112"/>
      <c r="G994" s="113"/>
      <c r="H994" s="100">
        <v>0</v>
      </c>
      <c r="I994" s="98">
        <v>0</v>
      </c>
      <c r="J994" s="101">
        <f t="shared" si="726"/>
        <v>0</v>
      </c>
      <c r="K994" s="100">
        <v>0</v>
      </c>
      <c r="L994" s="98">
        <v>0</v>
      </c>
      <c r="M994" s="101">
        <f t="shared" si="727"/>
        <v>0</v>
      </c>
      <c r="N994" s="100">
        <v>0</v>
      </c>
      <c r="O994" s="98">
        <v>0</v>
      </c>
      <c r="P994" s="101">
        <f t="shared" si="728"/>
        <v>0</v>
      </c>
      <c r="Q994" s="100">
        <v>0</v>
      </c>
      <c r="R994" s="98">
        <v>0</v>
      </c>
      <c r="S994" s="101">
        <f t="shared" si="729"/>
        <v>0</v>
      </c>
      <c r="T994" s="100">
        <v>0</v>
      </c>
      <c r="U994" s="98">
        <v>0</v>
      </c>
      <c r="V994" s="101">
        <f t="shared" si="731"/>
        <v>0</v>
      </c>
      <c r="W994" s="100">
        <v>0</v>
      </c>
      <c r="X994" s="98">
        <v>0</v>
      </c>
      <c r="Y994" s="147">
        <f t="shared" si="730"/>
        <v>0</v>
      </c>
      <c r="Z994" s="150"/>
    </row>
    <row r="995" spans="2:26" s="35" customFormat="1" ht="17.100000000000001" customHeight="1">
      <c r="B995" s="105"/>
      <c r="C995" s="54"/>
      <c r="D995" s="96"/>
      <c r="E995" s="111"/>
      <c r="F995" s="112"/>
      <c r="G995" s="113"/>
      <c r="H995" s="100">
        <v>0</v>
      </c>
      <c r="I995" s="98">
        <v>0</v>
      </c>
      <c r="J995" s="101">
        <f t="shared" si="726"/>
        <v>0</v>
      </c>
      <c r="K995" s="100">
        <v>0</v>
      </c>
      <c r="L995" s="98">
        <v>0</v>
      </c>
      <c r="M995" s="101">
        <f t="shared" si="727"/>
        <v>0</v>
      </c>
      <c r="N995" s="100">
        <v>0</v>
      </c>
      <c r="O995" s="98">
        <v>0</v>
      </c>
      <c r="P995" s="101">
        <f t="shared" si="728"/>
        <v>0</v>
      </c>
      <c r="Q995" s="100">
        <v>0</v>
      </c>
      <c r="R995" s="98">
        <v>0</v>
      </c>
      <c r="S995" s="101">
        <f t="shared" si="729"/>
        <v>0</v>
      </c>
      <c r="T995" s="100">
        <v>0</v>
      </c>
      <c r="U995" s="98">
        <v>0</v>
      </c>
      <c r="V995" s="101">
        <f t="shared" si="731"/>
        <v>0</v>
      </c>
      <c r="W995" s="100">
        <v>0</v>
      </c>
      <c r="X995" s="98">
        <v>0</v>
      </c>
      <c r="Y995" s="147">
        <f t="shared" si="730"/>
        <v>0</v>
      </c>
      <c r="Z995" s="150"/>
    </row>
    <row r="996" spans="2:26" s="126" customFormat="1" ht="17.100000000000001" customHeight="1">
      <c r="B996" s="118"/>
      <c r="C996" s="119"/>
      <c r="D996" s="120"/>
      <c r="E996" s="121"/>
      <c r="F996" s="122"/>
      <c r="G996" s="123"/>
      <c r="H996" s="341" t="s">
        <v>201</v>
      </c>
      <c r="I996" s="342"/>
      <c r="J996" s="124">
        <f>SUM(J989:J995)</f>
        <v>500</v>
      </c>
      <c r="K996" s="341" t="s">
        <v>201</v>
      </c>
      <c r="L996" s="342"/>
      <c r="M996" s="124">
        <f>SUM(M989:M995)</f>
        <v>0</v>
      </c>
      <c r="N996" s="341" t="s">
        <v>201</v>
      </c>
      <c r="O996" s="342"/>
      <c r="P996" s="124">
        <f>SUM(P989:P995)</f>
        <v>0</v>
      </c>
      <c r="Q996" s="341" t="s">
        <v>201</v>
      </c>
      <c r="R996" s="342"/>
      <c r="S996" s="124">
        <f>SUM(S989:S995)</f>
        <v>0</v>
      </c>
      <c r="T996" s="341" t="s">
        <v>201</v>
      </c>
      <c r="U996" s="342"/>
      <c r="V996" s="124">
        <f>SUM(V989:V995)</f>
        <v>0</v>
      </c>
      <c r="W996" s="341" t="s">
        <v>201</v>
      </c>
      <c r="X996" s="342"/>
      <c r="Y996" s="127">
        <f>SUM(Y989:Y995)</f>
        <v>0</v>
      </c>
      <c r="Z996" s="151"/>
    </row>
    <row r="997" spans="2:26" s="35" customFormat="1" ht="17.100000000000001" customHeight="1">
      <c r="B997" s="248"/>
      <c r="C997" s="249">
        <f>'2. Rekap Back Up Beton'!C143</f>
        <v>22300</v>
      </c>
      <c r="D997" s="250">
        <f>'2. Rekap Back Up Beton'!D143</f>
        <v>22350</v>
      </c>
      <c r="E997" s="251">
        <f>'2. Rekap Back Up Beton'!E143</f>
        <v>5</v>
      </c>
      <c r="F997" s="112">
        <f>(100/((D997-C997)*E997))*((J1004*0.5)+(M1004*1)+(P1004*2)+(S1004*20)+(V1004*15)+(Y1004*1.5))</f>
        <v>50</v>
      </c>
      <c r="G997" s="113" t="str">
        <f>IF(F997&lt;=25,"B",IF(F997&lt;=75,"S",IF(F997&lt;=100,"RR","RB")))</f>
        <v>S</v>
      </c>
      <c r="H997" s="100">
        <v>50</v>
      </c>
      <c r="I997" s="98">
        <v>5</v>
      </c>
      <c r="J997" s="101">
        <f t="shared" ref="J997:J1003" si="732">H997*I997</f>
        <v>250</v>
      </c>
      <c r="K997" s="100">
        <v>0</v>
      </c>
      <c r="L997" s="98">
        <v>0</v>
      </c>
      <c r="M997" s="101">
        <f t="shared" ref="M997:M1003" si="733">K997*L997</f>
        <v>0</v>
      </c>
      <c r="N997" s="100">
        <v>0</v>
      </c>
      <c r="O997" s="98">
        <v>4</v>
      </c>
      <c r="P997" s="101">
        <f t="shared" ref="P997:P1003" si="734">N997*O997</f>
        <v>0</v>
      </c>
      <c r="Q997" s="100">
        <v>0</v>
      </c>
      <c r="R997" s="98">
        <v>0</v>
      </c>
      <c r="S997" s="101">
        <f t="shared" ref="S997:S1003" si="735">Q997*R997</f>
        <v>0</v>
      </c>
      <c r="T997" s="100">
        <v>0</v>
      </c>
      <c r="U997" s="98">
        <v>0</v>
      </c>
      <c r="V997" s="101">
        <f>T997*U997</f>
        <v>0</v>
      </c>
      <c r="W997" s="100">
        <v>0</v>
      </c>
      <c r="X997" s="98">
        <v>0</v>
      </c>
      <c r="Y997" s="147">
        <f t="shared" ref="Y997:Y1003" si="736">W997*X997</f>
        <v>0</v>
      </c>
      <c r="Z997" s="150"/>
    </row>
    <row r="998" spans="2:26" s="35" customFormat="1" ht="17.100000000000001" customHeight="1">
      <c r="B998" s="105"/>
      <c r="C998" s="54"/>
      <c r="D998" s="96"/>
      <c r="E998" s="111"/>
      <c r="F998" s="112"/>
      <c r="G998" s="113"/>
      <c r="H998" s="100">
        <v>0</v>
      </c>
      <c r="I998" s="98">
        <v>0</v>
      </c>
      <c r="J998" s="101">
        <f t="shared" si="732"/>
        <v>0</v>
      </c>
      <c r="K998" s="100">
        <v>0</v>
      </c>
      <c r="L998" s="98">
        <v>0</v>
      </c>
      <c r="M998" s="101">
        <f t="shared" si="733"/>
        <v>0</v>
      </c>
      <c r="N998" s="100">
        <v>0</v>
      </c>
      <c r="O998" s="98">
        <v>0</v>
      </c>
      <c r="P998" s="101">
        <f t="shared" si="734"/>
        <v>0</v>
      </c>
      <c r="Q998" s="100">
        <v>0</v>
      </c>
      <c r="R998" s="98">
        <v>0</v>
      </c>
      <c r="S998" s="101">
        <f t="shared" si="735"/>
        <v>0</v>
      </c>
      <c r="T998" s="100">
        <v>0</v>
      </c>
      <c r="U998" s="98">
        <v>0</v>
      </c>
      <c r="V998" s="101">
        <f t="shared" ref="V998:V1003" si="737">T998*U998</f>
        <v>0</v>
      </c>
      <c r="W998" s="100">
        <v>0</v>
      </c>
      <c r="X998" s="98">
        <v>0</v>
      </c>
      <c r="Y998" s="147">
        <f t="shared" si="736"/>
        <v>0</v>
      </c>
      <c r="Z998" s="150"/>
    </row>
    <row r="999" spans="2:26" s="35" customFormat="1" ht="17.100000000000001" customHeight="1">
      <c r="B999" s="105"/>
      <c r="C999" s="54"/>
      <c r="D999" s="96"/>
      <c r="E999" s="111"/>
      <c r="F999" s="112"/>
      <c r="G999" s="113"/>
      <c r="H999" s="100">
        <v>0</v>
      </c>
      <c r="I999" s="98">
        <v>0</v>
      </c>
      <c r="J999" s="101">
        <f t="shared" si="732"/>
        <v>0</v>
      </c>
      <c r="K999" s="100">
        <v>0</v>
      </c>
      <c r="L999" s="98">
        <v>0</v>
      </c>
      <c r="M999" s="101">
        <f t="shared" si="733"/>
        <v>0</v>
      </c>
      <c r="N999" s="100">
        <v>0</v>
      </c>
      <c r="O999" s="98">
        <v>0</v>
      </c>
      <c r="P999" s="101">
        <f t="shared" si="734"/>
        <v>0</v>
      </c>
      <c r="Q999" s="100">
        <v>0</v>
      </c>
      <c r="R999" s="98">
        <v>0</v>
      </c>
      <c r="S999" s="101">
        <f t="shared" si="735"/>
        <v>0</v>
      </c>
      <c r="T999" s="100">
        <v>0</v>
      </c>
      <c r="U999" s="98">
        <v>0</v>
      </c>
      <c r="V999" s="101">
        <f t="shared" si="737"/>
        <v>0</v>
      </c>
      <c r="W999" s="100">
        <v>0</v>
      </c>
      <c r="X999" s="98">
        <v>0</v>
      </c>
      <c r="Y999" s="147">
        <f t="shared" si="736"/>
        <v>0</v>
      </c>
      <c r="Z999" s="150"/>
    </row>
    <row r="1000" spans="2:26" s="35" customFormat="1" ht="17.100000000000001" customHeight="1">
      <c r="B1000" s="105"/>
      <c r="C1000" s="54"/>
      <c r="D1000" s="96"/>
      <c r="E1000" s="111"/>
      <c r="F1000" s="112"/>
      <c r="G1000" s="113"/>
      <c r="H1000" s="100">
        <v>0</v>
      </c>
      <c r="I1000" s="98">
        <v>0</v>
      </c>
      <c r="J1000" s="101">
        <f t="shared" si="732"/>
        <v>0</v>
      </c>
      <c r="K1000" s="100">
        <v>0</v>
      </c>
      <c r="L1000" s="98">
        <v>0</v>
      </c>
      <c r="M1000" s="101">
        <f t="shared" si="733"/>
        <v>0</v>
      </c>
      <c r="N1000" s="100">
        <v>0</v>
      </c>
      <c r="O1000" s="98">
        <v>0</v>
      </c>
      <c r="P1000" s="101">
        <f t="shared" si="734"/>
        <v>0</v>
      </c>
      <c r="Q1000" s="100">
        <v>0</v>
      </c>
      <c r="R1000" s="98">
        <v>0</v>
      </c>
      <c r="S1000" s="101">
        <f t="shared" si="735"/>
        <v>0</v>
      </c>
      <c r="T1000" s="100">
        <v>0</v>
      </c>
      <c r="U1000" s="98">
        <v>0</v>
      </c>
      <c r="V1000" s="101">
        <f t="shared" si="737"/>
        <v>0</v>
      </c>
      <c r="W1000" s="100">
        <v>0</v>
      </c>
      <c r="X1000" s="98">
        <v>0</v>
      </c>
      <c r="Y1000" s="147">
        <f t="shared" si="736"/>
        <v>0</v>
      </c>
      <c r="Z1000" s="150"/>
    </row>
    <row r="1001" spans="2:26" s="35" customFormat="1" ht="17.100000000000001" customHeight="1">
      <c r="B1001" s="105"/>
      <c r="C1001" s="54"/>
      <c r="D1001" s="96"/>
      <c r="E1001" s="111"/>
      <c r="F1001" s="112"/>
      <c r="G1001" s="113"/>
      <c r="H1001" s="100">
        <v>0</v>
      </c>
      <c r="I1001" s="98">
        <v>0</v>
      </c>
      <c r="J1001" s="101">
        <f t="shared" si="732"/>
        <v>0</v>
      </c>
      <c r="K1001" s="100">
        <v>0</v>
      </c>
      <c r="L1001" s="98">
        <v>0</v>
      </c>
      <c r="M1001" s="101">
        <f t="shared" si="733"/>
        <v>0</v>
      </c>
      <c r="N1001" s="100">
        <v>0</v>
      </c>
      <c r="O1001" s="98">
        <v>0</v>
      </c>
      <c r="P1001" s="101">
        <f t="shared" si="734"/>
        <v>0</v>
      </c>
      <c r="Q1001" s="100">
        <v>0</v>
      </c>
      <c r="R1001" s="98">
        <v>0</v>
      </c>
      <c r="S1001" s="101">
        <f t="shared" si="735"/>
        <v>0</v>
      </c>
      <c r="T1001" s="100">
        <v>0</v>
      </c>
      <c r="U1001" s="98">
        <v>0</v>
      </c>
      <c r="V1001" s="101">
        <f t="shared" si="737"/>
        <v>0</v>
      </c>
      <c r="W1001" s="100">
        <v>0</v>
      </c>
      <c r="X1001" s="98">
        <v>0</v>
      </c>
      <c r="Y1001" s="147">
        <f t="shared" si="736"/>
        <v>0</v>
      </c>
      <c r="Z1001" s="150"/>
    </row>
    <row r="1002" spans="2:26" s="35" customFormat="1" ht="17.100000000000001" customHeight="1">
      <c r="B1002" s="105"/>
      <c r="C1002" s="54"/>
      <c r="D1002" s="96"/>
      <c r="E1002" s="111"/>
      <c r="F1002" s="112"/>
      <c r="G1002" s="113"/>
      <c r="H1002" s="100">
        <v>0</v>
      </c>
      <c r="I1002" s="98">
        <v>0</v>
      </c>
      <c r="J1002" s="101">
        <f t="shared" si="732"/>
        <v>0</v>
      </c>
      <c r="K1002" s="100">
        <v>0</v>
      </c>
      <c r="L1002" s="98">
        <v>0</v>
      </c>
      <c r="M1002" s="101">
        <f t="shared" si="733"/>
        <v>0</v>
      </c>
      <c r="N1002" s="100">
        <v>0</v>
      </c>
      <c r="O1002" s="98">
        <v>0</v>
      </c>
      <c r="P1002" s="101">
        <f t="shared" si="734"/>
        <v>0</v>
      </c>
      <c r="Q1002" s="100">
        <v>0</v>
      </c>
      <c r="R1002" s="98">
        <v>0</v>
      </c>
      <c r="S1002" s="101">
        <f t="shared" si="735"/>
        <v>0</v>
      </c>
      <c r="T1002" s="100">
        <v>0</v>
      </c>
      <c r="U1002" s="98">
        <v>0</v>
      </c>
      <c r="V1002" s="101">
        <f t="shared" si="737"/>
        <v>0</v>
      </c>
      <c r="W1002" s="100">
        <v>0</v>
      </c>
      <c r="X1002" s="98">
        <v>0</v>
      </c>
      <c r="Y1002" s="147">
        <f t="shared" si="736"/>
        <v>0</v>
      </c>
      <c r="Z1002" s="150"/>
    </row>
    <row r="1003" spans="2:26" s="35" customFormat="1" ht="17.100000000000001" customHeight="1">
      <c r="B1003" s="105"/>
      <c r="C1003" s="54"/>
      <c r="D1003" s="96"/>
      <c r="E1003" s="111"/>
      <c r="F1003" s="112"/>
      <c r="G1003" s="113"/>
      <c r="H1003" s="100">
        <v>0</v>
      </c>
      <c r="I1003" s="98">
        <v>0</v>
      </c>
      <c r="J1003" s="101">
        <f t="shared" si="732"/>
        <v>0</v>
      </c>
      <c r="K1003" s="100">
        <v>0</v>
      </c>
      <c r="L1003" s="98">
        <v>0</v>
      </c>
      <c r="M1003" s="101">
        <f t="shared" si="733"/>
        <v>0</v>
      </c>
      <c r="N1003" s="100">
        <v>0</v>
      </c>
      <c r="O1003" s="98">
        <v>0</v>
      </c>
      <c r="P1003" s="101">
        <f t="shared" si="734"/>
        <v>0</v>
      </c>
      <c r="Q1003" s="100">
        <v>0</v>
      </c>
      <c r="R1003" s="98">
        <v>0</v>
      </c>
      <c r="S1003" s="101">
        <f t="shared" si="735"/>
        <v>0</v>
      </c>
      <c r="T1003" s="100">
        <v>0</v>
      </c>
      <c r="U1003" s="98">
        <v>0</v>
      </c>
      <c r="V1003" s="101">
        <f t="shared" si="737"/>
        <v>0</v>
      </c>
      <c r="W1003" s="100">
        <v>0</v>
      </c>
      <c r="X1003" s="98">
        <v>0</v>
      </c>
      <c r="Y1003" s="147">
        <f t="shared" si="736"/>
        <v>0</v>
      </c>
      <c r="Z1003" s="150"/>
    </row>
    <row r="1004" spans="2:26" s="126" customFormat="1" ht="17.100000000000001" customHeight="1">
      <c r="B1004" s="118"/>
      <c r="C1004" s="119"/>
      <c r="D1004" s="120"/>
      <c r="E1004" s="121"/>
      <c r="F1004" s="122"/>
      <c r="G1004" s="123"/>
      <c r="H1004" s="341" t="s">
        <v>201</v>
      </c>
      <c r="I1004" s="342"/>
      <c r="J1004" s="124">
        <f>SUM(J997:J1003)</f>
        <v>250</v>
      </c>
      <c r="K1004" s="341" t="s">
        <v>201</v>
      </c>
      <c r="L1004" s="342"/>
      <c r="M1004" s="124">
        <f>SUM(M997:M1003)</f>
        <v>0</v>
      </c>
      <c r="N1004" s="341" t="s">
        <v>201</v>
      </c>
      <c r="O1004" s="342"/>
      <c r="P1004" s="124">
        <f>SUM(P997:P1003)</f>
        <v>0</v>
      </c>
      <c r="Q1004" s="341" t="s">
        <v>201</v>
      </c>
      <c r="R1004" s="342"/>
      <c r="S1004" s="124">
        <f>SUM(S997:S1003)</f>
        <v>0</v>
      </c>
      <c r="T1004" s="341" t="s">
        <v>201</v>
      </c>
      <c r="U1004" s="342"/>
      <c r="V1004" s="124">
        <f>SUM(V997:V1003)</f>
        <v>0</v>
      </c>
      <c r="W1004" s="341" t="s">
        <v>201</v>
      </c>
      <c r="X1004" s="342"/>
      <c r="Y1004" s="127">
        <f>SUM(Y997:Y1003)</f>
        <v>0</v>
      </c>
      <c r="Z1004" s="151"/>
    </row>
    <row r="1005" spans="2:26" s="35" customFormat="1" ht="17.100000000000001" customHeight="1">
      <c r="B1005" s="105"/>
      <c r="C1005" s="54">
        <f>'2. Rekap Back Up Beton'!C144</f>
        <v>22600</v>
      </c>
      <c r="D1005" s="96">
        <f>'2. Rekap Back Up Beton'!D144</f>
        <v>22700</v>
      </c>
      <c r="E1005" s="111">
        <f>'2. Rekap Back Up Beton'!E144</f>
        <v>5</v>
      </c>
      <c r="F1005" s="112">
        <f>(100/((D1005-C1005)*E1005))*((J1012*0.5)+(M1012*1)+(P1012*2)+(S1012*20)+(V1012*15)+(Y1012*1.5))</f>
        <v>3</v>
      </c>
      <c r="G1005" s="113" t="str">
        <f>IF(F1005&lt;=25,"B",IF(F1005&lt;=75,"S",IF(F1005&lt;=100,"RR","RB")))</f>
        <v>B</v>
      </c>
      <c r="H1005" s="100">
        <v>0</v>
      </c>
      <c r="I1005" s="98">
        <v>0</v>
      </c>
      <c r="J1005" s="101">
        <f t="shared" ref="J1005:J1011" si="738">H1005*I1005</f>
        <v>0</v>
      </c>
      <c r="K1005" s="100">
        <v>5</v>
      </c>
      <c r="L1005" s="98">
        <v>3</v>
      </c>
      <c r="M1005" s="101">
        <f t="shared" ref="M1005:M1011" si="739">K1005*L1005</f>
        <v>15</v>
      </c>
      <c r="N1005" s="100">
        <v>0</v>
      </c>
      <c r="O1005" s="98">
        <v>4</v>
      </c>
      <c r="P1005" s="101">
        <f t="shared" ref="P1005:P1011" si="740">N1005*O1005</f>
        <v>0</v>
      </c>
      <c r="Q1005" s="100">
        <v>0</v>
      </c>
      <c r="R1005" s="98">
        <v>0</v>
      </c>
      <c r="S1005" s="101">
        <f t="shared" ref="S1005:S1011" si="741">Q1005*R1005</f>
        <v>0</v>
      </c>
      <c r="T1005" s="100">
        <v>0</v>
      </c>
      <c r="U1005" s="98">
        <v>0</v>
      </c>
      <c r="V1005" s="101">
        <f>T1005*U1005</f>
        <v>0</v>
      </c>
      <c r="W1005" s="100">
        <v>0</v>
      </c>
      <c r="X1005" s="98">
        <v>0</v>
      </c>
      <c r="Y1005" s="147">
        <f t="shared" ref="Y1005:Y1011" si="742">W1005*X1005</f>
        <v>0</v>
      </c>
      <c r="Z1005" s="150"/>
    </row>
    <row r="1006" spans="2:26" s="35" customFormat="1" ht="17.100000000000001" customHeight="1">
      <c r="B1006" s="105"/>
      <c r="C1006" s="54"/>
      <c r="D1006" s="96"/>
      <c r="E1006" s="111"/>
      <c r="F1006" s="112"/>
      <c r="G1006" s="113"/>
      <c r="H1006" s="100">
        <v>0</v>
      </c>
      <c r="I1006" s="98">
        <v>0</v>
      </c>
      <c r="J1006" s="101">
        <f t="shared" si="738"/>
        <v>0</v>
      </c>
      <c r="K1006" s="100">
        <v>0</v>
      </c>
      <c r="L1006" s="98">
        <v>0</v>
      </c>
      <c r="M1006" s="101">
        <f t="shared" si="739"/>
        <v>0</v>
      </c>
      <c r="N1006" s="100">
        <v>0</v>
      </c>
      <c r="O1006" s="98">
        <v>0</v>
      </c>
      <c r="P1006" s="101">
        <f t="shared" si="740"/>
        <v>0</v>
      </c>
      <c r="Q1006" s="100">
        <v>0</v>
      </c>
      <c r="R1006" s="98">
        <v>0</v>
      </c>
      <c r="S1006" s="101">
        <f t="shared" si="741"/>
        <v>0</v>
      </c>
      <c r="T1006" s="100">
        <v>0</v>
      </c>
      <c r="U1006" s="98">
        <v>0</v>
      </c>
      <c r="V1006" s="101">
        <f t="shared" ref="V1006:V1011" si="743">T1006*U1006</f>
        <v>0</v>
      </c>
      <c r="W1006" s="100">
        <v>0</v>
      </c>
      <c r="X1006" s="98">
        <v>0</v>
      </c>
      <c r="Y1006" s="147">
        <f t="shared" si="742"/>
        <v>0</v>
      </c>
      <c r="Z1006" s="150"/>
    </row>
    <row r="1007" spans="2:26" s="35" customFormat="1" ht="17.100000000000001" customHeight="1">
      <c r="B1007" s="105"/>
      <c r="C1007" s="54"/>
      <c r="D1007" s="96"/>
      <c r="E1007" s="111"/>
      <c r="F1007" s="112"/>
      <c r="G1007" s="113"/>
      <c r="H1007" s="100">
        <v>0</v>
      </c>
      <c r="I1007" s="98">
        <v>0</v>
      </c>
      <c r="J1007" s="101">
        <f t="shared" si="738"/>
        <v>0</v>
      </c>
      <c r="K1007" s="100">
        <v>0</v>
      </c>
      <c r="L1007" s="98">
        <v>0</v>
      </c>
      <c r="M1007" s="101">
        <f t="shared" si="739"/>
        <v>0</v>
      </c>
      <c r="N1007" s="100">
        <v>0</v>
      </c>
      <c r="O1007" s="98">
        <v>0</v>
      </c>
      <c r="P1007" s="101">
        <f t="shared" si="740"/>
        <v>0</v>
      </c>
      <c r="Q1007" s="100">
        <v>0</v>
      </c>
      <c r="R1007" s="98">
        <v>0</v>
      </c>
      <c r="S1007" s="101">
        <f t="shared" si="741"/>
        <v>0</v>
      </c>
      <c r="T1007" s="100">
        <v>0</v>
      </c>
      <c r="U1007" s="98">
        <v>0</v>
      </c>
      <c r="V1007" s="101">
        <f t="shared" si="743"/>
        <v>0</v>
      </c>
      <c r="W1007" s="100">
        <v>0</v>
      </c>
      <c r="X1007" s="98">
        <v>0</v>
      </c>
      <c r="Y1007" s="147">
        <f t="shared" si="742"/>
        <v>0</v>
      </c>
      <c r="Z1007" s="150"/>
    </row>
    <row r="1008" spans="2:26" s="35" customFormat="1" ht="17.100000000000001" customHeight="1">
      <c r="B1008" s="105"/>
      <c r="C1008" s="54"/>
      <c r="D1008" s="96"/>
      <c r="E1008" s="111"/>
      <c r="F1008" s="112"/>
      <c r="G1008" s="113"/>
      <c r="H1008" s="100">
        <v>0</v>
      </c>
      <c r="I1008" s="98">
        <v>0</v>
      </c>
      <c r="J1008" s="101">
        <f t="shared" si="738"/>
        <v>0</v>
      </c>
      <c r="K1008" s="100">
        <v>0</v>
      </c>
      <c r="L1008" s="98">
        <v>0</v>
      </c>
      <c r="M1008" s="101">
        <f t="shared" si="739"/>
        <v>0</v>
      </c>
      <c r="N1008" s="100">
        <v>0</v>
      </c>
      <c r="O1008" s="98">
        <v>0</v>
      </c>
      <c r="P1008" s="101">
        <f t="shared" si="740"/>
        <v>0</v>
      </c>
      <c r="Q1008" s="100">
        <v>0</v>
      </c>
      <c r="R1008" s="98">
        <v>0</v>
      </c>
      <c r="S1008" s="101">
        <f t="shared" si="741"/>
        <v>0</v>
      </c>
      <c r="T1008" s="100">
        <v>0</v>
      </c>
      <c r="U1008" s="98">
        <v>0</v>
      </c>
      <c r="V1008" s="101">
        <f t="shared" si="743"/>
        <v>0</v>
      </c>
      <c r="W1008" s="100">
        <v>0</v>
      </c>
      <c r="X1008" s="98">
        <v>0</v>
      </c>
      <c r="Y1008" s="147">
        <f t="shared" si="742"/>
        <v>0</v>
      </c>
      <c r="Z1008" s="150"/>
    </row>
    <row r="1009" spans="2:26" s="35" customFormat="1" ht="17.100000000000001" customHeight="1">
      <c r="B1009" s="105"/>
      <c r="C1009" s="54"/>
      <c r="D1009" s="96"/>
      <c r="E1009" s="111"/>
      <c r="F1009" s="112"/>
      <c r="G1009" s="113"/>
      <c r="H1009" s="100">
        <v>0</v>
      </c>
      <c r="I1009" s="98">
        <v>0</v>
      </c>
      <c r="J1009" s="101">
        <f t="shared" si="738"/>
        <v>0</v>
      </c>
      <c r="K1009" s="100">
        <v>0</v>
      </c>
      <c r="L1009" s="98">
        <v>0</v>
      </c>
      <c r="M1009" s="101">
        <f t="shared" si="739"/>
        <v>0</v>
      </c>
      <c r="N1009" s="100">
        <v>0</v>
      </c>
      <c r="O1009" s="98">
        <v>0</v>
      </c>
      <c r="P1009" s="101">
        <f t="shared" si="740"/>
        <v>0</v>
      </c>
      <c r="Q1009" s="100">
        <v>0</v>
      </c>
      <c r="R1009" s="98">
        <v>0</v>
      </c>
      <c r="S1009" s="101">
        <f t="shared" si="741"/>
        <v>0</v>
      </c>
      <c r="T1009" s="100">
        <v>0</v>
      </c>
      <c r="U1009" s="98">
        <v>0</v>
      </c>
      <c r="V1009" s="101">
        <f t="shared" si="743"/>
        <v>0</v>
      </c>
      <c r="W1009" s="100">
        <v>0</v>
      </c>
      <c r="X1009" s="98">
        <v>0</v>
      </c>
      <c r="Y1009" s="147">
        <f t="shared" si="742"/>
        <v>0</v>
      </c>
      <c r="Z1009" s="150"/>
    </row>
    <row r="1010" spans="2:26" s="35" customFormat="1" ht="17.100000000000001" customHeight="1">
      <c r="B1010" s="105"/>
      <c r="C1010" s="54"/>
      <c r="D1010" s="96"/>
      <c r="E1010" s="111"/>
      <c r="F1010" s="112"/>
      <c r="G1010" s="113"/>
      <c r="H1010" s="100">
        <v>0</v>
      </c>
      <c r="I1010" s="98">
        <v>0</v>
      </c>
      <c r="J1010" s="101">
        <f t="shared" si="738"/>
        <v>0</v>
      </c>
      <c r="K1010" s="100">
        <v>0</v>
      </c>
      <c r="L1010" s="98">
        <v>0</v>
      </c>
      <c r="M1010" s="101">
        <f t="shared" si="739"/>
        <v>0</v>
      </c>
      <c r="N1010" s="100">
        <v>0</v>
      </c>
      <c r="O1010" s="98">
        <v>0</v>
      </c>
      <c r="P1010" s="101">
        <f t="shared" si="740"/>
        <v>0</v>
      </c>
      <c r="Q1010" s="100">
        <v>0</v>
      </c>
      <c r="R1010" s="98">
        <v>0</v>
      </c>
      <c r="S1010" s="101">
        <f t="shared" si="741"/>
        <v>0</v>
      </c>
      <c r="T1010" s="100">
        <v>0</v>
      </c>
      <c r="U1010" s="98">
        <v>0</v>
      </c>
      <c r="V1010" s="101">
        <f t="shared" si="743"/>
        <v>0</v>
      </c>
      <c r="W1010" s="100">
        <v>0</v>
      </c>
      <c r="X1010" s="98">
        <v>0</v>
      </c>
      <c r="Y1010" s="147">
        <f t="shared" si="742"/>
        <v>0</v>
      </c>
      <c r="Z1010" s="150"/>
    </row>
    <row r="1011" spans="2:26" s="35" customFormat="1" ht="17.100000000000001" customHeight="1">
      <c r="B1011" s="105"/>
      <c r="C1011" s="54"/>
      <c r="D1011" s="96"/>
      <c r="E1011" s="111"/>
      <c r="F1011" s="112"/>
      <c r="G1011" s="113"/>
      <c r="H1011" s="100">
        <v>0</v>
      </c>
      <c r="I1011" s="98">
        <v>0</v>
      </c>
      <c r="J1011" s="101">
        <f t="shared" si="738"/>
        <v>0</v>
      </c>
      <c r="K1011" s="100">
        <v>0</v>
      </c>
      <c r="L1011" s="98">
        <v>0</v>
      </c>
      <c r="M1011" s="101">
        <f t="shared" si="739"/>
        <v>0</v>
      </c>
      <c r="N1011" s="100">
        <v>0</v>
      </c>
      <c r="O1011" s="98">
        <v>0</v>
      </c>
      <c r="P1011" s="101">
        <f t="shared" si="740"/>
        <v>0</v>
      </c>
      <c r="Q1011" s="100">
        <v>0</v>
      </c>
      <c r="R1011" s="98">
        <v>0</v>
      </c>
      <c r="S1011" s="101">
        <f t="shared" si="741"/>
        <v>0</v>
      </c>
      <c r="T1011" s="100">
        <v>0</v>
      </c>
      <c r="U1011" s="98">
        <v>0</v>
      </c>
      <c r="V1011" s="101">
        <f t="shared" si="743"/>
        <v>0</v>
      </c>
      <c r="W1011" s="100">
        <v>0</v>
      </c>
      <c r="X1011" s="98">
        <v>0</v>
      </c>
      <c r="Y1011" s="147">
        <f t="shared" si="742"/>
        <v>0</v>
      </c>
      <c r="Z1011" s="150"/>
    </row>
    <row r="1012" spans="2:26" s="126" customFormat="1" ht="17.100000000000001" customHeight="1">
      <c r="B1012" s="118"/>
      <c r="C1012" s="119"/>
      <c r="D1012" s="120"/>
      <c r="E1012" s="121"/>
      <c r="F1012" s="122"/>
      <c r="G1012" s="123"/>
      <c r="H1012" s="341" t="s">
        <v>201</v>
      </c>
      <c r="I1012" s="342"/>
      <c r="J1012" s="124">
        <f>SUM(J1005:J1011)</f>
        <v>0</v>
      </c>
      <c r="K1012" s="341" t="s">
        <v>201</v>
      </c>
      <c r="L1012" s="342"/>
      <c r="M1012" s="124">
        <f>SUM(M1005:M1011)</f>
        <v>15</v>
      </c>
      <c r="N1012" s="341" t="s">
        <v>201</v>
      </c>
      <c r="O1012" s="342"/>
      <c r="P1012" s="124">
        <f>SUM(P1005:P1011)</f>
        <v>0</v>
      </c>
      <c r="Q1012" s="341" t="s">
        <v>201</v>
      </c>
      <c r="R1012" s="342"/>
      <c r="S1012" s="124">
        <f>SUM(S1005:S1011)</f>
        <v>0</v>
      </c>
      <c r="T1012" s="341" t="s">
        <v>201</v>
      </c>
      <c r="U1012" s="342"/>
      <c r="V1012" s="124">
        <f>SUM(V1005:V1011)</f>
        <v>0</v>
      </c>
      <c r="W1012" s="341" t="s">
        <v>201</v>
      </c>
      <c r="X1012" s="342"/>
      <c r="Y1012" s="127">
        <f>SUM(Y1005:Y1011)</f>
        <v>0</v>
      </c>
      <c r="Z1012" s="151"/>
    </row>
    <row r="1013" spans="2:26" s="35" customFormat="1" ht="17.100000000000001" customHeight="1">
      <c r="B1013" s="105"/>
      <c r="C1013" s="54">
        <f>'2. Rekap Back Up Beton'!C145</f>
        <v>22700</v>
      </c>
      <c r="D1013" s="96">
        <f>'2. Rekap Back Up Beton'!D145</f>
        <v>22800</v>
      </c>
      <c r="E1013" s="111">
        <f>'2. Rekap Back Up Beton'!E145</f>
        <v>5</v>
      </c>
      <c r="F1013" s="112">
        <f>(100/((D1013-C1013)*E1013))*((J1020*0.5)+(M1020*1)+(P1020*2)+(S1020*20)+(V1020*15)+(Y1020*1.5))</f>
        <v>0.60000000000000009</v>
      </c>
      <c r="G1013" s="113" t="str">
        <f>IF(F1013&lt;=25,"B",IF(F1013&lt;=75,"S",IF(F1013&lt;=100,"RR","RB")))</f>
        <v>B</v>
      </c>
      <c r="H1013" s="100">
        <v>2</v>
      </c>
      <c r="I1013" s="98">
        <v>3</v>
      </c>
      <c r="J1013" s="101">
        <f t="shared" ref="J1013:J1019" si="744">H1013*I1013</f>
        <v>6</v>
      </c>
      <c r="K1013" s="100">
        <v>0</v>
      </c>
      <c r="L1013" s="98">
        <v>0</v>
      </c>
      <c r="M1013" s="101">
        <f t="shared" ref="M1013:M1019" si="745">K1013*L1013</f>
        <v>0</v>
      </c>
      <c r="N1013" s="100">
        <v>0</v>
      </c>
      <c r="O1013" s="98">
        <v>4</v>
      </c>
      <c r="P1013" s="101">
        <f t="shared" ref="P1013:P1019" si="746">N1013*O1013</f>
        <v>0</v>
      </c>
      <c r="Q1013" s="100">
        <v>0</v>
      </c>
      <c r="R1013" s="98">
        <v>0</v>
      </c>
      <c r="S1013" s="101">
        <f t="shared" ref="S1013:S1019" si="747">Q1013*R1013</f>
        <v>0</v>
      </c>
      <c r="T1013" s="100">
        <v>0</v>
      </c>
      <c r="U1013" s="98">
        <v>0</v>
      </c>
      <c r="V1013" s="101">
        <f>T1013*U1013</f>
        <v>0</v>
      </c>
      <c r="W1013" s="100">
        <v>0</v>
      </c>
      <c r="X1013" s="98">
        <v>0</v>
      </c>
      <c r="Y1013" s="147">
        <f t="shared" ref="Y1013:Y1019" si="748">W1013*X1013</f>
        <v>0</v>
      </c>
      <c r="Z1013" s="150"/>
    </row>
    <row r="1014" spans="2:26" s="35" customFormat="1" ht="17.100000000000001" customHeight="1">
      <c r="B1014" s="105"/>
      <c r="C1014" s="54"/>
      <c r="D1014" s="96"/>
      <c r="E1014" s="111"/>
      <c r="F1014" s="112"/>
      <c r="G1014" s="113"/>
      <c r="H1014" s="100">
        <v>0</v>
      </c>
      <c r="I1014" s="98">
        <v>0</v>
      </c>
      <c r="J1014" s="101">
        <f t="shared" si="744"/>
        <v>0</v>
      </c>
      <c r="K1014" s="100">
        <v>0</v>
      </c>
      <c r="L1014" s="98">
        <v>0</v>
      </c>
      <c r="M1014" s="101">
        <f t="shared" si="745"/>
        <v>0</v>
      </c>
      <c r="N1014" s="100">
        <v>0</v>
      </c>
      <c r="O1014" s="98">
        <v>0</v>
      </c>
      <c r="P1014" s="101">
        <f t="shared" si="746"/>
        <v>0</v>
      </c>
      <c r="Q1014" s="100">
        <v>0</v>
      </c>
      <c r="R1014" s="98">
        <v>0</v>
      </c>
      <c r="S1014" s="101">
        <f t="shared" si="747"/>
        <v>0</v>
      </c>
      <c r="T1014" s="100">
        <v>0</v>
      </c>
      <c r="U1014" s="98">
        <v>0</v>
      </c>
      <c r="V1014" s="101">
        <f t="shared" ref="V1014:V1019" si="749">T1014*U1014</f>
        <v>0</v>
      </c>
      <c r="W1014" s="100">
        <v>0</v>
      </c>
      <c r="X1014" s="98">
        <v>0</v>
      </c>
      <c r="Y1014" s="147">
        <f t="shared" si="748"/>
        <v>0</v>
      </c>
      <c r="Z1014" s="150"/>
    </row>
    <row r="1015" spans="2:26" s="35" customFormat="1" ht="17.100000000000001" customHeight="1">
      <c r="B1015" s="105"/>
      <c r="C1015" s="54"/>
      <c r="D1015" s="96"/>
      <c r="E1015" s="111"/>
      <c r="F1015" s="112"/>
      <c r="G1015" s="113"/>
      <c r="H1015" s="100">
        <v>0</v>
      </c>
      <c r="I1015" s="98">
        <v>0</v>
      </c>
      <c r="J1015" s="101">
        <f t="shared" si="744"/>
        <v>0</v>
      </c>
      <c r="K1015" s="100">
        <v>0</v>
      </c>
      <c r="L1015" s="98">
        <v>0</v>
      </c>
      <c r="M1015" s="101">
        <f t="shared" si="745"/>
        <v>0</v>
      </c>
      <c r="N1015" s="100">
        <v>0</v>
      </c>
      <c r="O1015" s="98">
        <v>0</v>
      </c>
      <c r="P1015" s="101">
        <f t="shared" si="746"/>
        <v>0</v>
      </c>
      <c r="Q1015" s="100">
        <v>0</v>
      </c>
      <c r="R1015" s="98">
        <v>0</v>
      </c>
      <c r="S1015" s="101">
        <f t="shared" si="747"/>
        <v>0</v>
      </c>
      <c r="T1015" s="100">
        <v>0</v>
      </c>
      <c r="U1015" s="98">
        <v>0</v>
      </c>
      <c r="V1015" s="101">
        <f t="shared" si="749"/>
        <v>0</v>
      </c>
      <c r="W1015" s="100">
        <v>0</v>
      </c>
      <c r="X1015" s="98">
        <v>0</v>
      </c>
      <c r="Y1015" s="147">
        <f t="shared" si="748"/>
        <v>0</v>
      </c>
      <c r="Z1015" s="150"/>
    </row>
    <row r="1016" spans="2:26" s="35" customFormat="1" ht="17.100000000000001" customHeight="1">
      <c r="B1016" s="105"/>
      <c r="C1016" s="54"/>
      <c r="D1016" s="96"/>
      <c r="E1016" s="111"/>
      <c r="F1016" s="112"/>
      <c r="G1016" s="113"/>
      <c r="H1016" s="100">
        <v>0</v>
      </c>
      <c r="I1016" s="98">
        <v>0</v>
      </c>
      <c r="J1016" s="101">
        <f t="shared" si="744"/>
        <v>0</v>
      </c>
      <c r="K1016" s="100">
        <v>0</v>
      </c>
      <c r="L1016" s="98">
        <v>0</v>
      </c>
      <c r="M1016" s="101">
        <f t="shared" si="745"/>
        <v>0</v>
      </c>
      <c r="N1016" s="100">
        <v>0</v>
      </c>
      <c r="O1016" s="98">
        <v>0</v>
      </c>
      <c r="P1016" s="101">
        <f t="shared" si="746"/>
        <v>0</v>
      </c>
      <c r="Q1016" s="100">
        <v>0</v>
      </c>
      <c r="R1016" s="98">
        <v>0</v>
      </c>
      <c r="S1016" s="101">
        <f t="shared" si="747"/>
        <v>0</v>
      </c>
      <c r="T1016" s="100">
        <v>0</v>
      </c>
      <c r="U1016" s="98">
        <v>0</v>
      </c>
      <c r="V1016" s="101">
        <f t="shared" si="749"/>
        <v>0</v>
      </c>
      <c r="W1016" s="100">
        <v>0</v>
      </c>
      <c r="X1016" s="98">
        <v>0</v>
      </c>
      <c r="Y1016" s="147">
        <f t="shared" si="748"/>
        <v>0</v>
      </c>
      <c r="Z1016" s="150"/>
    </row>
    <row r="1017" spans="2:26" s="35" customFormat="1" ht="17.100000000000001" customHeight="1">
      <c r="B1017" s="105"/>
      <c r="C1017" s="54"/>
      <c r="D1017" s="96"/>
      <c r="E1017" s="111"/>
      <c r="F1017" s="112"/>
      <c r="G1017" s="113"/>
      <c r="H1017" s="100">
        <v>0</v>
      </c>
      <c r="I1017" s="98">
        <v>0</v>
      </c>
      <c r="J1017" s="101">
        <f t="shared" si="744"/>
        <v>0</v>
      </c>
      <c r="K1017" s="100">
        <v>0</v>
      </c>
      <c r="L1017" s="98">
        <v>0</v>
      </c>
      <c r="M1017" s="101">
        <f t="shared" si="745"/>
        <v>0</v>
      </c>
      <c r="N1017" s="100">
        <v>0</v>
      </c>
      <c r="O1017" s="98">
        <v>0</v>
      </c>
      <c r="P1017" s="101">
        <f t="shared" si="746"/>
        <v>0</v>
      </c>
      <c r="Q1017" s="100">
        <v>0</v>
      </c>
      <c r="R1017" s="98">
        <v>0</v>
      </c>
      <c r="S1017" s="101">
        <f t="shared" si="747"/>
        <v>0</v>
      </c>
      <c r="T1017" s="100">
        <v>0</v>
      </c>
      <c r="U1017" s="98">
        <v>0</v>
      </c>
      <c r="V1017" s="101">
        <f t="shared" si="749"/>
        <v>0</v>
      </c>
      <c r="W1017" s="100">
        <v>0</v>
      </c>
      <c r="X1017" s="98">
        <v>0</v>
      </c>
      <c r="Y1017" s="147">
        <f t="shared" si="748"/>
        <v>0</v>
      </c>
      <c r="Z1017" s="150"/>
    </row>
    <row r="1018" spans="2:26" s="35" customFormat="1" ht="17.100000000000001" customHeight="1">
      <c r="B1018" s="105"/>
      <c r="C1018" s="54"/>
      <c r="D1018" s="96"/>
      <c r="E1018" s="111"/>
      <c r="F1018" s="112"/>
      <c r="G1018" s="113"/>
      <c r="H1018" s="100">
        <v>0</v>
      </c>
      <c r="I1018" s="98">
        <v>0</v>
      </c>
      <c r="J1018" s="101">
        <f t="shared" si="744"/>
        <v>0</v>
      </c>
      <c r="K1018" s="100">
        <v>0</v>
      </c>
      <c r="L1018" s="98">
        <v>0</v>
      </c>
      <c r="M1018" s="101">
        <f t="shared" si="745"/>
        <v>0</v>
      </c>
      <c r="N1018" s="100">
        <v>0</v>
      </c>
      <c r="O1018" s="98">
        <v>0</v>
      </c>
      <c r="P1018" s="101">
        <f t="shared" si="746"/>
        <v>0</v>
      </c>
      <c r="Q1018" s="100">
        <v>0</v>
      </c>
      <c r="R1018" s="98">
        <v>0</v>
      </c>
      <c r="S1018" s="101">
        <f t="shared" si="747"/>
        <v>0</v>
      </c>
      <c r="T1018" s="100">
        <v>0</v>
      </c>
      <c r="U1018" s="98">
        <v>0</v>
      </c>
      <c r="V1018" s="101">
        <f t="shared" si="749"/>
        <v>0</v>
      </c>
      <c r="W1018" s="100">
        <v>0</v>
      </c>
      <c r="X1018" s="98">
        <v>0</v>
      </c>
      <c r="Y1018" s="147">
        <f t="shared" si="748"/>
        <v>0</v>
      </c>
      <c r="Z1018" s="150"/>
    </row>
    <row r="1019" spans="2:26" s="35" customFormat="1" ht="17.100000000000001" customHeight="1">
      <c r="B1019" s="105"/>
      <c r="C1019" s="54"/>
      <c r="D1019" s="96"/>
      <c r="E1019" s="111"/>
      <c r="F1019" s="112"/>
      <c r="G1019" s="113"/>
      <c r="H1019" s="100">
        <v>0</v>
      </c>
      <c r="I1019" s="98">
        <v>0</v>
      </c>
      <c r="J1019" s="101">
        <f t="shared" si="744"/>
        <v>0</v>
      </c>
      <c r="K1019" s="100">
        <v>0</v>
      </c>
      <c r="L1019" s="98">
        <v>0</v>
      </c>
      <c r="M1019" s="101">
        <f t="shared" si="745"/>
        <v>0</v>
      </c>
      <c r="N1019" s="100">
        <v>0</v>
      </c>
      <c r="O1019" s="98">
        <v>0</v>
      </c>
      <c r="P1019" s="101">
        <f t="shared" si="746"/>
        <v>0</v>
      </c>
      <c r="Q1019" s="100">
        <v>0</v>
      </c>
      <c r="R1019" s="98">
        <v>0</v>
      </c>
      <c r="S1019" s="101">
        <f t="shared" si="747"/>
        <v>0</v>
      </c>
      <c r="T1019" s="100">
        <v>0</v>
      </c>
      <c r="U1019" s="98">
        <v>0</v>
      </c>
      <c r="V1019" s="101">
        <f t="shared" si="749"/>
        <v>0</v>
      </c>
      <c r="W1019" s="100">
        <v>0</v>
      </c>
      <c r="X1019" s="98">
        <v>0</v>
      </c>
      <c r="Y1019" s="147">
        <f t="shared" si="748"/>
        <v>0</v>
      </c>
      <c r="Z1019" s="150"/>
    </row>
    <row r="1020" spans="2:26" s="126" customFormat="1" ht="17.100000000000001" customHeight="1" thickBot="1">
      <c r="B1020" s="128"/>
      <c r="C1020" s="154"/>
      <c r="D1020" s="155"/>
      <c r="E1020" s="156"/>
      <c r="F1020" s="129"/>
      <c r="G1020" s="130"/>
      <c r="H1020" s="344" t="s">
        <v>201</v>
      </c>
      <c r="I1020" s="345"/>
      <c r="J1020" s="131">
        <f>SUM(J1013:J1019)</f>
        <v>6</v>
      </c>
      <c r="K1020" s="344" t="s">
        <v>201</v>
      </c>
      <c r="L1020" s="345"/>
      <c r="M1020" s="131">
        <f>SUM(M1013:M1019)</f>
        <v>0</v>
      </c>
      <c r="N1020" s="344" t="s">
        <v>201</v>
      </c>
      <c r="O1020" s="345"/>
      <c r="P1020" s="131">
        <f>SUM(P1013:P1019)</f>
        <v>0</v>
      </c>
      <c r="Q1020" s="344" t="s">
        <v>201</v>
      </c>
      <c r="R1020" s="345"/>
      <c r="S1020" s="131">
        <f>SUM(S1013:S1019)</f>
        <v>0</v>
      </c>
      <c r="T1020" s="344" t="s">
        <v>201</v>
      </c>
      <c r="U1020" s="345"/>
      <c r="V1020" s="131">
        <f>SUM(V1013:V1019)</f>
        <v>0</v>
      </c>
      <c r="W1020" s="344" t="s">
        <v>201</v>
      </c>
      <c r="X1020" s="345"/>
      <c r="Y1020" s="132">
        <f>SUM(Y1013:Y1019)</f>
        <v>0</v>
      </c>
      <c r="Z1020" s="152"/>
    </row>
    <row r="1021" spans="2:26" s="35" customFormat="1" ht="17.100000000000001" customHeight="1">
      <c r="B1021" s="114"/>
      <c r="C1021" s="157">
        <f>'2. Rekap Back Up Beton'!C146</f>
        <v>22800</v>
      </c>
      <c r="D1021" s="158">
        <f>'2. Rekap Back Up Beton'!D146</f>
        <v>22900</v>
      </c>
      <c r="E1021" s="159">
        <f>'2. Rekap Back Up Beton'!E146</f>
        <v>5</v>
      </c>
      <c r="F1021" s="115">
        <f>(100/((D1021-C1021)*E1021))*((J1028*0.5)+(M1028*1)+(P1028*2)+(S1028*20)+(V1028*15)+(Y1028*1.5))</f>
        <v>12</v>
      </c>
      <c r="G1021" s="116" t="str">
        <f>IF(F1021&lt;=25,"B",IF(F1021&lt;=75,"S",IF(F1021&lt;=100,"RR","RB")))</f>
        <v>B</v>
      </c>
      <c r="H1021" s="135">
        <v>0</v>
      </c>
      <c r="I1021" s="136">
        <v>0</v>
      </c>
      <c r="J1021" s="137">
        <f t="shared" ref="J1021:J1027" si="750">H1021*I1021</f>
        <v>0</v>
      </c>
      <c r="K1021" s="135">
        <v>20</v>
      </c>
      <c r="L1021" s="136">
        <v>3</v>
      </c>
      <c r="M1021" s="137">
        <f t="shared" ref="M1021:M1027" si="751">K1021*L1021</f>
        <v>60</v>
      </c>
      <c r="N1021" s="135">
        <v>0</v>
      </c>
      <c r="O1021" s="136">
        <v>4</v>
      </c>
      <c r="P1021" s="137">
        <f t="shared" ref="P1021:P1027" si="752">N1021*O1021</f>
        <v>0</v>
      </c>
      <c r="Q1021" s="135">
        <v>0</v>
      </c>
      <c r="R1021" s="136">
        <v>0</v>
      </c>
      <c r="S1021" s="137">
        <f t="shared" ref="S1021:S1027" si="753">Q1021*R1021</f>
        <v>0</v>
      </c>
      <c r="T1021" s="135">
        <v>0</v>
      </c>
      <c r="U1021" s="136">
        <v>0</v>
      </c>
      <c r="V1021" s="137">
        <f>T1021*U1021</f>
        <v>0</v>
      </c>
      <c r="W1021" s="135">
        <v>0</v>
      </c>
      <c r="X1021" s="136">
        <v>0</v>
      </c>
      <c r="Y1021" s="148">
        <f t="shared" ref="Y1021:Y1027" si="754">W1021*X1021</f>
        <v>0</v>
      </c>
      <c r="Z1021" s="153"/>
    </row>
    <row r="1022" spans="2:26" s="35" customFormat="1" ht="17.100000000000001" customHeight="1">
      <c r="B1022" s="105"/>
      <c r="C1022" s="54"/>
      <c r="D1022" s="96"/>
      <c r="E1022" s="111"/>
      <c r="F1022" s="112"/>
      <c r="G1022" s="113"/>
      <c r="H1022" s="100">
        <v>0</v>
      </c>
      <c r="I1022" s="98">
        <v>0</v>
      </c>
      <c r="J1022" s="101">
        <f t="shared" si="750"/>
        <v>0</v>
      </c>
      <c r="K1022" s="100">
        <v>0</v>
      </c>
      <c r="L1022" s="98">
        <v>0</v>
      </c>
      <c r="M1022" s="101">
        <f t="shared" si="751"/>
        <v>0</v>
      </c>
      <c r="N1022" s="100">
        <v>0</v>
      </c>
      <c r="O1022" s="98">
        <v>0</v>
      </c>
      <c r="P1022" s="101">
        <f t="shared" si="752"/>
        <v>0</v>
      </c>
      <c r="Q1022" s="100">
        <v>0</v>
      </c>
      <c r="R1022" s="98">
        <v>0</v>
      </c>
      <c r="S1022" s="101">
        <f t="shared" si="753"/>
        <v>0</v>
      </c>
      <c r="T1022" s="100">
        <v>0</v>
      </c>
      <c r="U1022" s="98">
        <v>0</v>
      </c>
      <c r="V1022" s="101">
        <f t="shared" ref="V1022:V1027" si="755">T1022*U1022</f>
        <v>0</v>
      </c>
      <c r="W1022" s="100">
        <v>0</v>
      </c>
      <c r="X1022" s="98">
        <v>0</v>
      </c>
      <c r="Y1022" s="147">
        <f t="shared" si="754"/>
        <v>0</v>
      </c>
      <c r="Z1022" s="150"/>
    </row>
    <row r="1023" spans="2:26" s="35" customFormat="1" ht="17.100000000000001" customHeight="1">
      <c r="B1023" s="105"/>
      <c r="C1023" s="54"/>
      <c r="D1023" s="96"/>
      <c r="E1023" s="111"/>
      <c r="F1023" s="112"/>
      <c r="G1023" s="113"/>
      <c r="H1023" s="100">
        <v>0</v>
      </c>
      <c r="I1023" s="98">
        <v>0</v>
      </c>
      <c r="J1023" s="101">
        <f t="shared" si="750"/>
        <v>0</v>
      </c>
      <c r="K1023" s="100">
        <v>0</v>
      </c>
      <c r="L1023" s="98">
        <v>0</v>
      </c>
      <c r="M1023" s="101">
        <f t="shared" si="751"/>
        <v>0</v>
      </c>
      <c r="N1023" s="100">
        <v>0</v>
      </c>
      <c r="O1023" s="98">
        <v>0</v>
      </c>
      <c r="P1023" s="101">
        <f t="shared" si="752"/>
        <v>0</v>
      </c>
      <c r="Q1023" s="100">
        <v>0</v>
      </c>
      <c r="R1023" s="98">
        <v>0</v>
      </c>
      <c r="S1023" s="101">
        <f t="shared" si="753"/>
        <v>0</v>
      </c>
      <c r="T1023" s="100">
        <v>0</v>
      </c>
      <c r="U1023" s="98">
        <v>0</v>
      </c>
      <c r="V1023" s="101">
        <f t="shared" si="755"/>
        <v>0</v>
      </c>
      <c r="W1023" s="100">
        <v>0</v>
      </c>
      <c r="X1023" s="98">
        <v>0</v>
      </c>
      <c r="Y1023" s="147">
        <f t="shared" si="754"/>
        <v>0</v>
      </c>
      <c r="Z1023" s="150"/>
    </row>
    <row r="1024" spans="2:26" s="35" customFormat="1" ht="17.100000000000001" customHeight="1">
      <c r="B1024" s="105"/>
      <c r="C1024" s="54"/>
      <c r="D1024" s="96"/>
      <c r="E1024" s="111"/>
      <c r="F1024" s="112"/>
      <c r="G1024" s="113"/>
      <c r="H1024" s="100">
        <v>0</v>
      </c>
      <c r="I1024" s="98">
        <v>0</v>
      </c>
      <c r="J1024" s="101">
        <f t="shared" si="750"/>
        <v>0</v>
      </c>
      <c r="K1024" s="100">
        <v>0</v>
      </c>
      <c r="L1024" s="98">
        <v>0</v>
      </c>
      <c r="M1024" s="101">
        <f t="shared" si="751"/>
        <v>0</v>
      </c>
      <c r="N1024" s="100">
        <v>0</v>
      </c>
      <c r="O1024" s="98">
        <v>0</v>
      </c>
      <c r="P1024" s="101">
        <f t="shared" si="752"/>
        <v>0</v>
      </c>
      <c r="Q1024" s="100">
        <v>0</v>
      </c>
      <c r="R1024" s="98">
        <v>0</v>
      </c>
      <c r="S1024" s="101">
        <f t="shared" si="753"/>
        <v>0</v>
      </c>
      <c r="T1024" s="100">
        <v>0</v>
      </c>
      <c r="U1024" s="98">
        <v>0</v>
      </c>
      <c r="V1024" s="101">
        <f t="shared" si="755"/>
        <v>0</v>
      </c>
      <c r="W1024" s="100">
        <v>0</v>
      </c>
      <c r="X1024" s="98">
        <v>0</v>
      </c>
      <c r="Y1024" s="147">
        <f t="shared" si="754"/>
        <v>0</v>
      </c>
      <c r="Z1024" s="150"/>
    </row>
    <row r="1025" spans="2:26" s="35" customFormat="1" ht="17.100000000000001" customHeight="1">
      <c r="B1025" s="105"/>
      <c r="C1025" s="54"/>
      <c r="D1025" s="96"/>
      <c r="E1025" s="111"/>
      <c r="F1025" s="112"/>
      <c r="G1025" s="113"/>
      <c r="H1025" s="100">
        <v>0</v>
      </c>
      <c r="I1025" s="98">
        <v>0</v>
      </c>
      <c r="J1025" s="101">
        <f t="shared" si="750"/>
        <v>0</v>
      </c>
      <c r="K1025" s="100">
        <v>0</v>
      </c>
      <c r="L1025" s="98">
        <v>0</v>
      </c>
      <c r="M1025" s="101">
        <f t="shared" si="751"/>
        <v>0</v>
      </c>
      <c r="N1025" s="100">
        <v>0</v>
      </c>
      <c r="O1025" s="98">
        <v>0</v>
      </c>
      <c r="P1025" s="101">
        <f t="shared" si="752"/>
        <v>0</v>
      </c>
      <c r="Q1025" s="100">
        <v>0</v>
      </c>
      <c r="R1025" s="98">
        <v>0</v>
      </c>
      <c r="S1025" s="101">
        <f t="shared" si="753"/>
        <v>0</v>
      </c>
      <c r="T1025" s="100">
        <v>0</v>
      </c>
      <c r="U1025" s="98">
        <v>0</v>
      </c>
      <c r="V1025" s="101">
        <f t="shared" si="755"/>
        <v>0</v>
      </c>
      <c r="W1025" s="100">
        <v>0</v>
      </c>
      <c r="X1025" s="98">
        <v>0</v>
      </c>
      <c r="Y1025" s="147">
        <f t="shared" si="754"/>
        <v>0</v>
      </c>
      <c r="Z1025" s="150"/>
    </row>
    <row r="1026" spans="2:26" s="35" customFormat="1" ht="17.100000000000001" customHeight="1">
      <c r="B1026" s="105"/>
      <c r="C1026" s="54"/>
      <c r="D1026" s="96"/>
      <c r="E1026" s="111"/>
      <c r="F1026" s="112"/>
      <c r="G1026" s="113"/>
      <c r="H1026" s="100">
        <v>0</v>
      </c>
      <c r="I1026" s="98">
        <v>0</v>
      </c>
      <c r="J1026" s="101">
        <f t="shared" si="750"/>
        <v>0</v>
      </c>
      <c r="K1026" s="100">
        <v>0</v>
      </c>
      <c r="L1026" s="98">
        <v>0</v>
      </c>
      <c r="M1026" s="101">
        <f t="shared" si="751"/>
        <v>0</v>
      </c>
      <c r="N1026" s="100">
        <v>0</v>
      </c>
      <c r="O1026" s="98">
        <v>0</v>
      </c>
      <c r="P1026" s="101">
        <f t="shared" si="752"/>
        <v>0</v>
      </c>
      <c r="Q1026" s="100">
        <v>0</v>
      </c>
      <c r="R1026" s="98">
        <v>0</v>
      </c>
      <c r="S1026" s="101">
        <f t="shared" si="753"/>
        <v>0</v>
      </c>
      <c r="T1026" s="100">
        <v>0</v>
      </c>
      <c r="U1026" s="98">
        <v>0</v>
      </c>
      <c r="V1026" s="101">
        <f t="shared" si="755"/>
        <v>0</v>
      </c>
      <c r="W1026" s="100">
        <v>0</v>
      </c>
      <c r="X1026" s="98">
        <v>0</v>
      </c>
      <c r="Y1026" s="147">
        <f t="shared" si="754"/>
        <v>0</v>
      </c>
      <c r="Z1026" s="150"/>
    </row>
    <row r="1027" spans="2:26" s="35" customFormat="1" ht="17.100000000000001" customHeight="1">
      <c r="B1027" s="105"/>
      <c r="C1027" s="54"/>
      <c r="D1027" s="96"/>
      <c r="E1027" s="111"/>
      <c r="F1027" s="112"/>
      <c r="G1027" s="113"/>
      <c r="H1027" s="100">
        <v>0</v>
      </c>
      <c r="I1027" s="98">
        <v>0</v>
      </c>
      <c r="J1027" s="101">
        <f t="shared" si="750"/>
        <v>0</v>
      </c>
      <c r="K1027" s="100">
        <v>0</v>
      </c>
      <c r="L1027" s="98">
        <v>0</v>
      </c>
      <c r="M1027" s="101">
        <f t="shared" si="751"/>
        <v>0</v>
      </c>
      <c r="N1027" s="100">
        <v>0</v>
      </c>
      <c r="O1027" s="98">
        <v>0</v>
      </c>
      <c r="P1027" s="101">
        <f t="shared" si="752"/>
        <v>0</v>
      </c>
      <c r="Q1027" s="100">
        <v>0</v>
      </c>
      <c r="R1027" s="98">
        <v>0</v>
      </c>
      <c r="S1027" s="101">
        <f t="shared" si="753"/>
        <v>0</v>
      </c>
      <c r="T1027" s="100">
        <v>0</v>
      </c>
      <c r="U1027" s="98">
        <v>0</v>
      </c>
      <c r="V1027" s="101">
        <f t="shared" si="755"/>
        <v>0</v>
      </c>
      <c r="W1027" s="100">
        <v>0</v>
      </c>
      <c r="X1027" s="98">
        <v>0</v>
      </c>
      <c r="Y1027" s="147">
        <f t="shared" si="754"/>
        <v>0</v>
      </c>
      <c r="Z1027" s="150"/>
    </row>
    <row r="1028" spans="2:26" s="126" customFormat="1" ht="17.100000000000001" customHeight="1">
      <c r="B1028" s="118"/>
      <c r="C1028" s="119"/>
      <c r="D1028" s="120"/>
      <c r="E1028" s="121"/>
      <c r="F1028" s="122"/>
      <c r="G1028" s="123"/>
      <c r="H1028" s="341" t="s">
        <v>201</v>
      </c>
      <c r="I1028" s="342"/>
      <c r="J1028" s="124">
        <f>SUM(J1021:J1027)</f>
        <v>0</v>
      </c>
      <c r="K1028" s="341" t="s">
        <v>201</v>
      </c>
      <c r="L1028" s="342"/>
      <c r="M1028" s="124">
        <f>SUM(M1021:M1027)</f>
        <v>60</v>
      </c>
      <c r="N1028" s="341" t="s">
        <v>201</v>
      </c>
      <c r="O1028" s="342"/>
      <c r="P1028" s="124">
        <f>SUM(P1021:P1027)</f>
        <v>0</v>
      </c>
      <c r="Q1028" s="341" t="s">
        <v>201</v>
      </c>
      <c r="R1028" s="342"/>
      <c r="S1028" s="124">
        <f>SUM(S1021:S1027)</f>
        <v>0</v>
      </c>
      <c r="T1028" s="341" t="s">
        <v>201</v>
      </c>
      <c r="U1028" s="342"/>
      <c r="V1028" s="124">
        <f>SUM(V1021:V1027)</f>
        <v>0</v>
      </c>
      <c r="W1028" s="341" t="s">
        <v>201</v>
      </c>
      <c r="X1028" s="342"/>
      <c r="Y1028" s="127">
        <f>SUM(Y1021:Y1027)</f>
        <v>0</v>
      </c>
      <c r="Z1028" s="151"/>
    </row>
    <row r="1029" spans="2:26" s="35" customFormat="1" ht="17.100000000000001" customHeight="1">
      <c r="B1029" s="105"/>
      <c r="C1029" s="54">
        <f>'2. Rekap Back Up Beton'!C147</f>
        <v>22900</v>
      </c>
      <c r="D1029" s="96">
        <f>'2. Rekap Back Up Beton'!D147</f>
        <v>23000</v>
      </c>
      <c r="E1029" s="111">
        <f>'2. Rekap Back Up Beton'!E147</f>
        <v>5</v>
      </c>
      <c r="F1029" s="112">
        <f>(100/((D1029-C1029)*E1029))*((J1036*0.5)+(M1036*1)+(P1036*2)+(S1036*20)+(V1036*15)+(Y1036*1.5))</f>
        <v>9</v>
      </c>
      <c r="G1029" s="113" t="str">
        <f>IF(F1029&lt;=25,"B",IF(F1029&lt;=75,"S",IF(F1029&lt;=100,"RR","RB")))</f>
        <v>B</v>
      </c>
      <c r="H1029" s="100">
        <v>0</v>
      </c>
      <c r="I1029" s="98">
        <v>0</v>
      </c>
      <c r="J1029" s="101">
        <f t="shared" ref="J1029:J1035" si="756">H1029*I1029</f>
        <v>0</v>
      </c>
      <c r="K1029" s="100">
        <v>15</v>
      </c>
      <c r="L1029" s="98">
        <v>3</v>
      </c>
      <c r="M1029" s="101">
        <f t="shared" ref="M1029:M1035" si="757">K1029*L1029</f>
        <v>45</v>
      </c>
      <c r="N1029" s="100">
        <v>0</v>
      </c>
      <c r="O1029" s="98">
        <v>4</v>
      </c>
      <c r="P1029" s="101">
        <f t="shared" ref="P1029:P1035" si="758">N1029*O1029</f>
        <v>0</v>
      </c>
      <c r="Q1029" s="100">
        <v>0</v>
      </c>
      <c r="R1029" s="98">
        <v>0</v>
      </c>
      <c r="S1029" s="101">
        <f t="shared" ref="S1029:S1035" si="759">Q1029*R1029</f>
        <v>0</v>
      </c>
      <c r="T1029" s="100">
        <v>0</v>
      </c>
      <c r="U1029" s="98">
        <v>0</v>
      </c>
      <c r="V1029" s="101">
        <f>T1029*U1029</f>
        <v>0</v>
      </c>
      <c r="W1029" s="100">
        <v>0</v>
      </c>
      <c r="X1029" s="98">
        <v>0</v>
      </c>
      <c r="Y1029" s="147">
        <f t="shared" ref="Y1029:Y1035" si="760">W1029*X1029</f>
        <v>0</v>
      </c>
      <c r="Z1029" s="150"/>
    </row>
    <row r="1030" spans="2:26" s="35" customFormat="1" ht="17.100000000000001" customHeight="1">
      <c r="B1030" s="105"/>
      <c r="C1030" s="54"/>
      <c r="D1030" s="96"/>
      <c r="E1030" s="111"/>
      <c r="F1030" s="112"/>
      <c r="G1030" s="113"/>
      <c r="H1030" s="100">
        <v>0</v>
      </c>
      <c r="I1030" s="98">
        <v>0</v>
      </c>
      <c r="J1030" s="101">
        <f t="shared" si="756"/>
        <v>0</v>
      </c>
      <c r="K1030" s="100">
        <v>0</v>
      </c>
      <c r="L1030" s="98">
        <v>0</v>
      </c>
      <c r="M1030" s="101">
        <f t="shared" si="757"/>
        <v>0</v>
      </c>
      <c r="N1030" s="100">
        <v>0</v>
      </c>
      <c r="O1030" s="98">
        <v>0</v>
      </c>
      <c r="P1030" s="101">
        <f t="shared" si="758"/>
        <v>0</v>
      </c>
      <c r="Q1030" s="100">
        <v>0</v>
      </c>
      <c r="R1030" s="98">
        <v>0</v>
      </c>
      <c r="S1030" s="101">
        <f t="shared" si="759"/>
        <v>0</v>
      </c>
      <c r="T1030" s="100">
        <v>0</v>
      </c>
      <c r="U1030" s="98">
        <v>0</v>
      </c>
      <c r="V1030" s="101">
        <f t="shared" ref="V1030:V1035" si="761">T1030*U1030</f>
        <v>0</v>
      </c>
      <c r="W1030" s="100">
        <v>0</v>
      </c>
      <c r="X1030" s="98">
        <v>0</v>
      </c>
      <c r="Y1030" s="147">
        <f t="shared" si="760"/>
        <v>0</v>
      </c>
      <c r="Z1030" s="150"/>
    </row>
    <row r="1031" spans="2:26" s="35" customFormat="1" ht="17.100000000000001" customHeight="1">
      <c r="B1031" s="105"/>
      <c r="C1031" s="54"/>
      <c r="D1031" s="96"/>
      <c r="E1031" s="111"/>
      <c r="F1031" s="112"/>
      <c r="G1031" s="113"/>
      <c r="H1031" s="100">
        <v>0</v>
      </c>
      <c r="I1031" s="98">
        <v>0</v>
      </c>
      <c r="J1031" s="101">
        <f t="shared" si="756"/>
        <v>0</v>
      </c>
      <c r="K1031" s="100">
        <v>0</v>
      </c>
      <c r="L1031" s="98">
        <v>0</v>
      </c>
      <c r="M1031" s="101">
        <f t="shared" si="757"/>
        <v>0</v>
      </c>
      <c r="N1031" s="100">
        <v>0</v>
      </c>
      <c r="O1031" s="98">
        <v>0</v>
      </c>
      <c r="P1031" s="101">
        <f t="shared" si="758"/>
        <v>0</v>
      </c>
      <c r="Q1031" s="100">
        <v>0</v>
      </c>
      <c r="R1031" s="98">
        <v>0</v>
      </c>
      <c r="S1031" s="101">
        <f t="shared" si="759"/>
        <v>0</v>
      </c>
      <c r="T1031" s="100">
        <v>0</v>
      </c>
      <c r="U1031" s="98">
        <v>0</v>
      </c>
      <c r="V1031" s="101">
        <f t="shared" si="761"/>
        <v>0</v>
      </c>
      <c r="W1031" s="100">
        <v>0</v>
      </c>
      <c r="X1031" s="98">
        <v>0</v>
      </c>
      <c r="Y1031" s="147">
        <f t="shared" si="760"/>
        <v>0</v>
      </c>
      <c r="Z1031" s="150"/>
    </row>
    <row r="1032" spans="2:26" s="35" customFormat="1" ht="17.100000000000001" customHeight="1">
      <c r="B1032" s="105"/>
      <c r="C1032" s="54"/>
      <c r="D1032" s="96"/>
      <c r="E1032" s="111"/>
      <c r="F1032" s="112"/>
      <c r="G1032" s="113"/>
      <c r="H1032" s="100">
        <v>0</v>
      </c>
      <c r="I1032" s="98">
        <v>0</v>
      </c>
      <c r="J1032" s="101">
        <f t="shared" si="756"/>
        <v>0</v>
      </c>
      <c r="K1032" s="100">
        <v>0</v>
      </c>
      <c r="L1032" s="98">
        <v>0</v>
      </c>
      <c r="M1032" s="101">
        <f t="shared" si="757"/>
        <v>0</v>
      </c>
      <c r="N1032" s="100">
        <v>0</v>
      </c>
      <c r="O1032" s="98">
        <v>0</v>
      </c>
      <c r="P1032" s="101">
        <f t="shared" si="758"/>
        <v>0</v>
      </c>
      <c r="Q1032" s="100">
        <v>0</v>
      </c>
      <c r="R1032" s="98">
        <v>0</v>
      </c>
      <c r="S1032" s="101">
        <f t="shared" si="759"/>
        <v>0</v>
      </c>
      <c r="T1032" s="100">
        <v>0</v>
      </c>
      <c r="U1032" s="98">
        <v>0</v>
      </c>
      <c r="V1032" s="101">
        <f t="shared" si="761"/>
        <v>0</v>
      </c>
      <c r="W1032" s="100">
        <v>0</v>
      </c>
      <c r="X1032" s="98">
        <v>0</v>
      </c>
      <c r="Y1032" s="147">
        <f t="shared" si="760"/>
        <v>0</v>
      </c>
      <c r="Z1032" s="150"/>
    </row>
    <row r="1033" spans="2:26" s="35" customFormat="1" ht="17.100000000000001" customHeight="1">
      <c r="B1033" s="105"/>
      <c r="C1033" s="54"/>
      <c r="D1033" s="96"/>
      <c r="E1033" s="111"/>
      <c r="F1033" s="112"/>
      <c r="G1033" s="113"/>
      <c r="H1033" s="100">
        <v>0</v>
      </c>
      <c r="I1033" s="98">
        <v>0</v>
      </c>
      <c r="J1033" s="101">
        <f t="shared" si="756"/>
        <v>0</v>
      </c>
      <c r="K1033" s="100">
        <v>0</v>
      </c>
      <c r="L1033" s="98">
        <v>0</v>
      </c>
      <c r="M1033" s="101">
        <f t="shared" si="757"/>
        <v>0</v>
      </c>
      <c r="N1033" s="100">
        <v>0</v>
      </c>
      <c r="O1033" s="98">
        <v>0</v>
      </c>
      <c r="P1033" s="101">
        <f t="shared" si="758"/>
        <v>0</v>
      </c>
      <c r="Q1033" s="100">
        <v>0</v>
      </c>
      <c r="R1033" s="98">
        <v>0</v>
      </c>
      <c r="S1033" s="101">
        <f t="shared" si="759"/>
        <v>0</v>
      </c>
      <c r="T1033" s="100">
        <v>0</v>
      </c>
      <c r="U1033" s="98">
        <v>0</v>
      </c>
      <c r="V1033" s="101">
        <f t="shared" si="761"/>
        <v>0</v>
      </c>
      <c r="W1033" s="100">
        <v>0</v>
      </c>
      <c r="X1033" s="98">
        <v>0</v>
      </c>
      <c r="Y1033" s="147">
        <f t="shared" si="760"/>
        <v>0</v>
      </c>
      <c r="Z1033" s="150"/>
    </row>
    <row r="1034" spans="2:26" s="35" customFormat="1" ht="17.100000000000001" customHeight="1">
      <c r="B1034" s="105"/>
      <c r="C1034" s="54"/>
      <c r="D1034" s="96"/>
      <c r="E1034" s="111"/>
      <c r="F1034" s="112"/>
      <c r="G1034" s="113"/>
      <c r="H1034" s="100">
        <v>0</v>
      </c>
      <c r="I1034" s="98">
        <v>0</v>
      </c>
      <c r="J1034" s="101">
        <f t="shared" si="756"/>
        <v>0</v>
      </c>
      <c r="K1034" s="100">
        <v>0</v>
      </c>
      <c r="L1034" s="98">
        <v>0</v>
      </c>
      <c r="M1034" s="101">
        <f t="shared" si="757"/>
        <v>0</v>
      </c>
      <c r="N1034" s="100">
        <v>0</v>
      </c>
      <c r="O1034" s="98">
        <v>0</v>
      </c>
      <c r="P1034" s="101">
        <f t="shared" si="758"/>
        <v>0</v>
      </c>
      <c r="Q1034" s="100">
        <v>0</v>
      </c>
      <c r="R1034" s="98">
        <v>0</v>
      </c>
      <c r="S1034" s="101">
        <f t="shared" si="759"/>
        <v>0</v>
      </c>
      <c r="T1034" s="100">
        <v>0</v>
      </c>
      <c r="U1034" s="98">
        <v>0</v>
      </c>
      <c r="V1034" s="101">
        <f t="shared" si="761"/>
        <v>0</v>
      </c>
      <c r="W1034" s="100">
        <v>0</v>
      </c>
      <c r="X1034" s="98">
        <v>0</v>
      </c>
      <c r="Y1034" s="147">
        <f t="shared" si="760"/>
        <v>0</v>
      </c>
      <c r="Z1034" s="150"/>
    </row>
    <row r="1035" spans="2:26" s="35" customFormat="1" ht="17.100000000000001" customHeight="1">
      <c r="B1035" s="105"/>
      <c r="C1035" s="54"/>
      <c r="D1035" s="96"/>
      <c r="E1035" s="111"/>
      <c r="F1035" s="112"/>
      <c r="G1035" s="113"/>
      <c r="H1035" s="100">
        <v>0</v>
      </c>
      <c r="I1035" s="98">
        <v>0</v>
      </c>
      <c r="J1035" s="101">
        <f t="shared" si="756"/>
        <v>0</v>
      </c>
      <c r="K1035" s="100">
        <v>0</v>
      </c>
      <c r="L1035" s="98">
        <v>0</v>
      </c>
      <c r="M1035" s="101">
        <f t="shared" si="757"/>
        <v>0</v>
      </c>
      <c r="N1035" s="100">
        <v>0</v>
      </c>
      <c r="O1035" s="98">
        <v>0</v>
      </c>
      <c r="P1035" s="101">
        <f t="shared" si="758"/>
        <v>0</v>
      </c>
      <c r="Q1035" s="100">
        <v>0</v>
      </c>
      <c r="R1035" s="98">
        <v>0</v>
      </c>
      <c r="S1035" s="101">
        <f t="shared" si="759"/>
        <v>0</v>
      </c>
      <c r="T1035" s="100">
        <v>0</v>
      </c>
      <c r="U1035" s="98">
        <v>0</v>
      </c>
      <c r="V1035" s="101">
        <f t="shared" si="761"/>
        <v>0</v>
      </c>
      <c r="W1035" s="100">
        <v>0</v>
      </c>
      <c r="X1035" s="98">
        <v>0</v>
      </c>
      <c r="Y1035" s="147">
        <f t="shared" si="760"/>
        <v>0</v>
      </c>
      <c r="Z1035" s="150"/>
    </row>
    <row r="1036" spans="2:26" s="126" customFormat="1" ht="17.100000000000001" customHeight="1">
      <c r="B1036" s="118"/>
      <c r="C1036" s="119"/>
      <c r="D1036" s="120"/>
      <c r="E1036" s="121"/>
      <c r="F1036" s="122"/>
      <c r="G1036" s="123"/>
      <c r="H1036" s="341" t="s">
        <v>201</v>
      </c>
      <c r="I1036" s="342"/>
      <c r="J1036" s="124">
        <f>SUM(J1029:J1035)</f>
        <v>0</v>
      </c>
      <c r="K1036" s="341" t="s">
        <v>201</v>
      </c>
      <c r="L1036" s="342"/>
      <c r="M1036" s="124">
        <f>SUM(M1029:M1035)</f>
        <v>45</v>
      </c>
      <c r="N1036" s="341" t="s">
        <v>201</v>
      </c>
      <c r="O1036" s="342"/>
      <c r="P1036" s="124">
        <f>SUM(P1029:P1035)</f>
        <v>0</v>
      </c>
      <c r="Q1036" s="341" t="s">
        <v>201</v>
      </c>
      <c r="R1036" s="342"/>
      <c r="S1036" s="124">
        <f>SUM(S1029:S1035)</f>
        <v>0</v>
      </c>
      <c r="T1036" s="341" t="s">
        <v>201</v>
      </c>
      <c r="U1036" s="342"/>
      <c r="V1036" s="124">
        <f>SUM(V1029:V1035)</f>
        <v>0</v>
      </c>
      <c r="W1036" s="341" t="s">
        <v>201</v>
      </c>
      <c r="X1036" s="342"/>
      <c r="Y1036" s="127">
        <f>SUM(Y1029:Y1035)</f>
        <v>0</v>
      </c>
      <c r="Z1036" s="151"/>
    </row>
    <row r="1037" spans="2:26" s="35" customFormat="1" ht="17.100000000000001" customHeight="1">
      <c r="B1037" s="105"/>
      <c r="C1037" s="54">
        <f>'2. Rekap Back Up Beton'!C148</f>
        <v>23000</v>
      </c>
      <c r="D1037" s="96">
        <f>'2. Rekap Back Up Beton'!D148</f>
        <v>23100</v>
      </c>
      <c r="E1037" s="111">
        <f>'2. Rekap Back Up Beton'!E148</f>
        <v>5</v>
      </c>
      <c r="F1037" s="112">
        <f>(100/((D1037-C1037)*E1037))*((J1044*0.5)+(M1044*1)+(P1044*2)+(S1044*20)+(V1044*15)+(Y1044*1.5))</f>
        <v>20</v>
      </c>
      <c r="G1037" s="113" t="str">
        <f>IF(F1037&lt;=25,"B",IF(F1037&lt;=75,"S",IF(F1037&lt;=100,"RR","RB")))</f>
        <v>B</v>
      </c>
      <c r="H1037" s="100">
        <v>0</v>
      </c>
      <c r="I1037" s="98">
        <v>0</v>
      </c>
      <c r="J1037" s="101">
        <f t="shared" ref="J1037:J1043" si="762">H1037*I1037</f>
        <v>0</v>
      </c>
      <c r="K1037" s="100">
        <v>0</v>
      </c>
      <c r="L1037" s="98">
        <v>0</v>
      </c>
      <c r="M1037" s="101">
        <f t="shared" ref="M1037:M1043" si="763">K1037*L1037</f>
        <v>0</v>
      </c>
      <c r="N1037" s="100">
        <v>0</v>
      </c>
      <c r="O1037" s="98">
        <v>4</v>
      </c>
      <c r="P1037" s="101">
        <f t="shared" ref="P1037:P1043" si="764">N1037*O1037</f>
        <v>0</v>
      </c>
      <c r="Q1037" s="100">
        <v>5</v>
      </c>
      <c r="R1037" s="98">
        <v>1</v>
      </c>
      <c r="S1037" s="101">
        <f t="shared" ref="S1037:S1043" si="765">Q1037*R1037</f>
        <v>5</v>
      </c>
      <c r="T1037" s="100">
        <v>0</v>
      </c>
      <c r="U1037" s="98">
        <v>0</v>
      </c>
      <c r="V1037" s="101">
        <f>T1037*U1037</f>
        <v>0</v>
      </c>
      <c r="W1037" s="100">
        <v>0</v>
      </c>
      <c r="X1037" s="98">
        <v>0</v>
      </c>
      <c r="Y1037" s="147">
        <f t="shared" ref="Y1037:Y1043" si="766">W1037*X1037</f>
        <v>0</v>
      </c>
      <c r="Z1037" s="150"/>
    </row>
    <row r="1038" spans="2:26" s="35" customFormat="1" ht="17.100000000000001" customHeight="1">
      <c r="B1038" s="105"/>
      <c r="C1038" s="54"/>
      <c r="D1038" s="96"/>
      <c r="E1038" s="111"/>
      <c r="F1038" s="112"/>
      <c r="G1038" s="113"/>
      <c r="H1038" s="100">
        <v>0</v>
      </c>
      <c r="I1038" s="98">
        <v>0</v>
      </c>
      <c r="J1038" s="101">
        <f t="shared" si="762"/>
        <v>0</v>
      </c>
      <c r="K1038" s="100">
        <v>0</v>
      </c>
      <c r="L1038" s="98">
        <v>0</v>
      </c>
      <c r="M1038" s="101">
        <f t="shared" si="763"/>
        <v>0</v>
      </c>
      <c r="N1038" s="100">
        <v>0</v>
      </c>
      <c r="O1038" s="98">
        <v>0</v>
      </c>
      <c r="P1038" s="101">
        <f t="shared" si="764"/>
        <v>0</v>
      </c>
      <c r="Q1038" s="100">
        <v>0</v>
      </c>
      <c r="R1038" s="98">
        <v>0</v>
      </c>
      <c r="S1038" s="101">
        <f t="shared" si="765"/>
        <v>0</v>
      </c>
      <c r="T1038" s="100">
        <v>0</v>
      </c>
      <c r="U1038" s="98">
        <v>0</v>
      </c>
      <c r="V1038" s="101">
        <f t="shared" ref="V1038:V1043" si="767">T1038*U1038</f>
        <v>0</v>
      </c>
      <c r="W1038" s="100">
        <v>0</v>
      </c>
      <c r="X1038" s="98">
        <v>0</v>
      </c>
      <c r="Y1038" s="147">
        <f t="shared" si="766"/>
        <v>0</v>
      </c>
      <c r="Z1038" s="150"/>
    </row>
    <row r="1039" spans="2:26" s="35" customFormat="1" ht="17.100000000000001" customHeight="1">
      <c r="B1039" s="105"/>
      <c r="C1039" s="54"/>
      <c r="D1039" s="96"/>
      <c r="E1039" s="111"/>
      <c r="F1039" s="112"/>
      <c r="G1039" s="113"/>
      <c r="H1039" s="100">
        <v>0</v>
      </c>
      <c r="I1039" s="98">
        <v>0</v>
      </c>
      <c r="J1039" s="101">
        <f t="shared" si="762"/>
        <v>0</v>
      </c>
      <c r="K1039" s="100">
        <v>0</v>
      </c>
      <c r="L1039" s="98">
        <v>0</v>
      </c>
      <c r="M1039" s="101">
        <f t="shared" si="763"/>
        <v>0</v>
      </c>
      <c r="N1039" s="100">
        <v>0</v>
      </c>
      <c r="O1039" s="98">
        <v>0</v>
      </c>
      <c r="P1039" s="101">
        <f t="shared" si="764"/>
        <v>0</v>
      </c>
      <c r="Q1039" s="100">
        <v>0</v>
      </c>
      <c r="R1039" s="98">
        <v>0</v>
      </c>
      <c r="S1039" s="101">
        <f t="shared" si="765"/>
        <v>0</v>
      </c>
      <c r="T1039" s="100">
        <v>0</v>
      </c>
      <c r="U1039" s="98">
        <v>0</v>
      </c>
      <c r="V1039" s="101">
        <f t="shared" si="767"/>
        <v>0</v>
      </c>
      <c r="W1039" s="100">
        <v>0</v>
      </c>
      <c r="X1039" s="98">
        <v>0</v>
      </c>
      <c r="Y1039" s="147">
        <f t="shared" si="766"/>
        <v>0</v>
      </c>
      <c r="Z1039" s="150"/>
    </row>
    <row r="1040" spans="2:26" s="35" customFormat="1" ht="17.100000000000001" customHeight="1">
      <c r="B1040" s="105"/>
      <c r="C1040" s="54"/>
      <c r="D1040" s="96"/>
      <c r="E1040" s="111"/>
      <c r="F1040" s="112"/>
      <c r="G1040" s="113"/>
      <c r="H1040" s="100">
        <v>0</v>
      </c>
      <c r="I1040" s="98">
        <v>0</v>
      </c>
      <c r="J1040" s="101">
        <f t="shared" si="762"/>
        <v>0</v>
      </c>
      <c r="K1040" s="100">
        <v>0</v>
      </c>
      <c r="L1040" s="98">
        <v>0</v>
      </c>
      <c r="M1040" s="101">
        <f t="shared" si="763"/>
        <v>0</v>
      </c>
      <c r="N1040" s="100">
        <v>0</v>
      </c>
      <c r="O1040" s="98">
        <v>0</v>
      </c>
      <c r="P1040" s="101">
        <f t="shared" si="764"/>
        <v>0</v>
      </c>
      <c r="Q1040" s="100">
        <v>0</v>
      </c>
      <c r="R1040" s="98">
        <v>0</v>
      </c>
      <c r="S1040" s="101">
        <f t="shared" si="765"/>
        <v>0</v>
      </c>
      <c r="T1040" s="100">
        <v>0</v>
      </c>
      <c r="U1040" s="98">
        <v>0</v>
      </c>
      <c r="V1040" s="101">
        <f t="shared" si="767"/>
        <v>0</v>
      </c>
      <c r="W1040" s="100">
        <v>0</v>
      </c>
      <c r="X1040" s="98">
        <v>0</v>
      </c>
      <c r="Y1040" s="147">
        <f t="shared" si="766"/>
        <v>0</v>
      </c>
      <c r="Z1040" s="150"/>
    </row>
    <row r="1041" spans="2:26" s="35" customFormat="1" ht="17.100000000000001" customHeight="1">
      <c r="B1041" s="105"/>
      <c r="C1041" s="54"/>
      <c r="D1041" s="96"/>
      <c r="E1041" s="111"/>
      <c r="F1041" s="112"/>
      <c r="G1041" s="113"/>
      <c r="H1041" s="100">
        <v>0</v>
      </c>
      <c r="I1041" s="98">
        <v>0</v>
      </c>
      <c r="J1041" s="101">
        <f t="shared" si="762"/>
        <v>0</v>
      </c>
      <c r="K1041" s="100">
        <v>0</v>
      </c>
      <c r="L1041" s="98">
        <v>0</v>
      </c>
      <c r="M1041" s="101">
        <f t="shared" si="763"/>
        <v>0</v>
      </c>
      <c r="N1041" s="100">
        <v>0</v>
      </c>
      <c r="O1041" s="98">
        <v>0</v>
      </c>
      <c r="P1041" s="101">
        <f t="shared" si="764"/>
        <v>0</v>
      </c>
      <c r="Q1041" s="100">
        <v>0</v>
      </c>
      <c r="R1041" s="98">
        <v>0</v>
      </c>
      <c r="S1041" s="101">
        <f t="shared" si="765"/>
        <v>0</v>
      </c>
      <c r="T1041" s="100">
        <v>0</v>
      </c>
      <c r="U1041" s="98">
        <v>0</v>
      </c>
      <c r="V1041" s="101">
        <f t="shared" si="767"/>
        <v>0</v>
      </c>
      <c r="W1041" s="100">
        <v>0</v>
      </c>
      <c r="X1041" s="98">
        <v>0</v>
      </c>
      <c r="Y1041" s="147">
        <f t="shared" si="766"/>
        <v>0</v>
      </c>
      <c r="Z1041" s="150"/>
    </row>
    <row r="1042" spans="2:26" s="35" customFormat="1" ht="17.100000000000001" customHeight="1">
      <c r="B1042" s="105"/>
      <c r="C1042" s="54"/>
      <c r="D1042" s="96"/>
      <c r="E1042" s="111"/>
      <c r="F1042" s="112"/>
      <c r="G1042" s="113"/>
      <c r="H1042" s="100">
        <v>0</v>
      </c>
      <c r="I1042" s="98">
        <v>0</v>
      </c>
      <c r="J1042" s="101">
        <f t="shared" si="762"/>
        <v>0</v>
      </c>
      <c r="K1042" s="100">
        <v>0</v>
      </c>
      <c r="L1042" s="98">
        <v>0</v>
      </c>
      <c r="M1042" s="101">
        <f t="shared" si="763"/>
        <v>0</v>
      </c>
      <c r="N1042" s="100">
        <v>0</v>
      </c>
      <c r="O1042" s="98">
        <v>0</v>
      </c>
      <c r="P1042" s="101">
        <f t="shared" si="764"/>
        <v>0</v>
      </c>
      <c r="Q1042" s="100">
        <v>0</v>
      </c>
      <c r="R1042" s="98">
        <v>0</v>
      </c>
      <c r="S1042" s="101">
        <f t="shared" si="765"/>
        <v>0</v>
      </c>
      <c r="T1042" s="100">
        <v>0</v>
      </c>
      <c r="U1042" s="98">
        <v>0</v>
      </c>
      <c r="V1042" s="101">
        <f t="shared" si="767"/>
        <v>0</v>
      </c>
      <c r="W1042" s="100">
        <v>0</v>
      </c>
      <c r="X1042" s="98">
        <v>0</v>
      </c>
      <c r="Y1042" s="147">
        <f t="shared" si="766"/>
        <v>0</v>
      </c>
      <c r="Z1042" s="150"/>
    </row>
    <row r="1043" spans="2:26" s="35" customFormat="1" ht="17.100000000000001" customHeight="1">
      <c r="B1043" s="105"/>
      <c r="C1043" s="54"/>
      <c r="D1043" s="96"/>
      <c r="E1043" s="111"/>
      <c r="F1043" s="112"/>
      <c r="G1043" s="113"/>
      <c r="H1043" s="100">
        <v>0</v>
      </c>
      <c r="I1043" s="98">
        <v>0</v>
      </c>
      <c r="J1043" s="101">
        <f t="shared" si="762"/>
        <v>0</v>
      </c>
      <c r="K1043" s="100">
        <v>0</v>
      </c>
      <c r="L1043" s="98">
        <v>0</v>
      </c>
      <c r="M1043" s="101">
        <f t="shared" si="763"/>
        <v>0</v>
      </c>
      <c r="N1043" s="100">
        <v>0</v>
      </c>
      <c r="O1043" s="98">
        <v>0</v>
      </c>
      <c r="P1043" s="101">
        <f t="shared" si="764"/>
        <v>0</v>
      </c>
      <c r="Q1043" s="100">
        <v>0</v>
      </c>
      <c r="R1043" s="98">
        <v>0</v>
      </c>
      <c r="S1043" s="101">
        <f t="shared" si="765"/>
        <v>0</v>
      </c>
      <c r="T1043" s="100">
        <v>0</v>
      </c>
      <c r="U1043" s="98">
        <v>0</v>
      </c>
      <c r="V1043" s="101">
        <f t="shared" si="767"/>
        <v>0</v>
      </c>
      <c r="W1043" s="100">
        <v>0</v>
      </c>
      <c r="X1043" s="98">
        <v>0</v>
      </c>
      <c r="Y1043" s="147">
        <f t="shared" si="766"/>
        <v>0</v>
      </c>
      <c r="Z1043" s="150"/>
    </row>
    <row r="1044" spans="2:26" s="126" customFormat="1" ht="17.100000000000001" customHeight="1">
      <c r="B1044" s="118"/>
      <c r="C1044" s="119"/>
      <c r="D1044" s="120"/>
      <c r="E1044" s="121"/>
      <c r="F1044" s="122"/>
      <c r="G1044" s="123"/>
      <c r="H1044" s="341" t="s">
        <v>201</v>
      </c>
      <c r="I1044" s="342"/>
      <c r="J1044" s="124">
        <f>SUM(J1037:J1043)</f>
        <v>0</v>
      </c>
      <c r="K1044" s="341" t="s">
        <v>201</v>
      </c>
      <c r="L1044" s="342"/>
      <c r="M1044" s="124">
        <f>SUM(M1037:M1043)</f>
        <v>0</v>
      </c>
      <c r="N1044" s="341" t="s">
        <v>201</v>
      </c>
      <c r="O1044" s="342"/>
      <c r="P1044" s="124">
        <f>SUM(P1037:P1043)</f>
        <v>0</v>
      </c>
      <c r="Q1044" s="341" t="s">
        <v>201</v>
      </c>
      <c r="R1044" s="342"/>
      <c r="S1044" s="124">
        <f>SUM(S1037:S1043)</f>
        <v>5</v>
      </c>
      <c r="T1044" s="341" t="s">
        <v>201</v>
      </c>
      <c r="U1044" s="342"/>
      <c r="V1044" s="124">
        <f>SUM(V1037:V1043)</f>
        <v>0</v>
      </c>
      <c r="W1044" s="341" t="s">
        <v>201</v>
      </c>
      <c r="X1044" s="342"/>
      <c r="Y1044" s="127">
        <f>SUM(Y1037:Y1043)</f>
        <v>0</v>
      </c>
      <c r="Z1044" s="151"/>
    </row>
    <row r="1045" spans="2:26" s="35" customFormat="1" ht="17.100000000000001" customHeight="1">
      <c r="B1045" s="105"/>
      <c r="C1045" s="54">
        <f>'2. Rekap Back Up Beton'!C149</f>
        <v>23100</v>
      </c>
      <c r="D1045" s="96">
        <f>'2. Rekap Back Up Beton'!D149</f>
        <v>23200</v>
      </c>
      <c r="E1045" s="111">
        <f>'2. Rekap Back Up Beton'!E149</f>
        <v>5</v>
      </c>
      <c r="F1045" s="112">
        <f>(100/((D1045-C1045)*E1045))*((J1052*0.5)+(M1052*1)+(P1052*2)+(S1052*20)+(V1052*15)+(Y1052*1.5))</f>
        <v>50</v>
      </c>
      <c r="G1045" s="113" t="str">
        <f>IF(F1045&lt;=25,"B",IF(F1045&lt;=75,"S",IF(F1045&lt;=100,"RR","RB")))</f>
        <v>S</v>
      </c>
      <c r="H1045" s="100">
        <v>100</v>
      </c>
      <c r="I1045" s="98">
        <v>5</v>
      </c>
      <c r="J1045" s="101">
        <f t="shared" ref="J1045:J1051" si="768">H1045*I1045</f>
        <v>500</v>
      </c>
      <c r="K1045" s="100">
        <v>0</v>
      </c>
      <c r="L1045" s="98">
        <v>0</v>
      </c>
      <c r="M1045" s="101">
        <f t="shared" ref="M1045:M1051" si="769">K1045*L1045</f>
        <v>0</v>
      </c>
      <c r="N1045" s="100">
        <v>0</v>
      </c>
      <c r="O1045" s="98">
        <v>4</v>
      </c>
      <c r="P1045" s="101">
        <f t="shared" ref="P1045:P1051" si="770">N1045*O1045</f>
        <v>0</v>
      </c>
      <c r="Q1045" s="100">
        <v>0</v>
      </c>
      <c r="R1045" s="98">
        <v>0</v>
      </c>
      <c r="S1045" s="101">
        <f t="shared" ref="S1045:S1051" si="771">Q1045*R1045</f>
        <v>0</v>
      </c>
      <c r="T1045" s="100">
        <v>0</v>
      </c>
      <c r="U1045" s="98">
        <v>0</v>
      </c>
      <c r="V1045" s="101">
        <f>T1045*U1045</f>
        <v>0</v>
      </c>
      <c r="W1045" s="100">
        <v>0</v>
      </c>
      <c r="X1045" s="98">
        <v>0</v>
      </c>
      <c r="Y1045" s="147">
        <f t="shared" ref="Y1045:Y1051" si="772">W1045*X1045</f>
        <v>0</v>
      </c>
      <c r="Z1045" s="150"/>
    </row>
    <row r="1046" spans="2:26" s="35" customFormat="1" ht="17.100000000000001" customHeight="1">
      <c r="B1046" s="105"/>
      <c r="C1046" s="54"/>
      <c r="D1046" s="96"/>
      <c r="E1046" s="111"/>
      <c r="F1046" s="112"/>
      <c r="G1046" s="113"/>
      <c r="H1046" s="100">
        <v>0</v>
      </c>
      <c r="I1046" s="98">
        <v>0</v>
      </c>
      <c r="J1046" s="101">
        <f t="shared" si="768"/>
        <v>0</v>
      </c>
      <c r="K1046" s="100">
        <v>0</v>
      </c>
      <c r="L1046" s="98">
        <v>0</v>
      </c>
      <c r="M1046" s="101">
        <f t="shared" si="769"/>
        <v>0</v>
      </c>
      <c r="N1046" s="100">
        <v>0</v>
      </c>
      <c r="O1046" s="98">
        <v>0</v>
      </c>
      <c r="P1046" s="101">
        <f t="shared" si="770"/>
        <v>0</v>
      </c>
      <c r="Q1046" s="100">
        <v>0</v>
      </c>
      <c r="R1046" s="98">
        <v>0</v>
      </c>
      <c r="S1046" s="101">
        <f t="shared" si="771"/>
        <v>0</v>
      </c>
      <c r="T1046" s="100">
        <v>0</v>
      </c>
      <c r="U1046" s="98">
        <v>0</v>
      </c>
      <c r="V1046" s="101">
        <f t="shared" ref="V1046:V1051" si="773">T1046*U1046</f>
        <v>0</v>
      </c>
      <c r="W1046" s="100">
        <v>0</v>
      </c>
      <c r="X1046" s="98">
        <v>0</v>
      </c>
      <c r="Y1046" s="147">
        <f t="shared" si="772"/>
        <v>0</v>
      </c>
      <c r="Z1046" s="150"/>
    </row>
    <row r="1047" spans="2:26" s="35" customFormat="1" ht="17.100000000000001" customHeight="1">
      <c r="B1047" s="105"/>
      <c r="C1047" s="54"/>
      <c r="D1047" s="96"/>
      <c r="E1047" s="111"/>
      <c r="F1047" s="112"/>
      <c r="G1047" s="113"/>
      <c r="H1047" s="100">
        <v>0</v>
      </c>
      <c r="I1047" s="98">
        <v>0</v>
      </c>
      <c r="J1047" s="101">
        <f t="shared" si="768"/>
        <v>0</v>
      </c>
      <c r="K1047" s="100">
        <v>0</v>
      </c>
      <c r="L1047" s="98">
        <v>0</v>
      </c>
      <c r="M1047" s="101">
        <f t="shared" si="769"/>
        <v>0</v>
      </c>
      <c r="N1047" s="100">
        <v>0</v>
      </c>
      <c r="O1047" s="98">
        <v>0</v>
      </c>
      <c r="P1047" s="101">
        <f t="shared" si="770"/>
        <v>0</v>
      </c>
      <c r="Q1047" s="100">
        <v>0</v>
      </c>
      <c r="R1047" s="98">
        <v>0</v>
      </c>
      <c r="S1047" s="101">
        <f t="shared" si="771"/>
        <v>0</v>
      </c>
      <c r="T1047" s="100">
        <v>0</v>
      </c>
      <c r="U1047" s="98">
        <v>0</v>
      </c>
      <c r="V1047" s="101">
        <f t="shared" si="773"/>
        <v>0</v>
      </c>
      <c r="W1047" s="100">
        <v>0</v>
      </c>
      <c r="X1047" s="98">
        <v>0</v>
      </c>
      <c r="Y1047" s="147">
        <f t="shared" si="772"/>
        <v>0</v>
      </c>
      <c r="Z1047" s="150"/>
    </row>
    <row r="1048" spans="2:26" s="35" customFormat="1" ht="17.100000000000001" customHeight="1">
      <c r="B1048" s="105"/>
      <c r="C1048" s="54"/>
      <c r="D1048" s="96"/>
      <c r="E1048" s="111"/>
      <c r="F1048" s="112"/>
      <c r="G1048" s="113"/>
      <c r="H1048" s="100">
        <v>0</v>
      </c>
      <c r="I1048" s="98">
        <v>0</v>
      </c>
      <c r="J1048" s="101">
        <f t="shared" si="768"/>
        <v>0</v>
      </c>
      <c r="K1048" s="100">
        <v>0</v>
      </c>
      <c r="L1048" s="98">
        <v>0</v>
      </c>
      <c r="M1048" s="101">
        <f t="shared" si="769"/>
        <v>0</v>
      </c>
      <c r="N1048" s="100">
        <v>0</v>
      </c>
      <c r="O1048" s="98">
        <v>0</v>
      </c>
      <c r="P1048" s="101">
        <f t="shared" si="770"/>
        <v>0</v>
      </c>
      <c r="Q1048" s="100">
        <v>0</v>
      </c>
      <c r="R1048" s="98">
        <v>0</v>
      </c>
      <c r="S1048" s="101">
        <f t="shared" si="771"/>
        <v>0</v>
      </c>
      <c r="T1048" s="100">
        <v>0</v>
      </c>
      <c r="U1048" s="98">
        <v>0</v>
      </c>
      <c r="V1048" s="101">
        <f t="shared" si="773"/>
        <v>0</v>
      </c>
      <c r="W1048" s="100">
        <v>0</v>
      </c>
      <c r="X1048" s="98">
        <v>0</v>
      </c>
      <c r="Y1048" s="147">
        <f t="shared" si="772"/>
        <v>0</v>
      </c>
      <c r="Z1048" s="150"/>
    </row>
    <row r="1049" spans="2:26" s="35" customFormat="1" ht="17.100000000000001" customHeight="1">
      <c r="B1049" s="105"/>
      <c r="C1049" s="54"/>
      <c r="D1049" s="96"/>
      <c r="E1049" s="111"/>
      <c r="F1049" s="112"/>
      <c r="G1049" s="113"/>
      <c r="H1049" s="100">
        <v>0</v>
      </c>
      <c r="I1049" s="98">
        <v>0</v>
      </c>
      <c r="J1049" s="101">
        <f t="shared" si="768"/>
        <v>0</v>
      </c>
      <c r="K1049" s="100">
        <v>0</v>
      </c>
      <c r="L1049" s="98">
        <v>0</v>
      </c>
      <c r="M1049" s="101">
        <f t="shared" si="769"/>
        <v>0</v>
      </c>
      <c r="N1049" s="100">
        <v>0</v>
      </c>
      <c r="O1049" s="98">
        <v>0</v>
      </c>
      <c r="P1049" s="101">
        <f t="shared" si="770"/>
        <v>0</v>
      </c>
      <c r="Q1049" s="100">
        <v>0</v>
      </c>
      <c r="R1049" s="98">
        <v>0</v>
      </c>
      <c r="S1049" s="101">
        <f t="shared" si="771"/>
        <v>0</v>
      </c>
      <c r="T1049" s="100">
        <v>0</v>
      </c>
      <c r="U1049" s="98">
        <v>0</v>
      </c>
      <c r="V1049" s="101">
        <f t="shared" si="773"/>
        <v>0</v>
      </c>
      <c r="W1049" s="100">
        <v>0</v>
      </c>
      <c r="X1049" s="98">
        <v>0</v>
      </c>
      <c r="Y1049" s="147">
        <f t="shared" si="772"/>
        <v>0</v>
      </c>
      <c r="Z1049" s="150"/>
    </row>
    <row r="1050" spans="2:26" s="35" customFormat="1" ht="17.100000000000001" customHeight="1">
      <c r="B1050" s="105"/>
      <c r="C1050" s="54"/>
      <c r="D1050" s="96"/>
      <c r="E1050" s="111"/>
      <c r="F1050" s="112"/>
      <c r="G1050" s="113"/>
      <c r="H1050" s="100">
        <v>0</v>
      </c>
      <c r="I1050" s="98">
        <v>0</v>
      </c>
      <c r="J1050" s="101">
        <f t="shared" si="768"/>
        <v>0</v>
      </c>
      <c r="K1050" s="100">
        <v>0</v>
      </c>
      <c r="L1050" s="98">
        <v>0</v>
      </c>
      <c r="M1050" s="101">
        <f t="shared" si="769"/>
        <v>0</v>
      </c>
      <c r="N1050" s="100">
        <v>0</v>
      </c>
      <c r="O1050" s="98">
        <v>0</v>
      </c>
      <c r="P1050" s="101">
        <f t="shared" si="770"/>
        <v>0</v>
      </c>
      <c r="Q1050" s="100">
        <v>0</v>
      </c>
      <c r="R1050" s="98">
        <v>0</v>
      </c>
      <c r="S1050" s="101">
        <f t="shared" si="771"/>
        <v>0</v>
      </c>
      <c r="T1050" s="100">
        <v>0</v>
      </c>
      <c r="U1050" s="98">
        <v>0</v>
      </c>
      <c r="V1050" s="101">
        <f t="shared" si="773"/>
        <v>0</v>
      </c>
      <c r="W1050" s="100">
        <v>0</v>
      </c>
      <c r="X1050" s="98">
        <v>0</v>
      </c>
      <c r="Y1050" s="147">
        <f t="shared" si="772"/>
        <v>0</v>
      </c>
      <c r="Z1050" s="150"/>
    </row>
    <row r="1051" spans="2:26" s="35" customFormat="1" ht="17.100000000000001" customHeight="1">
      <c r="B1051" s="105"/>
      <c r="C1051" s="54"/>
      <c r="D1051" s="96"/>
      <c r="E1051" s="111"/>
      <c r="F1051" s="112"/>
      <c r="G1051" s="113"/>
      <c r="H1051" s="100">
        <v>0</v>
      </c>
      <c r="I1051" s="98">
        <v>0</v>
      </c>
      <c r="J1051" s="101">
        <f t="shared" si="768"/>
        <v>0</v>
      </c>
      <c r="K1051" s="100">
        <v>0</v>
      </c>
      <c r="L1051" s="98">
        <v>0</v>
      </c>
      <c r="M1051" s="101">
        <f t="shared" si="769"/>
        <v>0</v>
      </c>
      <c r="N1051" s="100">
        <v>0</v>
      </c>
      <c r="O1051" s="98">
        <v>0</v>
      </c>
      <c r="P1051" s="101">
        <f t="shared" si="770"/>
        <v>0</v>
      </c>
      <c r="Q1051" s="100">
        <v>0</v>
      </c>
      <c r="R1051" s="98">
        <v>0</v>
      </c>
      <c r="S1051" s="101">
        <f t="shared" si="771"/>
        <v>0</v>
      </c>
      <c r="T1051" s="100">
        <v>0</v>
      </c>
      <c r="U1051" s="98">
        <v>0</v>
      </c>
      <c r="V1051" s="101">
        <f t="shared" si="773"/>
        <v>0</v>
      </c>
      <c r="W1051" s="100">
        <v>0</v>
      </c>
      <c r="X1051" s="98">
        <v>0</v>
      </c>
      <c r="Y1051" s="147">
        <f t="shared" si="772"/>
        <v>0</v>
      </c>
      <c r="Z1051" s="150"/>
    </row>
    <row r="1052" spans="2:26" s="126" customFormat="1" ht="17.100000000000001" customHeight="1">
      <c r="B1052" s="118"/>
      <c r="C1052" s="119"/>
      <c r="D1052" s="120"/>
      <c r="E1052" s="121"/>
      <c r="F1052" s="122"/>
      <c r="G1052" s="123"/>
      <c r="H1052" s="341" t="s">
        <v>201</v>
      </c>
      <c r="I1052" s="342"/>
      <c r="J1052" s="124">
        <f>SUM(J1045:J1051)</f>
        <v>500</v>
      </c>
      <c r="K1052" s="341" t="s">
        <v>201</v>
      </c>
      <c r="L1052" s="342"/>
      <c r="M1052" s="124">
        <f>SUM(M1045:M1051)</f>
        <v>0</v>
      </c>
      <c r="N1052" s="341" t="s">
        <v>201</v>
      </c>
      <c r="O1052" s="342"/>
      <c r="P1052" s="124">
        <f>SUM(P1045:P1051)</f>
        <v>0</v>
      </c>
      <c r="Q1052" s="341" t="s">
        <v>201</v>
      </c>
      <c r="R1052" s="342"/>
      <c r="S1052" s="124">
        <f>SUM(S1045:S1051)</f>
        <v>0</v>
      </c>
      <c r="T1052" s="341" t="s">
        <v>201</v>
      </c>
      <c r="U1052" s="342"/>
      <c r="V1052" s="124">
        <f>SUM(V1045:V1051)</f>
        <v>0</v>
      </c>
      <c r="W1052" s="341" t="s">
        <v>201</v>
      </c>
      <c r="X1052" s="342"/>
      <c r="Y1052" s="127">
        <f>SUM(Y1045:Y1051)</f>
        <v>0</v>
      </c>
      <c r="Z1052" s="151"/>
    </row>
    <row r="1053" spans="2:26" s="35" customFormat="1" ht="17.100000000000001" customHeight="1">
      <c r="B1053" s="105"/>
      <c r="C1053" s="54">
        <f>'2. Rekap Back Up Beton'!C150</f>
        <v>23200</v>
      </c>
      <c r="D1053" s="96">
        <f>'2. Rekap Back Up Beton'!D150</f>
        <v>23300</v>
      </c>
      <c r="E1053" s="111">
        <f>'2. Rekap Back Up Beton'!E150</f>
        <v>5</v>
      </c>
      <c r="F1053" s="112">
        <f>(100/((D1053-C1053)*E1053))*((J1060*0.5)+(M1060*1)+(P1060*2)+(S1060*20)+(V1060*15)+(Y1060*1.5))</f>
        <v>45</v>
      </c>
      <c r="G1053" s="113" t="str">
        <f>IF(F1053&lt;=25,"B",IF(F1053&lt;=75,"S",IF(F1053&lt;=100,"RR","RB")))</f>
        <v>S</v>
      </c>
      <c r="H1053" s="100">
        <v>90</v>
      </c>
      <c r="I1053" s="98">
        <v>5</v>
      </c>
      <c r="J1053" s="101">
        <f t="shared" ref="J1053:J1059" si="774">H1053*I1053</f>
        <v>450</v>
      </c>
      <c r="K1053" s="100">
        <v>0</v>
      </c>
      <c r="L1053" s="98">
        <v>0</v>
      </c>
      <c r="M1053" s="101">
        <f t="shared" ref="M1053:M1059" si="775">K1053*L1053</f>
        <v>0</v>
      </c>
      <c r="N1053" s="100">
        <v>0</v>
      </c>
      <c r="O1053" s="98">
        <v>4</v>
      </c>
      <c r="P1053" s="101">
        <f t="shared" ref="P1053:P1059" si="776">N1053*O1053</f>
        <v>0</v>
      </c>
      <c r="Q1053" s="100">
        <v>0</v>
      </c>
      <c r="R1053" s="98">
        <v>0</v>
      </c>
      <c r="S1053" s="101">
        <f t="shared" ref="S1053:S1059" si="777">Q1053*R1053</f>
        <v>0</v>
      </c>
      <c r="T1053" s="100">
        <v>0</v>
      </c>
      <c r="U1053" s="98">
        <v>0</v>
      </c>
      <c r="V1053" s="101">
        <f>T1053*U1053</f>
        <v>0</v>
      </c>
      <c r="W1053" s="100">
        <v>0</v>
      </c>
      <c r="X1053" s="98">
        <v>0</v>
      </c>
      <c r="Y1053" s="147">
        <f t="shared" ref="Y1053:Y1059" si="778">W1053*X1053</f>
        <v>0</v>
      </c>
      <c r="Z1053" s="150"/>
    </row>
    <row r="1054" spans="2:26" s="35" customFormat="1" ht="17.100000000000001" customHeight="1">
      <c r="B1054" s="105"/>
      <c r="C1054" s="54"/>
      <c r="D1054" s="96"/>
      <c r="E1054" s="111"/>
      <c r="F1054" s="112"/>
      <c r="G1054" s="113"/>
      <c r="H1054" s="100">
        <v>0</v>
      </c>
      <c r="I1054" s="98">
        <v>0</v>
      </c>
      <c r="J1054" s="101">
        <f t="shared" si="774"/>
        <v>0</v>
      </c>
      <c r="K1054" s="100">
        <v>0</v>
      </c>
      <c r="L1054" s="98">
        <v>0</v>
      </c>
      <c r="M1054" s="101">
        <f t="shared" si="775"/>
        <v>0</v>
      </c>
      <c r="N1054" s="100">
        <v>0</v>
      </c>
      <c r="O1054" s="98">
        <v>0</v>
      </c>
      <c r="P1054" s="101">
        <f t="shared" si="776"/>
        <v>0</v>
      </c>
      <c r="Q1054" s="100">
        <v>0</v>
      </c>
      <c r="R1054" s="98">
        <v>0</v>
      </c>
      <c r="S1054" s="101">
        <f t="shared" si="777"/>
        <v>0</v>
      </c>
      <c r="T1054" s="100">
        <v>0</v>
      </c>
      <c r="U1054" s="98">
        <v>0</v>
      </c>
      <c r="V1054" s="101">
        <f t="shared" ref="V1054:V1059" si="779">T1054*U1054</f>
        <v>0</v>
      </c>
      <c r="W1054" s="100">
        <v>0</v>
      </c>
      <c r="X1054" s="98">
        <v>0</v>
      </c>
      <c r="Y1054" s="147">
        <f t="shared" si="778"/>
        <v>0</v>
      </c>
      <c r="Z1054" s="150"/>
    </row>
    <row r="1055" spans="2:26" s="35" customFormat="1" ht="17.100000000000001" customHeight="1">
      <c r="B1055" s="105"/>
      <c r="C1055" s="54"/>
      <c r="D1055" s="96"/>
      <c r="E1055" s="111"/>
      <c r="F1055" s="112"/>
      <c r="G1055" s="113"/>
      <c r="H1055" s="100">
        <v>0</v>
      </c>
      <c r="I1055" s="98">
        <v>0</v>
      </c>
      <c r="J1055" s="101">
        <f t="shared" si="774"/>
        <v>0</v>
      </c>
      <c r="K1055" s="100">
        <v>0</v>
      </c>
      <c r="L1055" s="98">
        <v>0</v>
      </c>
      <c r="M1055" s="101">
        <f t="shared" si="775"/>
        <v>0</v>
      </c>
      <c r="N1055" s="100">
        <v>0</v>
      </c>
      <c r="O1055" s="98">
        <v>0</v>
      </c>
      <c r="P1055" s="101">
        <f t="shared" si="776"/>
        <v>0</v>
      </c>
      <c r="Q1055" s="100">
        <v>0</v>
      </c>
      <c r="R1055" s="98">
        <v>0</v>
      </c>
      <c r="S1055" s="101">
        <f t="shared" si="777"/>
        <v>0</v>
      </c>
      <c r="T1055" s="100">
        <v>0</v>
      </c>
      <c r="U1055" s="98">
        <v>0</v>
      </c>
      <c r="V1055" s="101">
        <f t="shared" si="779"/>
        <v>0</v>
      </c>
      <c r="W1055" s="100">
        <v>0</v>
      </c>
      <c r="X1055" s="98">
        <v>0</v>
      </c>
      <c r="Y1055" s="147">
        <f t="shared" si="778"/>
        <v>0</v>
      </c>
      <c r="Z1055" s="150"/>
    </row>
    <row r="1056" spans="2:26" s="35" customFormat="1" ht="17.100000000000001" customHeight="1">
      <c r="B1056" s="105"/>
      <c r="C1056" s="54"/>
      <c r="D1056" s="96"/>
      <c r="E1056" s="111"/>
      <c r="F1056" s="112"/>
      <c r="G1056" s="113"/>
      <c r="H1056" s="100">
        <v>0</v>
      </c>
      <c r="I1056" s="98">
        <v>0</v>
      </c>
      <c r="J1056" s="101">
        <f t="shared" si="774"/>
        <v>0</v>
      </c>
      <c r="K1056" s="100">
        <v>0</v>
      </c>
      <c r="L1056" s="98">
        <v>0</v>
      </c>
      <c r="M1056" s="101">
        <f t="shared" si="775"/>
        <v>0</v>
      </c>
      <c r="N1056" s="100">
        <v>0</v>
      </c>
      <c r="O1056" s="98">
        <v>0</v>
      </c>
      <c r="P1056" s="101">
        <f t="shared" si="776"/>
        <v>0</v>
      </c>
      <c r="Q1056" s="100">
        <v>0</v>
      </c>
      <c r="R1056" s="98">
        <v>0</v>
      </c>
      <c r="S1056" s="101">
        <f t="shared" si="777"/>
        <v>0</v>
      </c>
      <c r="T1056" s="100">
        <v>0</v>
      </c>
      <c r="U1056" s="98">
        <v>0</v>
      </c>
      <c r="V1056" s="101">
        <f t="shared" si="779"/>
        <v>0</v>
      </c>
      <c r="W1056" s="100">
        <v>0</v>
      </c>
      <c r="X1056" s="98">
        <v>0</v>
      </c>
      <c r="Y1056" s="147">
        <f t="shared" si="778"/>
        <v>0</v>
      </c>
      <c r="Z1056" s="150"/>
    </row>
    <row r="1057" spans="2:26" s="35" customFormat="1" ht="17.100000000000001" customHeight="1">
      <c r="B1057" s="105"/>
      <c r="C1057" s="54"/>
      <c r="D1057" s="96"/>
      <c r="E1057" s="111"/>
      <c r="F1057" s="112"/>
      <c r="G1057" s="113"/>
      <c r="H1057" s="100">
        <v>0</v>
      </c>
      <c r="I1057" s="98">
        <v>0</v>
      </c>
      <c r="J1057" s="101">
        <f t="shared" si="774"/>
        <v>0</v>
      </c>
      <c r="K1057" s="100">
        <v>0</v>
      </c>
      <c r="L1057" s="98">
        <v>0</v>
      </c>
      <c r="M1057" s="101">
        <f t="shared" si="775"/>
        <v>0</v>
      </c>
      <c r="N1057" s="100">
        <v>0</v>
      </c>
      <c r="O1057" s="98">
        <v>0</v>
      </c>
      <c r="P1057" s="101">
        <f t="shared" si="776"/>
        <v>0</v>
      </c>
      <c r="Q1057" s="100">
        <v>0</v>
      </c>
      <c r="R1057" s="98">
        <v>0</v>
      </c>
      <c r="S1057" s="101">
        <f t="shared" si="777"/>
        <v>0</v>
      </c>
      <c r="T1057" s="100">
        <v>0</v>
      </c>
      <c r="U1057" s="98">
        <v>0</v>
      </c>
      <c r="V1057" s="101">
        <f t="shared" si="779"/>
        <v>0</v>
      </c>
      <c r="W1057" s="100">
        <v>0</v>
      </c>
      <c r="X1057" s="98">
        <v>0</v>
      </c>
      <c r="Y1057" s="147">
        <f t="shared" si="778"/>
        <v>0</v>
      </c>
      <c r="Z1057" s="150"/>
    </row>
    <row r="1058" spans="2:26" s="35" customFormat="1" ht="17.100000000000001" customHeight="1">
      <c r="B1058" s="105"/>
      <c r="C1058" s="54"/>
      <c r="D1058" s="96"/>
      <c r="E1058" s="111"/>
      <c r="F1058" s="112"/>
      <c r="G1058" s="113"/>
      <c r="H1058" s="100">
        <v>0</v>
      </c>
      <c r="I1058" s="98">
        <v>0</v>
      </c>
      <c r="J1058" s="101">
        <f t="shared" si="774"/>
        <v>0</v>
      </c>
      <c r="K1058" s="100">
        <v>0</v>
      </c>
      <c r="L1058" s="98">
        <v>0</v>
      </c>
      <c r="M1058" s="101">
        <f t="shared" si="775"/>
        <v>0</v>
      </c>
      <c r="N1058" s="100">
        <v>0</v>
      </c>
      <c r="O1058" s="98">
        <v>0</v>
      </c>
      <c r="P1058" s="101">
        <f t="shared" si="776"/>
        <v>0</v>
      </c>
      <c r="Q1058" s="100">
        <v>0</v>
      </c>
      <c r="R1058" s="98">
        <v>0</v>
      </c>
      <c r="S1058" s="101">
        <f t="shared" si="777"/>
        <v>0</v>
      </c>
      <c r="T1058" s="100">
        <v>0</v>
      </c>
      <c r="U1058" s="98">
        <v>0</v>
      </c>
      <c r="V1058" s="101">
        <f t="shared" si="779"/>
        <v>0</v>
      </c>
      <c r="W1058" s="100">
        <v>0</v>
      </c>
      <c r="X1058" s="98">
        <v>0</v>
      </c>
      <c r="Y1058" s="147">
        <f t="shared" si="778"/>
        <v>0</v>
      </c>
      <c r="Z1058" s="150"/>
    </row>
    <row r="1059" spans="2:26" s="35" customFormat="1" ht="17.100000000000001" customHeight="1">
      <c r="B1059" s="105"/>
      <c r="C1059" s="54"/>
      <c r="D1059" s="96"/>
      <c r="E1059" s="111"/>
      <c r="F1059" s="112"/>
      <c r="G1059" s="113"/>
      <c r="H1059" s="100">
        <v>0</v>
      </c>
      <c r="I1059" s="98">
        <v>0</v>
      </c>
      <c r="J1059" s="101">
        <f t="shared" si="774"/>
        <v>0</v>
      </c>
      <c r="K1059" s="100">
        <v>0</v>
      </c>
      <c r="L1059" s="98">
        <v>0</v>
      </c>
      <c r="M1059" s="101">
        <f t="shared" si="775"/>
        <v>0</v>
      </c>
      <c r="N1059" s="100">
        <v>0</v>
      </c>
      <c r="O1059" s="98">
        <v>0</v>
      </c>
      <c r="P1059" s="101">
        <f t="shared" si="776"/>
        <v>0</v>
      </c>
      <c r="Q1059" s="100">
        <v>0</v>
      </c>
      <c r="R1059" s="98">
        <v>0</v>
      </c>
      <c r="S1059" s="101">
        <f t="shared" si="777"/>
        <v>0</v>
      </c>
      <c r="T1059" s="100">
        <v>0</v>
      </c>
      <c r="U1059" s="98">
        <v>0</v>
      </c>
      <c r="V1059" s="101">
        <f t="shared" si="779"/>
        <v>0</v>
      </c>
      <c r="W1059" s="100">
        <v>0</v>
      </c>
      <c r="X1059" s="98">
        <v>0</v>
      </c>
      <c r="Y1059" s="147">
        <f t="shared" si="778"/>
        <v>0</v>
      </c>
      <c r="Z1059" s="150"/>
    </row>
    <row r="1060" spans="2:26" s="126" customFormat="1" ht="17.100000000000001" customHeight="1">
      <c r="B1060" s="118"/>
      <c r="C1060" s="119"/>
      <c r="D1060" s="120"/>
      <c r="E1060" s="121"/>
      <c r="F1060" s="122"/>
      <c r="G1060" s="123"/>
      <c r="H1060" s="341" t="s">
        <v>201</v>
      </c>
      <c r="I1060" s="342"/>
      <c r="J1060" s="124">
        <f>SUM(J1053:J1059)</f>
        <v>450</v>
      </c>
      <c r="K1060" s="341" t="s">
        <v>201</v>
      </c>
      <c r="L1060" s="342"/>
      <c r="M1060" s="124">
        <f>SUM(M1053:M1059)</f>
        <v>0</v>
      </c>
      <c r="N1060" s="341" t="s">
        <v>201</v>
      </c>
      <c r="O1060" s="342"/>
      <c r="P1060" s="124">
        <f>SUM(P1053:P1059)</f>
        <v>0</v>
      </c>
      <c r="Q1060" s="341" t="s">
        <v>201</v>
      </c>
      <c r="R1060" s="342"/>
      <c r="S1060" s="124">
        <f>SUM(S1053:S1059)</f>
        <v>0</v>
      </c>
      <c r="T1060" s="341" t="s">
        <v>201</v>
      </c>
      <c r="U1060" s="342"/>
      <c r="V1060" s="124">
        <f>SUM(V1053:V1059)</f>
        <v>0</v>
      </c>
      <c r="W1060" s="341" t="s">
        <v>201</v>
      </c>
      <c r="X1060" s="342"/>
      <c r="Y1060" s="127">
        <f>SUM(Y1053:Y1059)</f>
        <v>0</v>
      </c>
      <c r="Z1060" s="151"/>
    </row>
    <row r="1061" spans="2:26" s="35" customFormat="1" ht="17.100000000000001" customHeight="1">
      <c r="B1061" s="105"/>
      <c r="C1061" s="54">
        <f>'2. Rekap Back Up Beton'!C151</f>
        <v>23300</v>
      </c>
      <c r="D1061" s="96">
        <f>'2. Rekap Back Up Beton'!D151</f>
        <v>23400</v>
      </c>
      <c r="E1061" s="111">
        <f>'2. Rekap Back Up Beton'!E151</f>
        <v>5</v>
      </c>
      <c r="F1061" s="112">
        <f>(100/((D1061-C1061)*E1061))*((J1068*0.5)+(M1068*1)+(P1068*2)+(S1068*20)+(V1068*15)+(Y1068*1.5))</f>
        <v>30</v>
      </c>
      <c r="G1061" s="113" t="str">
        <f>IF(F1061&lt;=25,"B",IF(F1061&lt;=75,"S",IF(F1061&lt;=100,"RR","RB")))</f>
        <v>S</v>
      </c>
      <c r="H1061" s="100">
        <v>100</v>
      </c>
      <c r="I1061" s="98">
        <v>3</v>
      </c>
      <c r="J1061" s="101">
        <f t="shared" ref="J1061:J1067" si="780">H1061*I1061</f>
        <v>300</v>
      </c>
      <c r="K1061" s="100">
        <v>0</v>
      </c>
      <c r="L1061" s="98">
        <v>0</v>
      </c>
      <c r="M1061" s="101">
        <f t="shared" ref="M1061:M1067" si="781">K1061*L1061</f>
        <v>0</v>
      </c>
      <c r="N1061" s="100">
        <v>0</v>
      </c>
      <c r="O1061" s="98">
        <v>4</v>
      </c>
      <c r="P1061" s="101">
        <f t="shared" ref="P1061:P1067" si="782">N1061*O1061</f>
        <v>0</v>
      </c>
      <c r="Q1061" s="100">
        <v>0</v>
      </c>
      <c r="R1061" s="98">
        <v>0</v>
      </c>
      <c r="S1061" s="101">
        <f t="shared" ref="S1061:S1067" si="783">Q1061*R1061</f>
        <v>0</v>
      </c>
      <c r="T1061" s="100">
        <v>0</v>
      </c>
      <c r="U1061" s="98">
        <v>0</v>
      </c>
      <c r="V1061" s="101">
        <f>T1061*U1061</f>
        <v>0</v>
      </c>
      <c r="W1061" s="100">
        <v>0</v>
      </c>
      <c r="X1061" s="98">
        <v>0</v>
      </c>
      <c r="Y1061" s="147">
        <f t="shared" ref="Y1061:Y1067" si="784">W1061*X1061</f>
        <v>0</v>
      </c>
      <c r="Z1061" s="150"/>
    </row>
    <row r="1062" spans="2:26" s="35" customFormat="1" ht="17.100000000000001" customHeight="1">
      <c r="B1062" s="105"/>
      <c r="C1062" s="54"/>
      <c r="D1062" s="96"/>
      <c r="E1062" s="111"/>
      <c r="F1062" s="112"/>
      <c r="G1062" s="113"/>
      <c r="H1062" s="100">
        <v>0</v>
      </c>
      <c r="I1062" s="98">
        <v>0</v>
      </c>
      <c r="J1062" s="101">
        <f t="shared" si="780"/>
        <v>0</v>
      </c>
      <c r="K1062" s="100">
        <v>0</v>
      </c>
      <c r="L1062" s="98">
        <v>0</v>
      </c>
      <c r="M1062" s="101">
        <f t="shared" si="781"/>
        <v>0</v>
      </c>
      <c r="N1062" s="100">
        <v>0</v>
      </c>
      <c r="O1062" s="98">
        <v>0</v>
      </c>
      <c r="P1062" s="101">
        <f t="shared" si="782"/>
        <v>0</v>
      </c>
      <c r="Q1062" s="100">
        <v>0</v>
      </c>
      <c r="R1062" s="98">
        <v>0</v>
      </c>
      <c r="S1062" s="101">
        <f t="shared" si="783"/>
        <v>0</v>
      </c>
      <c r="T1062" s="100">
        <v>0</v>
      </c>
      <c r="U1062" s="98">
        <v>0</v>
      </c>
      <c r="V1062" s="101">
        <f t="shared" ref="V1062:V1067" si="785">T1062*U1062</f>
        <v>0</v>
      </c>
      <c r="W1062" s="100">
        <v>0</v>
      </c>
      <c r="X1062" s="98">
        <v>0</v>
      </c>
      <c r="Y1062" s="147">
        <f t="shared" si="784"/>
        <v>0</v>
      </c>
      <c r="Z1062" s="150"/>
    </row>
    <row r="1063" spans="2:26" s="35" customFormat="1" ht="17.100000000000001" customHeight="1">
      <c r="B1063" s="105"/>
      <c r="C1063" s="54"/>
      <c r="D1063" s="96"/>
      <c r="E1063" s="111"/>
      <c r="F1063" s="112"/>
      <c r="G1063" s="113"/>
      <c r="H1063" s="100">
        <v>0</v>
      </c>
      <c r="I1063" s="98">
        <v>0</v>
      </c>
      <c r="J1063" s="101">
        <f t="shared" si="780"/>
        <v>0</v>
      </c>
      <c r="K1063" s="100">
        <v>0</v>
      </c>
      <c r="L1063" s="98">
        <v>0</v>
      </c>
      <c r="M1063" s="101">
        <f t="shared" si="781"/>
        <v>0</v>
      </c>
      <c r="N1063" s="100">
        <v>0</v>
      </c>
      <c r="O1063" s="98">
        <v>0</v>
      </c>
      <c r="P1063" s="101">
        <f t="shared" si="782"/>
        <v>0</v>
      </c>
      <c r="Q1063" s="100">
        <v>0</v>
      </c>
      <c r="R1063" s="98">
        <v>0</v>
      </c>
      <c r="S1063" s="101">
        <f t="shared" si="783"/>
        <v>0</v>
      </c>
      <c r="T1063" s="100">
        <v>0</v>
      </c>
      <c r="U1063" s="98">
        <v>0</v>
      </c>
      <c r="V1063" s="101">
        <f t="shared" si="785"/>
        <v>0</v>
      </c>
      <c r="W1063" s="100">
        <v>0</v>
      </c>
      <c r="X1063" s="98">
        <v>0</v>
      </c>
      <c r="Y1063" s="147">
        <f t="shared" si="784"/>
        <v>0</v>
      </c>
      <c r="Z1063" s="150"/>
    </row>
    <row r="1064" spans="2:26" s="35" customFormat="1" ht="17.100000000000001" customHeight="1">
      <c r="B1064" s="105"/>
      <c r="C1064" s="54"/>
      <c r="D1064" s="96"/>
      <c r="E1064" s="111"/>
      <c r="F1064" s="112"/>
      <c r="G1064" s="113"/>
      <c r="H1064" s="100">
        <v>0</v>
      </c>
      <c r="I1064" s="98">
        <v>0</v>
      </c>
      <c r="J1064" s="101">
        <f t="shared" si="780"/>
        <v>0</v>
      </c>
      <c r="K1064" s="100">
        <v>0</v>
      </c>
      <c r="L1064" s="98">
        <v>0</v>
      </c>
      <c r="M1064" s="101">
        <f t="shared" si="781"/>
        <v>0</v>
      </c>
      <c r="N1064" s="100">
        <v>0</v>
      </c>
      <c r="O1064" s="98">
        <v>0</v>
      </c>
      <c r="P1064" s="101">
        <f t="shared" si="782"/>
        <v>0</v>
      </c>
      <c r="Q1064" s="100">
        <v>0</v>
      </c>
      <c r="R1064" s="98">
        <v>0</v>
      </c>
      <c r="S1064" s="101">
        <f t="shared" si="783"/>
        <v>0</v>
      </c>
      <c r="T1064" s="100">
        <v>0</v>
      </c>
      <c r="U1064" s="98">
        <v>0</v>
      </c>
      <c r="V1064" s="101">
        <f t="shared" si="785"/>
        <v>0</v>
      </c>
      <c r="W1064" s="100">
        <v>0</v>
      </c>
      <c r="X1064" s="98">
        <v>0</v>
      </c>
      <c r="Y1064" s="147">
        <f t="shared" si="784"/>
        <v>0</v>
      </c>
      <c r="Z1064" s="150"/>
    </row>
    <row r="1065" spans="2:26" s="35" customFormat="1" ht="17.100000000000001" customHeight="1">
      <c r="B1065" s="105"/>
      <c r="C1065" s="54"/>
      <c r="D1065" s="96"/>
      <c r="E1065" s="111"/>
      <c r="F1065" s="112"/>
      <c r="G1065" s="113"/>
      <c r="H1065" s="100">
        <v>0</v>
      </c>
      <c r="I1065" s="98">
        <v>0</v>
      </c>
      <c r="J1065" s="101">
        <f t="shared" si="780"/>
        <v>0</v>
      </c>
      <c r="K1065" s="100">
        <v>0</v>
      </c>
      <c r="L1065" s="98">
        <v>0</v>
      </c>
      <c r="M1065" s="101">
        <f t="shared" si="781"/>
        <v>0</v>
      </c>
      <c r="N1065" s="100">
        <v>0</v>
      </c>
      <c r="O1065" s="98">
        <v>0</v>
      </c>
      <c r="P1065" s="101">
        <f t="shared" si="782"/>
        <v>0</v>
      </c>
      <c r="Q1065" s="100">
        <v>0</v>
      </c>
      <c r="R1065" s="98">
        <v>0</v>
      </c>
      <c r="S1065" s="101">
        <f t="shared" si="783"/>
        <v>0</v>
      </c>
      <c r="T1065" s="100">
        <v>0</v>
      </c>
      <c r="U1065" s="98">
        <v>0</v>
      </c>
      <c r="V1065" s="101">
        <f t="shared" si="785"/>
        <v>0</v>
      </c>
      <c r="W1065" s="100">
        <v>0</v>
      </c>
      <c r="X1065" s="98">
        <v>0</v>
      </c>
      <c r="Y1065" s="147">
        <f t="shared" si="784"/>
        <v>0</v>
      </c>
      <c r="Z1065" s="150"/>
    </row>
    <row r="1066" spans="2:26" s="35" customFormat="1" ht="17.100000000000001" customHeight="1">
      <c r="B1066" s="105"/>
      <c r="C1066" s="54"/>
      <c r="D1066" s="96"/>
      <c r="E1066" s="111"/>
      <c r="F1066" s="112"/>
      <c r="G1066" s="113"/>
      <c r="H1066" s="100">
        <v>0</v>
      </c>
      <c r="I1066" s="98">
        <v>0</v>
      </c>
      <c r="J1066" s="101">
        <f t="shared" si="780"/>
        <v>0</v>
      </c>
      <c r="K1066" s="100">
        <v>0</v>
      </c>
      <c r="L1066" s="98">
        <v>0</v>
      </c>
      <c r="M1066" s="101">
        <f t="shared" si="781"/>
        <v>0</v>
      </c>
      <c r="N1066" s="100">
        <v>0</v>
      </c>
      <c r="O1066" s="98">
        <v>0</v>
      </c>
      <c r="P1066" s="101">
        <f t="shared" si="782"/>
        <v>0</v>
      </c>
      <c r="Q1066" s="100">
        <v>0</v>
      </c>
      <c r="R1066" s="98">
        <v>0</v>
      </c>
      <c r="S1066" s="101">
        <f t="shared" si="783"/>
        <v>0</v>
      </c>
      <c r="T1066" s="100">
        <v>0</v>
      </c>
      <c r="U1066" s="98">
        <v>0</v>
      </c>
      <c r="V1066" s="101">
        <f t="shared" si="785"/>
        <v>0</v>
      </c>
      <c r="W1066" s="100">
        <v>0</v>
      </c>
      <c r="X1066" s="98">
        <v>0</v>
      </c>
      <c r="Y1066" s="147">
        <f t="shared" si="784"/>
        <v>0</v>
      </c>
      <c r="Z1066" s="150"/>
    </row>
    <row r="1067" spans="2:26" s="35" customFormat="1" ht="17.100000000000001" customHeight="1">
      <c r="B1067" s="105"/>
      <c r="C1067" s="54"/>
      <c r="D1067" s="96"/>
      <c r="E1067" s="111"/>
      <c r="F1067" s="112"/>
      <c r="G1067" s="113"/>
      <c r="H1067" s="100">
        <v>0</v>
      </c>
      <c r="I1067" s="98">
        <v>0</v>
      </c>
      <c r="J1067" s="101">
        <f t="shared" si="780"/>
        <v>0</v>
      </c>
      <c r="K1067" s="100">
        <v>0</v>
      </c>
      <c r="L1067" s="98">
        <v>0</v>
      </c>
      <c r="M1067" s="101">
        <f t="shared" si="781"/>
        <v>0</v>
      </c>
      <c r="N1067" s="100">
        <v>0</v>
      </c>
      <c r="O1067" s="98">
        <v>0</v>
      </c>
      <c r="P1067" s="101">
        <f t="shared" si="782"/>
        <v>0</v>
      </c>
      <c r="Q1067" s="100">
        <v>0</v>
      </c>
      <c r="R1067" s="98">
        <v>0</v>
      </c>
      <c r="S1067" s="101">
        <f t="shared" si="783"/>
        <v>0</v>
      </c>
      <c r="T1067" s="100">
        <v>0</v>
      </c>
      <c r="U1067" s="98">
        <v>0</v>
      </c>
      <c r="V1067" s="101">
        <f t="shared" si="785"/>
        <v>0</v>
      </c>
      <c r="W1067" s="100">
        <v>0</v>
      </c>
      <c r="X1067" s="98">
        <v>0</v>
      </c>
      <c r="Y1067" s="147">
        <f t="shared" si="784"/>
        <v>0</v>
      </c>
      <c r="Z1067" s="150"/>
    </row>
    <row r="1068" spans="2:26" s="126" customFormat="1" ht="17.100000000000001" customHeight="1">
      <c r="B1068" s="118"/>
      <c r="C1068" s="119"/>
      <c r="D1068" s="120"/>
      <c r="E1068" s="121"/>
      <c r="F1068" s="122"/>
      <c r="G1068" s="123"/>
      <c r="H1068" s="341" t="s">
        <v>201</v>
      </c>
      <c r="I1068" s="342"/>
      <c r="J1068" s="124">
        <f>SUM(J1061:J1067)</f>
        <v>300</v>
      </c>
      <c r="K1068" s="341" t="s">
        <v>201</v>
      </c>
      <c r="L1068" s="342"/>
      <c r="M1068" s="124">
        <f>SUM(M1061:M1067)</f>
        <v>0</v>
      </c>
      <c r="N1068" s="341" t="s">
        <v>201</v>
      </c>
      <c r="O1068" s="342"/>
      <c r="P1068" s="124">
        <f>SUM(P1061:P1067)</f>
        <v>0</v>
      </c>
      <c r="Q1068" s="341" t="s">
        <v>201</v>
      </c>
      <c r="R1068" s="342"/>
      <c r="S1068" s="124">
        <f>SUM(S1061:S1067)</f>
        <v>0</v>
      </c>
      <c r="T1068" s="341" t="s">
        <v>201</v>
      </c>
      <c r="U1068" s="342"/>
      <c r="V1068" s="124">
        <f>SUM(V1061:V1067)</f>
        <v>0</v>
      </c>
      <c r="W1068" s="341" t="s">
        <v>201</v>
      </c>
      <c r="X1068" s="342"/>
      <c r="Y1068" s="127">
        <f>SUM(Y1061:Y1067)</f>
        <v>0</v>
      </c>
      <c r="Z1068" s="151"/>
    </row>
    <row r="1069" spans="2:26" s="35" customFormat="1" ht="17.100000000000001" customHeight="1">
      <c r="B1069" s="105"/>
      <c r="C1069" s="54">
        <f>'2. Rekap Back Up Beton'!C152</f>
        <v>23400</v>
      </c>
      <c r="D1069" s="96">
        <f>'2. Rekap Back Up Beton'!D152</f>
        <v>23500</v>
      </c>
      <c r="E1069" s="111">
        <f>'2. Rekap Back Up Beton'!E152</f>
        <v>5</v>
      </c>
      <c r="F1069" s="112">
        <f>(100/((D1069-C1069)*E1069))*((J1076*0.5)+(M1076*1)+(P1076*2)+(S1076*20)+(V1076*15)+(Y1076*1.5))</f>
        <v>50</v>
      </c>
      <c r="G1069" s="113" t="str">
        <f>IF(F1069&lt;=25,"B",IF(F1069&lt;=75,"S",IF(F1069&lt;=100,"RR","RB")))</f>
        <v>S</v>
      </c>
      <c r="H1069" s="100">
        <v>100</v>
      </c>
      <c r="I1069" s="98">
        <v>5</v>
      </c>
      <c r="J1069" s="101">
        <f t="shared" ref="J1069:J1075" si="786">H1069*I1069</f>
        <v>500</v>
      </c>
      <c r="K1069" s="100">
        <v>0</v>
      </c>
      <c r="L1069" s="98">
        <v>0</v>
      </c>
      <c r="M1069" s="101">
        <f t="shared" ref="M1069:M1075" si="787">K1069*L1069</f>
        <v>0</v>
      </c>
      <c r="N1069" s="100">
        <v>0</v>
      </c>
      <c r="O1069" s="98">
        <v>4</v>
      </c>
      <c r="P1069" s="101">
        <f t="shared" ref="P1069:P1075" si="788">N1069*O1069</f>
        <v>0</v>
      </c>
      <c r="Q1069" s="100">
        <v>0</v>
      </c>
      <c r="R1069" s="98">
        <v>0</v>
      </c>
      <c r="S1069" s="101">
        <f t="shared" ref="S1069:S1075" si="789">Q1069*R1069</f>
        <v>0</v>
      </c>
      <c r="T1069" s="100">
        <v>0</v>
      </c>
      <c r="U1069" s="98">
        <v>0</v>
      </c>
      <c r="V1069" s="101">
        <f>T1069*U1069</f>
        <v>0</v>
      </c>
      <c r="W1069" s="100">
        <v>0</v>
      </c>
      <c r="X1069" s="98">
        <v>0</v>
      </c>
      <c r="Y1069" s="147">
        <f t="shared" ref="Y1069:Y1075" si="790">W1069*X1069</f>
        <v>0</v>
      </c>
      <c r="Z1069" s="150"/>
    </row>
    <row r="1070" spans="2:26" s="35" customFormat="1" ht="17.100000000000001" customHeight="1">
      <c r="B1070" s="105"/>
      <c r="C1070" s="54"/>
      <c r="D1070" s="96"/>
      <c r="E1070" s="111"/>
      <c r="F1070" s="112"/>
      <c r="G1070" s="113"/>
      <c r="H1070" s="100">
        <v>0</v>
      </c>
      <c r="I1070" s="98">
        <v>0</v>
      </c>
      <c r="J1070" s="101">
        <f t="shared" si="786"/>
        <v>0</v>
      </c>
      <c r="K1070" s="100">
        <v>0</v>
      </c>
      <c r="L1070" s="98">
        <v>0</v>
      </c>
      <c r="M1070" s="101">
        <f t="shared" si="787"/>
        <v>0</v>
      </c>
      <c r="N1070" s="100">
        <v>0</v>
      </c>
      <c r="O1070" s="98">
        <v>0</v>
      </c>
      <c r="P1070" s="101">
        <f t="shared" si="788"/>
        <v>0</v>
      </c>
      <c r="Q1070" s="100">
        <v>0</v>
      </c>
      <c r="R1070" s="98">
        <v>0</v>
      </c>
      <c r="S1070" s="101">
        <f t="shared" si="789"/>
        <v>0</v>
      </c>
      <c r="T1070" s="100">
        <v>0</v>
      </c>
      <c r="U1070" s="98">
        <v>0</v>
      </c>
      <c r="V1070" s="101">
        <f t="shared" ref="V1070:V1075" si="791">T1070*U1070</f>
        <v>0</v>
      </c>
      <c r="W1070" s="100">
        <v>0</v>
      </c>
      <c r="X1070" s="98">
        <v>0</v>
      </c>
      <c r="Y1070" s="147">
        <f t="shared" si="790"/>
        <v>0</v>
      </c>
      <c r="Z1070" s="150"/>
    </row>
    <row r="1071" spans="2:26" s="35" customFormat="1" ht="17.100000000000001" customHeight="1">
      <c r="B1071" s="105"/>
      <c r="C1071" s="54"/>
      <c r="D1071" s="96"/>
      <c r="E1071" s="111"/>
      <c r="F1071" s="112"/>
      <c r="G1071" s="113"/>
      <c r="H1071" s="100">
        <v>0</v>
      </c>
      <c r="I1071" s="98">
        <v>0</v>
      </c>
      <c r="J1071" s="101">
        <f t="shared" si="786"/>
        <v>0</v>
      </c>
      <c r="K1071" s="100">
        <v>0</v>
      </c>
      <c r="L1071" s="98">
        <v>0</v>
      </c>
      <c r="M1071" s="101">
        <f t="shared" si="787"/>
        <v>0</v>
      </c>
      <c r="N1071" s="100">
        <v>0</v>
      </c>
      <c r="O1071" s="98">
        <v>0</v>
      </c>
      <c r="P1071" s="101">
        <f t="shared" si="788"/>
        <v>0</v>
      </c>
      <c r="Q1071" s="100">
        <v>0</v>
      </c>
      <c r="R1071" s="98">
        <v>0</v>
      </c>
      <c r="S1071" s="101">
        <f t="shared" si="789"/>
        <v>0</v>
      </c>
      <c r="T1071" s="100">
        <v>0</v>
      </c>
      <c r="U1071" s="98">
        <v>0</v>
      </c>
      <c r="V1071" s="101">
        <f t="shared" si="791"/>
        <v>0</v>
      </c>
      <c r="W1071" s="100">
        <v>0</v>
      </c>
      <c r="X1071" s="98">
        <v>0</v>
      </c>
      <c r="Y1071" s="147">
        <f t="shared" si="790"/>
        <v>0</v>
      </c>
      <c r="Z1071" s="150"/>
    </row>
    <row r="1072" spans="2:26" s="35" customFormat="1" ht="17.100000000000001" customHeight="1">
      <c r="B1072" s="105"/>
      <c r="C1072" s="54"/>
      <c r="D1072" s="96"/>
      <c r="E1072" s="111"/>
      <c r="F1072" s="112"/>
      <c r="G1072" s="113"/>
      <c r="H1072" s="100">
        <v>0</v>
      </c>
      <c r="I1072" s="98">
        <v>0</v>
      </c>
      <c r="J1072" s="101">
        <f t="shared" si="786"/>
        <v>0</v>
      </c>
      <c r="K1072" s="100">
        <v>0</v>
      </c>
      <c r="L1072" s="98">
        <v>0</v>
      </c>
      <c r="M1072" s="101">
        <f t="shared" si="787"/>
        <v>0</v>
      </c>
      <c r="N1072" s="100">
        <v>0</v>
      </c>
      <c r="O1072" s="98">
        <v>0</v>
      </c>
      <c r="P1072" s="101">
        <f t="shared" si="788"/>
        <v>0</v>
      </c>
      <c r="Q1072" s="100">
        <v>0</v>
      </c>
      <c r="R1072" s="98">
        <v>0</v>
      </c>
      <c r="S1072" s="101">
        <f t="shared" si="789"/>
        <v>0</v>
      </c>
      <c r="T1072" s="100">
        <v>0</v>
      </c>
      <c r="U1072" s="98">
        <v>0</v>
      </c>
      <c r="V1072" s="101">
        <f t="shared" si="791"/>
        <v>0</v>
      </c>
      <c r="W1072" s="100">
        <v>0</v>
      </c>
      <c r="X1072" s="98">
        <v>0</v>
      </c>
      <c r="Y1072" s="147">
        <f t="shared" si="790"/>
        <v>0</v>
      </c>
      <c r="Z1072" s="150"/>
    </row>
    <row r="1073" spans="2:26" s="35" customFormat="1" ht="17.100000000000001" customHeight="1">
      <c r="B1073" s="105"/>
      <c r="C1073" s="54"/>
      <c r="D1073" s="96"/>
      <c r="E1073" s="111"/>
      <c r="F1073" s="112"/>
      <c r="G1073" s="113"/>
      <c r="H1073" s="100">
        <v>0</v>
      </c>
      <c r="I1073" s="98">
        <v>0</v>
      </c>
      <c r="J1073" s="101">
        <f t="shared" si="786"/>
        <v>0</v>
      </c>
      <c r="K1073" s="100">
        <v>0</v>
      </c>
      <c r="L1073" s="98">
        <v>0</v>
      </c>
      <c r="M1073" s="101">
        <f t="shared" si="787"/>
        <v>0</v>
      </c>
      <c r="N1073" s="100">
        <v>0</v>
      </c>
      <c r="O1073" s="98">
        <v>0</v>
      </c>
      <c r="P1073" s="101">
        <f t="shared" si="788"/>
        <v>0</v>
      </c>
      <c r="Q1073" s="100">
        <v>0</v>
      </c>
      <c r="R1073" s="98">
        <v>0</v>
      </c>
      <c r="S1073" s="101">
        <f t="shared" si="789"/>
        <v>0</v>
      </c>
      <c r="T1073" s="100">
        <v>0</v>
      </c>
      <c r="U1073" s="98">
        <v>0</v>
      </c>
      <c r="V1073" s="101">
        <f t="shared" si="791"/>
        <v>0</v>
      </c>
      <c r="W1073" s="100">
        <v>0</v>
      </c>
      <c r="X1073" s="98">
        <v>0</v>
      </c>
      <c r="Y1073" s="147">
        <f t="shared" si="790"/>
        <v>0</v>
      </c>
      <c r="Z1073" s="150"/>
    </row>
    <row r="1074" spans="2:26" s="35" customFormat="1" ht="17.100000000000001" customHeight="1">
      <c r="B1074" s="105"/>
      <c r="C1074" s="54"/>
      <c r="D1074" s="96"/>
      <c r="E1074" s="111"/>
      <c r="F1074" s="112"/>
      <c r="G1074" s="113"/>
      <c r="H1074" s="100">
        <v>0</v>
      </c>
      <c r="I1074" s="98">
        <v>0</v>
      </c>
      <c r="J1074" s="101">
        <f t="shared" si="786"/>
        <v>0</v>
      </c>
      <c r="K1074" s="100">
        <v>0</v>
      </c>
      <c r="L1074" s="98">
        <v>0</v>
      </c>
      <c r="M1074" s="101">
        <f t="shared" si="787"/>
        <v>0</v>
      </c>
      <c r="N1074" s="100">
        <v>0</v>
      </c>
      <c r="O1074" s="98">
        <v>0</v>
      </c>
      <c r="P1074" s="101">
        <f t="shared" si="788"/>
        <v>0</v>
      </c>
      <c r="Q1074" s="100">
        <v>0</v>
      </c>
      <c r="R1074" s="98">
        <v>0</v>
      </c>
      <c r="S1074" s="101">
        <f t="shared" si="789"/>
        <v>0</v>
      </c>
      <c r="T1074" s="100">
        <v>0</v>
      </c>
      <c r="U1074" s="98">
        <v>0</v>
      </c>
      <c r="V1074" s="101">
        <f t="shared" si="791"/>
        <v>0</v>
      </c>
      <c r="W1074" s="100">
        <v>0</v>
      </c>
      <c r="X1074" s="98">
        <v>0</v>
      </c>
      <c r="Y1074" s="147">
        <f t="shared" si="790"/>
        <v>0</v>
      </c>
      <c r="Z1074" s="150"/>
    </row>
    <row r="1075" spans="2:26" s="35" customFormat="1" ht="17.100000000000001" customHeight="1">
      <c r="B1075" s="105"/>
      <c r="C1075" s="54"/>
      <c r="D1075" s="96"/>
      <c r="E1075" s="111"/>
      <c r="F1075" s="112"/>
      <c r="G1075" s="113"/>
      <c r="H1075" s="100">
        <v>0</v>
      </c>
      <c r="I1075" s="98">
        <v>0</v>
      </c>
      <c r="J1075" s="101">
        <f t="shared" si="786"/>
        <v>0</v>
      </c>
      <c r="K1075" s="100">
        <v>0</v>
      </c>
      <c r="L1075" s="98">
        <v>0</v>
      </c>
      <c r="M1075" s="101">
        <f t="shared" si="787"/>
        <v>0</v>
      </c>
      <c r="N1075" s="100">
        <v>0</v>
      </c>
      <c r="O1075" s="98">
        <v>0</v>
      </c>
      <c r="P1075" s="101">
        <f t="shared" si="788"/>
        <v>0</v>
      </c>
      <c r="Q1075" s="100">
        <v>0</v>
      </c>
      <c r="R1075" s="98">
        <v>0</v>
      </c>
      <c r="S1075" s="101">
        <f t="shared" si="789"/>
        <v>0</v>
      </c>
      <c r="T1075" s="100">
        <v>0</v>
      </c>
      <c r="U1075" s="98">
        <v>0</v>
      </c>
      <c r="V1075" s="101">
        <f t="shared" si="791"/>
        <v>0</v>
      </c>
      <c r="W1075" s="100">
        <v>0</v>
      </c>
      <c r="X1075" s="98">
        <v>0</v>
      </c>
      <c r="Y1075" s="147">
        <f t="shared" si="790"/>
        <v>0</v>
      </c>
      <c r="Z1075" s="150"/>
    </row>
    <row r="1076" spans="2:26" s="126" customFormat="1" ht="17.100000000000001" customHeight="1" thickBot="1">
      <c r="B1076" s="128"/>
      <c r="C1076" s="154"/>
      <c r="D1076" s="155"/>
      <c r="E1076" s="156"/>
      <c r="F1076" s="129"/>
      <c r="G1076" s="130"/>
      <c r="H1076" s="344" t="s">
        <v>201</v>
      </c>
      <c r="I1076" s="345"/>
      <c r="J1076" s="131">
        <f>SUM(J1069:J1075)</f>
        <v>500</v>
      </c>
      <c r="K1076" s="344" t="s">
        <v>201</v>
      </c>
      <c r="L1076" s="345"/>
      <c r="M1076" s="131">
        <f>SUM(M1069:M1075)</f>
        <v>0</v>
      </c>
      <c r="N1076" s="344" t="s">
        <v>201</v>
      </c>
      <c r="O1076" s="345"/>
      <c r="P1076" s="131">
        <f>SUM(P1069:P1075)</f>
        <v>0</v>
      </c>
      <c r="Q1076" s="344" t="s">
        <v>201</v>
      </c>
      <c r="R1076" s="345"/>
      <c r="S1076" s="131">
        <f>SUM(S1069:S1075)</f>
        <v>0</v>
      </c>
      <c r="T1076" s="344" t="s">
        <v>201</v>
      </c>
      <c r="U1076" s="345"/>
      <c r="V1076" s="131">
        <f>SUM(V1069:V1075)</f>
        <v>0</v>
      </c>
      <c r="W1076" s="344" t="s">
        <v>201</v>
      </c>
      <c r="X1076" s="345"/>
      <c r="Y1076" s="132">
        <f>SUM(Y1069:Y1075)</f>
        <v>0</v>
      </c>
      <c r="Z1076" s="152"/>
    </row>
    <row r="1077" spans="2:26" s="35" customFormat="1" ht="17.100000000000001" customHeight="1">
      <c r="B1077" s="114"/>
      <c r="C1077" s="157">
        <f>'2. Rekap Back Up Beton'!C153</f>
        <v>23500</v>
      </c>
      <c r="D1077" s="158">
        <f>'2. Rekap Back Up Beton'!D153</f>
        <v>23600</v>
      </c>
      <c r="E1077" s="159">
        <f>'2. Rekap Back Up Beton'!E153</f>
        <v>5</v>
      </c>
      <c r="F1077" s="115">
        <f>(100/((D1077-C1077)*E1077))*((J1084*0.5)+(M1084*1)+(P1084*2)+(S1084*20)+(V1084*15)+(Y1084*1.5))</f>
        <v>50</v>
      </c>
      <c r="G1077" s="116" t="str">
        <f>IF(F1077&lt;=25,"B",IF(F1077&lt;=75,"S",IF(F1077&lt;=100,"RR","RB")))</f>
        <v>S</v>
      </c>
      <c r="H1077" s="135">
        <v>100</v>
      </c>
      <c r="I1077" s="136">
        <v>5</v>
      </c>
      <c r="J1077" s="137">
        <f t="shared" ref="J1077:J1083" si="792">H1077*I1077</f>
        <v>500</v>
      </c>
      <c r="K1077" s="135">
        <v>0</v>
      </c>
      <c r="L1077" s="136">
        <v>0</v>
      </c>
      <c r="M1077" s="137">
        <f t="shared" ref="M1077:M1083" si="793">K1077*L1077</f>
        <v>0</v>
      </c>
      <c r="N1077" s="135">
        <v>0</v>
      </c>
      <c r="O1077" s="136">
        <v>4</v>
      </c>
      <c r="P1077" s="137">
        <f t="shared" ref="P1077:P1083" si="794">N1077*O1077</f>
        <v>0</v>
      </c>
      <c r="Q1077" s="135">
        <v>0</v>
      </c>
      <c r="R1077" s="136">
        <v>0</v>
      </c>
      <c r="S1077" s="137">
        <f t="shared" ref="S1077:S1083" si="795">Q1077*R1077</f>
        <v>0</v>
      </c>
      <c r="T1077" s="135">
        <v>0</v>
      </c>
      <c r="U1077" s="136">
        <v>0</v>
      </c>
      <c r="V1077" s="137">
        <f>T1077*U1077</f>
        <v>0</v>
      </c>
      <c r="W1077" s="135">
        <v>0</v>
      </c>
      <c r="X1077" s="136">
        <v>0</v>
      </c>
      <c r="Y1077" s="148">
        <f t="shared" ref="Y1077:Y1083" si="796">W1077*X1077</f>
        <v>0</v>
      </c>
      <c r="Z1077" s="153"/>
    </row>
    <row r="1078" spans="2:26" s="35" customFormat="1" ht="17.100000000000001" customHeight="1">
      <c r="B1078" s="105"/>
      <c r="C1078" s="54"/>
      <c r="D1078" s="96"/>
      <c r="E1078" s="111"/>
      <c r="F1078" s="112"/>
      <c r="G1078" s="113"/>
      <c r="H1078" s="100">
        <v>0</v>
      </c>
      <c r="I1078" s="98">
        <v>0</v>
      </c>
      <c r="J1078" s="101">
        <f t="shared" si="792"/>
        <v>0</v>
      </c>
      <c r="K1078" s="100">
        <v>0</v>
      </c>
      <c r="L1078" s="98">
        <v>0</v>
      </c>
      <c r="M1078" s="101">
        <f t="shared" si="793"/>
        <v>0</v>
      </c>
      <c r="N1078" s="100">
        <v>0</v>
      </c>
      <c r="O1078" s="98">
        <v>0</v>
      </c>
      <c r="P1078" s="101">
        <f t="shared" si="794"/>
        <v>0</v>
      </c>
      <c r="Q1078" s="100">
        <v>0</v>
      </c>
      <c r="R1078" s="98">
        <v>0</v>
      </c>
      <c r="S1078" s="101">
        <f t="shared" si="795"/>
        <v>0</v>
      </c>
      <c r="T1078" s="100">
        <v>0</v>
      </c>
      <c r="U1078" s="98">
        <v>0</v>
      </c>
      <c r="V1078" s="101">
        <f t="shared" ref="V1078:V1083" si="797">T1078*U1078</f>
        <v>0</v>
      </c>
      <c r="W1078" s="100">
        <v>0</v>
      </c>
      <c r="X1078" s="98">
        <v>0</v>
      </c>
      <c r="Y1078" s="147">
        <f t="shared" si="796"/>
        <v>0</v>
      </c>
      <c r="Z1078" s="150"/>
    </row>
    <row r="1079" spans="2:26" s="35" customFormat="1" ht="17.100000000000001" customHeight="1">
      <c r="B1079" s="105"/>
      <c r="C1079" s="54"/>
      <c r="D1079" s="96"/>
      <c r="E1079" s="111"/>
      <c r="F1079" s="112"/>
      <c r="G1079" s="113"/>
      <c r="H1079" s="100">
        <v>0</v>
      </c>
      <c r="I1079" s="98">
        <v>0</v>
      </c>
      <c r="J1079" s="101">
        <f t="shared" si="792"/>
        <v>0</v>
      </c>
      <c r="K1079" s="100">
        <v>0</v>
      </c>
      <c r="L1079" s="98">
        <v>0</v>
      </c>
      <c r="M1079" s="101">
        <f t="shared" si="793"/>
        <v>0</v>
      </c>
      <c r="N1079" s="100">
        <v>0</v>
      </c>
      <c r="O1079" s="98">
        <v>0</v>
      </c>
      <c r="P1079" s="101">
        <f t="shared" si="794"/>
        <v>0</v>
      </c>
      <c r="Q1079" s="100">
        <v>0</v>
      </c>
      <c r="R1079" s="98">
        <v>0</v>
      </c>
      <c r="S1079" s="101">
        <f t="shared" si="795"/>
        <v>0</v>
      </c>
      <c r="T1079" s="100">
        <v>0</v>
      </c>
      <c r="U1079" s="98">
        <v>0</v>
      </c>
      <c r="V1079" s="101">
        <f t="shared" si="797"/>
        <v>0</v>
      </c>
      <c r="W1079" s="100">
        <v>0</v>
      </c>
      <c r="X1079" s="98">
        <v>0</v>
      </c>
      <c r="Y1079" s="147">
        <f t="shared" si="796"/>
        <v>0</v>
      </c>
      <c r="Z1079" s="150"/>
    </row>
    <row r="1080" spans="2:26" s="35" customFormat="1" ht="17.100000000000001" customHeight="1">
      <c r="B1080" s="105"/>
      <c r="C1080" s="54"/>
      <c r="D1080" s="96"/>
      <c r="E1080" s="111"/>
      <c r="F1080" s="112"/>
      <c r="G1080" s="113"/>
      <c r="H1080" s="100">
        <v>0</v>
      </c>
      <c r="I1080" s="98">
        <v>0</v>
      </c>
      <c r="J1080" s="101">
        <f t="shared" si="792"/>
        <v>0</v>
      </c>
      <c r="K1080" s="100">
        <v>0</v>
      </c>
      <c r="L1080" s="98">
        <v>0</v>
      </c>
      <c r="M1080" s="101">
        <f t="shared" si="793"/>
        <v>0</v>
      </c>
      <c r="N1080" s="100">
        <v>0</v>
      </c>
      <c r="O1080" s="98">
        <v>0</v>
      </c>
      <c r="P1080" s="101">
        <f t="shared" si="794"/>
        <v>0</v>
      </c>
      <c r="Q1080" s="100">
        <v>0</v>
      </c>
      <c r="R1080" s="98">
        <v>0</v>
      </c>
      <c r="S1080" s="101">
        <f t="shared" si="795"/>
        <v>0</v>
      </c>
      <c r="T1080" s="100">
        <v>0</v>
      </c>
      <c r="U1080" s="98">
        <v>0</v>
      </c>
      <c r="V1080" s="101">
        <f t="shared" si="797"/>
        <v>0</v>
      </c>
      <c r="W1080" s="100">
        <v>0</v>
      </c>
      <c r="X1080" s="98">
        <v>0</v>
      </c>
      <c r="Y1080" s="147">
        <f t="shared" si="796"/>
        <v>0</v>
      </c>
      <c r="Z1080" s="150"/>
    </row>
    <row r="1081" spans="2:26" s="35" customFormat="1" ht="17.100000000000001" customHeight="1">
      <c r="B1081" s="105"/>
      <c r="C1081" s="54"/>
      <c r="D1081" s="96"/>
      <c r="E1081" s="111"/>
      <c r="F1081" s="112"/>
      <c r="G1081" s="113"/>
      <c r="H1081" s="100">
        <v>0</v>
      </c>
      <c r="I1081" s="98">
        <v>0</v>
      </c>
      <c r="J1081" s="101">
        <f t="shared" si="792"/>
        <v>0</v>
      </c>
      <c r="K1081" s="100">
        <v>0</v>
      </c>
      <c r="L1081" s="98">
        <v>0</v>
      </c>
      <c r="M1081" s="101">
        <f t="shared" si="793"/>
        <v>0</v>
      </c>
      <c r="N1081" s="100">
        <v>0</v>
      </c>
      <c r="O1081" s="98">
        <v>0</v>
      </c>
      <c r="P1081" s="101">
        <f t="shared" si="794"/>
        <v>0</v>
      </c>
      <c r="Q1081" s="100">
        <v>0</v>
      </c>
      <c r="R1081" s="98">
        <v>0</v>
      </c>
      <c r="S1081" s="101">
        <f t="shared" si="795"/>
        <v>0</v>
      </c>
      <c r="T1081" s="100">
        <v>0</v>
      </c>
      <c r="U1081" s="98">
        <v>0</v>
      </c>
      <c r="V1081" s="101">
        <f t="shared" si="797"/>
        <v>0</v>
      </c>
      <c r="W1081" s="100">
        <v>0</v>
      </c>
      <c r="X1081" s="98">
        <v>0</v>
      </c>
      <c r="Y1081" s="147">
        <f t="shared" si="796"/>
        <v>0</v>
      </c>
      <c r="Z1081" s="150"/>
    </row>
    <row r="1082" spans="2:26" s="35" customFormat="1" ht="17.100000000000001" customHeight="1">
      <c r="B1082" s="105"/>
      <c r="C1082" s="54"/>
      <c r="D1082" s="96"/>
      <c r="E1082" s="111"/>
      <c r="F1082" s="112"/>
      <c r="G1082" s="113"/>
      <c r="H1082" s="100">
        <v>0</v>
      </c>
      <c r="I1082" s="98">
        <v>0</v>
      </c>
      <c r="J1082" s="101">
        <f t="shared" si="792"/>
        <v>0</v>
      </c>
      <c r="K1082" s="100">
        <v>0</v>
      </c>
      <c r="L1082" s="98">
        <v>0</v>
      </c>
      <c r="M1082" s="101">
        <f t="shared" si="793"/>
        <v>0</v>
      </c>
      <c r="N1082" s="100">
        <v>0</v>
      </c>
      <c r="O1082" s="98">
        <v>0</v>
      </c>
      <c r="P1082" s="101">
        <f t="shared" si="794"/>
        <v>0</v>
      </c>
      <c r="Q1082" s="100">
        <v>0</v>
      </c>
      <c r="R1082" s="98">
        <v>0</v>
      </c>
      <c r="S1082" s="101">
        <f t="shared" si="795"/>
        <v>0</v>
      </c>
      <c r="T1082" s="100">
        <v>0</v>
      </c>
      <c r="U1082" s="98">
        <v>0</v>
      </c>
      <c r="V1082" s="101">
        <f t="shared" si="797"/>
        <v>0</v>
      </c>
      <c r="W1082" s="100">
        <v>0</v>
      </c>
      <c r="X1082" s="98">
        <v>0</v>
      </c>
      <c r="Y1082" s="147">
        <f t="shared" si="796"/>
        <v>0</v>
      </c>
      <c r="Z1082" s="150"/>
    </row>
    <row r="1083" spans="2:26" s="35" customFormat="1" ht="17.100000000000001" customHeight="1">
      <c r="B1083" s="105"/>
      <c r="C1083" s="54"/>
      <c r="D1083" s="96"/>
      <c r="E1083" s="111"/>
      <c r="F1083" s="112"/>
      <c r="G1083" s="113"/>
      <c r="H1083" s="100">
        <v>0</v>
      </c>
      <c r="I1083" s="98">
        <v>0</v>
      </c>
      <c r="J1083" s="101">
        <f t="shared" si="792"/>
        <v>0</v>
      </c>
      <c r="K1083" s="100">
        <v>0</v>
      </c>
      <c r="L1083" s="98">
        <v>0</v>
      </c>
      <c r="M1083" s="101">
        <f t="shared" si="793"/>
        <v>0</v>
      </c>
      <c r="N1083" s="100">
        <v>0</v>
      </c>
      <c r="O1083" s="98">
        <v>0</v>
      </c>
      <c r="P1083" s="101">
        <f t="shared" si="794"/>
        <v>0</v>
      </c>
      <c r="Q1083" s="100">
        <v>0</v>
      </c>
      <c r="R1083" s="98">
        <v>0</v>
      </c>
      <c r="S1083" s="101">
        <f t="shared" si="795"/>
        <v>0</v>
      </c>
      <c r="T1083" s="100">
        <v>0</v>
      </c>
      <c r="U1083" s="98">
        <v>0</v>
      </c>
      <c r="V1083" s="101">
        <f t="shared" si="797"/>
        <v>0</v>
      </c>
      <c r="W1083" s="100">
        <v>0</v>
      </c>
      <c r="X1083" s="98">
        <v>0</v>
      </c>
      <c r="Y1083" s="147">
        <f t="shared" si="796"/>
        <v>0</v>
      </c>
      <c r="Z1083" s="150"/>
    </row>
    <row r="1084" spans="2:26" s="126" customFormat="1" ht="17.100000000000001" customHeight="1">
      <c r="B1084" s="118"/>
      <c r="C1084" s="119"/>
      <c r="D1084" s="120"/>
      <c r="E1084" s="121"/>
      <c r="F1084" s="122"/>
      <c r="G1084" s="123"/>
      <c r="H1084" s="341" t="s">
        <v>201</v>
      </c>
      <c r="I1084" s="342"/>
      <c r="J1084" s="124">
        <f>SUM(J1077:J1083)</f>
        <v>500</v>
      </c>
      <c r="K1084" s="341" t="s">
        <v>201</v>
      </c>
      <c r="L1084" s="342"/>
      <c r="M1084" s="124">
        <f>SUM(M1077:M1083)</f>
        <v>0</v>
      </c>
      <c r="N1084" s="341" t="s">
        <v>201</v>
      </c>
      <c r="O1084" s="342"/>
      <c r="P1084" s="124">
        <f>SUM(P1077:P1083)</f>
        <v>0</v>
      </c>
      <c r="Q1084" s="341" t="s">
        <v>201</v>
      </c>
      <c r="R1084" s="342"/>
      <c r="S1084" s="124">
        <f>SUM(S1077:S1083)</f>
        <v>0</v>
      </c>
      <c r="T1084" s="341" t="s">
        <v>201</v>
      </c>
      <c r="U1084" s="342"/>
      <c r="V1084" s="124">
        <f>SUM(V1077:V1083)</f>
        <v>0</v>
      </c>
      <c r="W1084" s="341" t="s">
        <v>201</v>
      </c>
      <c r="X1084" s="342"/>
      <c r="Y1084" s="127">
        <f>SUM(Y1077:Y1083)</f>
        <v>0</v>
      </c>
      <c r="Z1084" s="151"/>
    </row>
    <row r="1085" spans="2:26" s="35" customFormat="1" ht="17.100000000000001" customHeight="1">
      <c r="B1085" s="105"/>
      <c r="C1085" s="54">
        <f>'2. Rekap Back Up Beton'!C154</f>
        <v>23600</v>
      </c>
      <c r="D1085" s="96">
        <f>'2. Rekap Back Up Beton'!D154</f>
        <v>23700</v>
      </c>
      <c r="E1085" s="111">
        <f>'2. Rekap Back Up Beton'!E154</f>
        <v>5</v>
      </c>
      <c r="F1085" s="112">
        <f>(100/((D1085-C1085)*E1085))*((J1092*0.5)+(M1092*1)+(P1092*2)+(S1092*20)+(V1092*15)+(Y1092*1.5))</f>
        <v>50</v>
      </c>
      <c r="G1085" s="113" t="str">
        <f>IF(F1085&lt;=25,"B",IF(F1085&lt;=75,"S",IF(F1085&lt;=100,"RR","RB")))</f>
        <v>S</v>
      </c>
      <c r="H1085" s="100">
        <v>100</v>
      </c>
      <c r="I1085" s="98">
        <v>5</v>
      </c>
      <c r="J1085" s="101">
        <f t="shared" ref="J1085:J1091" si="798">H1085*I1085</f>
        <v>500</v>
      </c>
      <c r="K1085" s="100">
        <v>0</v>
      </c>
      <c r="L1085" s="98">
        <v>0</v>
      </c>
      <c r="M1085" s="101">
        <f t="shared" ref="M1085:M1091" si="799">K1085*L1085</f>
        <v>0</v>
      </c>
      <c r="N1085" s="100">
        <v>0</v>
      </c>
      <c r="O1085" s="98">
        <v>4</v>
      </c>
      <c r="P1085" s="101">
        <f t="shared" ref="P1085:P1091" si="800">N1085*O1085</f>
        <v>0</v>
      </c>
      <c r="Q1085" s="100">
        <v>0</v>
      </c>
      <c r="R1085" s="98">
        <v>0</v>
      </c>
      <c r="S1085" s="101">
        <f t="shared" ref="S1085:S1091" si="801">Q1085*R1085</f>
        <v>0</v>
      </c>
      <c r="T1085" s="100">
        <v>0</v>
      </c>
      <c r="U1085" s="98">
        <v>0</v>
      </c>
      <c r="V1085" s="101">
        <f>T1085*U1085</f>
        <v>0</v>
      </c>
      <c r="W1085" s="100">
        <v>0</v>
      </c>
      <c r="X1085" s="98">
        <v>0</v>
      </c>
      <c r="Y1085" s="147">
        <f t="shared" ref="Y1085:Y1091" si="802">W1085*X1085</f>
        <v>0</v>
      </c>
      <c r="Z1085" s="150"/>
    </row>
    <row r="1086" spans="2:26" s="35" customFormat="1" ht="17.100000000000001" customHeight="1">
      <c r="B1086" s="105"/>
      <c r="C1086" s="54"/>
      <c r="D1086" s="96"/>
      <c r="E1086" s="111"/>
      <c r="F1086" s="112"/>
      <c r="G1086" s="113"/>
      <c r="H1086" s="100">
        <v>0</v>
      </c>
      <c r="I1086" s="98">
        <v>0</v>
      </c>
      <c r="J1086" s="101">
        <f t="shared" si="798"/>
        <v>0</v>
      </c>
      <c r="K1086" s="100">
        <v>0</v>
      </c>
      <c r="L1086" s="98">
        <v>0</v>
      </c>
      <c r="M1086" s="101">
        <f t="shared" si="799"/>
        <v>0</v>
      </c>
      <c r="N1086" s="100">
        <v>0</v>
      </c>
      <c r="O1086" s="98">
        <v>0</v>
      </c>
      <c r="P1086" s="101">
        <f t="shared" si="800"/>
        <v>0</v>
      </c>
      <c r="Q1086" s="100">
        <v>0</v>
      </c>
      <c r="R1086" s="98">
        <v>0</v>
      </c>
      <c r="S1086" s="101">
        <f t="shared" si="801"/>
        <v>0</v>
      </c>
      <c r="T1086" s="100">
        <v>0</v>
      </c>
      <c r="U1086" s="98">
        <v>0</v>
      </c>
      <c r="V1086" s="101">
        <f t="shared" ref="V1086:V1091" si="803">T1086*U1086</f>
        <v>0</v>
      </c>
      <c r="W1086" s="100">
        <v>0</v>
      </c>
      <c r="X1086" s="98">
        <v>0</v>
      </c>
      <c r="Y1086" s="147">
        <f t="shared" si="802"/>
        <v>0</v>
      </c>
      <c r="Z1086" s="150"/>
    </row>
    <row r="1087" spans="2:26" s="35" customFormat="1" ht="17.100000000000001" customHeight="1">
      <c r="B1087" s="105"/>
      <c r="C1087" s="54"/>
      <c r="D1087" s="96"/>
      <c r="E1087" s="111"/>
      <c r="F1087" s="112"/>
      <c r="G1087" s="113"/>
      <c r="H1087" s="100">
        <v>0</v>
      </c>
      <c r="I1087" s="98">
        <v>0</v>
      </c>
      <c r="J1087" s="101">
        <f t="shared" si="798"/>
        <v>0</v>
      </c>
      <c r="K1087" s="100">
        <v>0</v>
      </c>
      <c r="L1087" s="98">
        <v>0</v>
      </c>
      <c r="M1087" s="101">
        <f t="shared" si="799"/>
        <v>0</v>
      </c>
      <c r="N1087" s="100">
        <v>0</v>
      </c>
      <c r="O1087" s="98">
        <v>0</v>
      </c>
      <c r="P1087" s="101">
        <f t="shared" si="800"/>
        <v>0</v>
      </c>
      <c r="Q1087" s="100">
        <v>0</v>
      </c>
      <c r="R1087" s="98">
        <v>0</v>
      </c>
      <c r="S1087" s="101">
        <f t="shared" si="801"/>
        <v>0</v>
      </c>
      <c r="T1087" s="100">
        <v>0</v>
      </c>
      <c r="U1087" s="98">
        <v>0</v>
      </c>
      <c r="V1087" s="101">
        <f t="shared" si="803"/>
        <v>0</v>
      </c>
      <c r="W1087" s="100">
        <v>0</v>
      </c>
      <c r="X1087" s="98">
        <v>0</v>
      </c>
      <c r="Y1087" s="147">
        <f t="shared" si="802"/>
        <v>0</v>
      </c>
      <c r="Z1087" s="150"/>
    </row>
    <row r="1088" spans="2:26" s="35" customFormat="1" ht="17.100000000000001" customHeight="1">
      <c r="B1088" s="105"/>
      <c r="C1088" s="54"/>
      <c r="D1088" s="96"/>
      <c r="E1088" s="111"/>
      <c r="F1088" s="112"/>
      <c r="G1088" s="113"/>
      <c r="H1088" s="100">
        <v>0</v>
      </c>
      <c r="I1088" s="98">
        <v>0</v>
      </c>
      <c r="J1088" s="101">
        <f t="shared" si="798"/>
        <v>0</v>
      </c>
      <c r="K1088" s="100">
        <v>0</v>
      </c>
      <c r="L1088" s="98">
        <v>0</v>
      </c>
      <c r="M1088" s="101">
        <f t="shared" si="799"/>
        <v>0</v>
      </c>
      <c r="N1088" s="100">
        <v>0</v>
      </c>
      <c r="O1088" s="98">
        <v>0</v>
      </c>
      <c r="P1088" s="101">
        <f t="shared" si="800"/>
        <v>0</v>
      </c>
      <c r="Q1088" s="100">
        <v>0</v>
      </c>
      <c r="R1088" s="98">
        <v>0</v>
      </c>
      <c r="S1088" s="101">
        <f t="shared" si="801"/>
        <v>0</v>
      </c>
      <c r="T1088" s="100">
        <v>0</v>
      </c>
      <c r="U1088" s="98">
        <v>0</v>
      </c>
      <c r="V1088" s="101">
        <f t="shared" si="803"/>
        <v>0</v>
      </c>
      <c r="W1088" s="100">
        <v>0</v>
      </c>
      <c r="X1088" s="98">
        <v>0</v>
      </c>
      <c r="Y1088" s="147">
        <f t="shared" si="802"/>
        <v>0</v>
      </c>
      <c r="Z1088" s="150"/>
    </row>
    <row r="1089" spans="2:26" s="35" customFormat="1" ht="17.100000000000001" customHeight="1">
      <c r="B1089" s="105"/>
      <c r="C1089" s="54"/>
      <c r="D1089" s="96"/>
      <c r="E1089" s="111"/>
      <c r="F1089" s="112"/>
      <c r="G1089" s="113"/>
      <c r="H1089" s="100">
        <v>0</v>
      </c>
      <c r="I1089" s="98">
        <v>0</v>
      </c>
      <c r="J1089" s="101">
        <f t="shared" si="798"/>
        <v>0</v>
      </c>
      <c r="K1089" s="100">
        <v>0</v>
      </c>
      <c r="L1089" s="98">
        <v>0</v>
      </c>
      <c r="M1089" s="101">
        <f t="shared" si="799"/>
        <v>0</v>
      </c>
      <c r="N1089" s="100">
        <v>0</v>
      </c>
      <c r="O1089" s="98">
        <v>0</v>
      </c>
      <c r="P1089" s="101">
        <f t="shared" si="800"/>
        <v>0</v>
      </c>
      <c r="Q1089" s="100">
        <v>0</v>
      </c>
      <c r="R1089" s="98">
        <v>0</v>
      </c>
      <c r="S1089" s="101">
        <f t="shared" si="801"/>
        <v>0</v>
      </c>
      <c r="T1089" s="100">
        <v>0</v>
      </c>
      <c r="U1089" s="98">
        <v>0</v>
      </c>
      <c r="V1089" s="101">
        <f t="shared" si="803"/>
        <v>0</v>
      </c>
      <c r="W1089" s="100">
        <v>0</v>
      </c>
      <c r="X1089" s="98">
        <v>0</v>
      </c>
      <c r="Y1089" s="147">
        <f t="shared" si="802"/>
        <v>0</v>
      </c>
      <c r="Z1089" s="150"/>
    </row>
    <row r="1090" spans="2:26" s="35" customFormat="1" ht="17.100000000000001" customHeight="1">
      <c r="B1090" s="105"/>
      <c r="C1090" s="54"/>
      <c r="D1090" s="96"/>
      <c r="E1090" s="111"/>
      <c r="F1090" s="112"/>
      <c r="G1090" s="113"/>
      <c r="H1090" s="100">
        <v>0</v>
      </c>
      <c r="I1090" s="98">
        <v>0</v>
      </c>
      <c r="J1090" s="101">
        <f t="shared" si="798"/>
        <v>0</v>
      </c>
      <c r="K1090" s="100">
        <v>0</v>
      </c>
      <c r="L1090" s="98">
        <v>0</v>
      </c>
      <c r="M1090" s="101">
        <f t="shared" si="799"/>
        <v>0</v>
      </c>
      <c r="N1090" s="100">
        <v>0</v>
      </c>
      <c r="O1090" s="98">
        <v>0</v>
      </c>
      <c r="P1090" s="101">
        <f t="shared" si="800"/>
        <v>0</v>
      </c>
      <c r="Q1090" s="100">
        <v>0</v>
      </c>
      <c r="R1090" s="98">
        <v>0</v>
      </c>
      <c r="S1090" s="101">
        <f t="shared" si="801"/>
        <v>0</v>
      </c>
      <c r="T1090" s="100">
        <v>0</v>
      </c>
      <c r="U1090" s="98">
        <v>0</v>
      </c>
      <c r="V1090" s="101">
        <f t="shared" si="803"/>
        <v>0</v>
      </c>
      <c r="W1090" s="100">
        <v>0</v>
      </c>
      <c r="X1090" s="98">
        <v>0</v>
      </c>
      <c r="Y1090" s="147">
        <f t="shared" si="802"/>
        <v>0</v>
      </c>
      <c r="Z1090" s="150"/>
    </row>
    <row r="1091" spans="2:26" s="35" customFormat="1" ht="17.100000000000001" customHeight="1">
      <c r="B1091" s="105"/>
      <c r="C1091" s="54"/>
      <c r="D1091" s="96"/>
      <c r="E1091" s="111"/>
      <c r="F1091" s="112"/>
      <c r="G1091" s="113"/>
      <c r="H1091" s="100">
        <v>0</v>
      </c>
      <c r="I1091" s="98">
        <v>0</v>
      </c>
      <c r="J1091" s="101">
        <f t="shared" si="798"/>
        <v>0</v>
      </c>
      <c r="K1091" s="100">
        <v>0</v>
      </c>
      <c r="L1091" s="98">
        <v>0</v>
      </c>
      <c r="M1091" s="101">
        <f t="shared" si="799"/>
        <v>0</v>
      </c>
      <c r="N1091" s="100">
        <v>0</v>
      </c>
      <c r="O1091" s="98">
        <v>0</v>
      </c>
      <c r="P1091" s="101">
        <f t="shared" si="800"/>
        <v>0</v>
      </c>
      <c r="Q1091" s="100">
        <v>0</v>
      </c>
      <c r="R1091" s="98">
        <v>0</v>
      </c>
      <c r="S1091" s="101">
        <f t="shared" si="801"/>
        <v>0</v>
      </c>
      <c r="T1091" s="100">
        <v>0</v>
      </c>
      <c r="U1091" s="98">
        <v>0</v>
      </c>
      <c r="V1091" s="101">
        <f t="shared" si="803"/>
        <v>0</v>
      </c>
      <c r="W1091" s="100">
        <v>0</v>
      </c>
      <c r="X1091" s="98">
        <v>0</v>
      </c>
      <c r="Y1091" s="147">
        <f t="shared" si="802"/>
        <v>0</v>
      </c>
      <c r="Z1091" s="150"/>
    </row>
    <row r="1092" spans="2:26" s="126" customFormat="1" ht="17.100000000000001" customHeight="1">
      <c r="B1092" s="118"/>
      <c r="C1092" s="119"/>
      <c r="D1092" s="120"/>
      <c r="E1092" s="121"/>
      <c r="F1092" s="122"/>
      <c r="G1092" s="123"/>
      <c r="H1092" s="341" t="s">
        <v>201</v>
      </c>
      <c r="I1092" s="342"/>
      <c r="J1092" s="124">
        <f>SUM(J1085:J1091)</f>
        <v>500</v>
      </c>
      <c r="K1092" s="341" t="s">
        <v>201</v>
      </c>
      <c r="L1092" s="342"/>
      <c r="M1092" s="124">
        <f>SUM(M1085:M1091)</f>
        <v>0</v>
      </c>
      <c r="N1092" s="341" t="s">
        <v>201</v>
      </c>
      <c r="O1092" s="342"/>
      <c r="P1092" s="124">
        <f>SUM(P1085:P1091)</f>
        <v>0</v>
      </c>
      <c r="Q1092" s="341" t="s">
        <v>201</v>
      </c>
      <c r="R1092" s="342"/>
      <c r="S1092" s="124">
        <f>SUM(S1085:S1091)</f>
        <v>0</v>
      </c>
      <c r="T1092" s="341" t="s">
        <v>201</v>
      </c>
      <c r="U1092" s="342"/>
      <c r="V1092" s="124">
        <f>SUM(V1085:V1091)</f>
        <v>0</v>
      </c>
      <c r="W1092" s="341" t="s">
        <v>201</v>
      </c>
      <c r="X1092" s="342"/>
      <c r="Y1092" s="127">
        <f>SUM(Y1085:Y1091)</f>
        <v>0</v>
      </c>
      <c r="Z1092" s="151"/>
    </row>
    <row r="1093" spans="2:26" s="35" customFormat="1" ht="17.100000000000001" customHeight="1">
      <c r="B1093" s="105"/>
      <c r="C1093" s="54">
        <f>'2. Rekap Back Up Beton'!C155</f>
        <v>23700</v>
      </c>
      <c r="D1093" s="96">
        <f>'2. Rekap Back Up Beton'!D155</f>
        <v>23800</v>
      </c>
      <c r="E1093" s="111">
        <f>'2. Rekap Back Up Beton'!E155</f>
        <v>5</v>
      </c>
      <c r="F1093" s="112">
        <f>(100/((D1093-C1093)*E1093))*((J1100*0.5)+(M1100*1)+(P1100*2)+(S1100*20)+(V1100*15)+(Y1100*1.5))</f>
        <v>10</v>
      </c>
      <c r="G1093" s="113" t="str">
        <f>IF(F1093&lt;=25,"B",IF(F1093&lt;=75,"S",IF(F1093&lt;=100,"RR","RB")))</f>
        <v>B</v>
      </c>
      <c r="H1093" s="100">
        <v>20</v>
      </c>
      <c r="I1093" s="98">
        <v>5</v>
      </c>
      <c r="J1093" s="101">
        <f t="shared" ref="J1093:J1099" si="804">H1093*I1093</f>
        <v>100</v>
      </c>
      <c r="K1093" s="100">
        <v>0</v>
      </c>
      <c r="L1093" s="98">
        <v>0</v>
      </c>
      <c r="M1093" s="101">
        <f t="shared" ref="M1093:M1099" si="805">K1093*L1093</f>
        <v>0</v>
      </c>
      <c r="N1093" s="100">
        <v>0</v>
      </c>
      <c r="O1093" s="98">
        <v>4</v>
      </c>
      <c r="P1093" s="101">
        <f t="shared" ref="P1093:P1099" si="806">N1093*O1093</f>
        <v>0</v>
      </c>
      <c r="Q1093" s="100">
        <v>0</v>
      </c>
      <c r="R1093" s="98">
        <v>0</v>
      </c>
      <c r="S1093" s="101">
        <f t="shared" ref="S1093:S1099" si="807">Q1093*R1093</f>
        <v>0</v>
      </c>
      <c r="T1093" s="100">
        <v>0</v>
      </c>
      <c r="U1093" s="98">
        <v>0</v>
      </c>
      <c r="V1093" s="101">
        <f>T1093*U1093</f>
        <v>0</v>
      </c>
      <c r="W1093" s="100">
        <v>0</v>
      </c>
      <c r="X1093" s="98">
        <v>0</v>
      </c>
      <c r="Y1093" s="147">
        <f t="shared" ref="Y1093:Y1099" si="808">W1093*X1093</f>
        <v>0</v>
      </c>
      <c r="Z1093" s="150"/>
    </row>
    <row r="1094" spans="2:26" s="35" customFormat="1" ht="17.100000000000001" customHeight="1">
      <c r="B1094" s="105"/>
      <c r="C1094" s="54"/>
      <c r="D1094" s="96"/>
      <c r="E1094" s="111"/>
      <c r="F1094" s="112"/>
      <c r="G1094" s="113"/>
      <c r="H1094" s="100">
        <v>0</v>
      </c>
      <c r="I1094" s="98">
        <v>0</v>
      </c>
      <c r="J1094" s="101">
        <f t="shared" si="804"/>
        <v>0</v>
      </c>
      <c r="K1094" s="100">
        <v>0</v>
      </c>
      <c r="L1094" s="98">
        <v>0</v>
      </c>
      <c r="M1094" s="101">
        <f t="shared" si="805"/>
        <v>0</v>
      </c>
      <c r="N1094" s="100">
        <v>0</v>
      </c>
      <c r="O1094" s="98">
        <v>0</v>
      </c>
      <c r="P1094" s="101">
        <f t="shared" si="806"/>
        <v>0</v>
      </c>
      <c r="Q1094" s="100">
        <v>0</v>
      </c>
      <c r="R1094" s="98">
        <v>0</v>
      </c>
      <c r="S1094" s="101">
        <f t="shared" si="807"/>
        <v>0</v>
      </c>
      <c r="T1094" s="100">
        <v>0</v>
      </c>
      <c r="U1094" s="98">
        <v>0</v>
      </c>
      <c r="V1094" s="101">
        <f t="shared" ref="V1094:V1099" si="809">T1094*U1094</f>
        <v>0</v>
      </c>
      <c r="W1094" s="100">
        <v>0</v>
      </c>
      <c r="X1094" s="98">
        <v>0</v>
      </c>
      <c r="Y1094" s="147">
        <f t="shared" si="808"/>
        <v>0</v>
      </c>
      <c r="Z1094" s="150"/>
    </row>
    <row r="1095" spans="2:26" s="35" customFormat="1" ht="17.100000000000001" customHeight="1">
      <c r="B1095" s="105"/>
      <c r="C1095" s="54"/>
      <c r="D1095" s="96"/>
      <c r="E1095" s="111"/>
      <c r="F1095" s="112"/>
      <c r="G1095" s="113"/>
      <c r="H1095" s="100">
        <v>0</v>
      </c>
      <c r="I1095" s="98">
        <v>0</v>
      </c>
      <c r="J1095" s="101">
        <f t="shared" si="804"/>
        <v>0</v>
      </c>
      <c r="K1095" s="100">
        <v>0</v>
      </c>
      <c r="L1095" s="98">
        <v>0</v>
      </c>
      <c r="M1095" s="101">
        <f t="shared" si="805"/>
        <v>0</v>
      </c>
      <c r="N1095" s="100">
        <v>0</v>
      </c>
      <c r="O1095" s="98">
        <v>0</v>
      </c>
      <c r="P1095" s="101">
        <f t="shared" si="806"/>
        <v>0</v>
      </c>
      <c r="Q1095" s="100">
        <v>0</v>
      </c>
      <c r="R1095" s="98">
        <v>0</v>
      </c>
      <c r="S1095" s="101">
        <f t="shared" si="807"/>
        <v>0</v>
      </c>
      <c r="T1095" s="100">
        <v>0</v>
      </c>
      <c r="U1095" s="98">
        <v>0</v>
      </c>
      <c r="V1095" s="101">
        <f t="shared" si="809"/>
        <v>0</v>
      </c>
      <c r="W1095" s="100">
        <v>0</v>
      </c>
      <c r="X1095" s="98">
        <v>0</v>
      </c>
      <c r="Y1095" s="147">
        <f t="shared" si="808"/>
        <v>0</v>
      </c>
      <c r="Z1095" s="150"/>
    </row>
    <row r="1096" spans="2:26" s="35" customFormat="1" ht="17.100000000000001" customHeight="1">
      <c r="B1096" s="105"/>
      <c r="C1096" s="54"/>
      <c r="D1096" s="96"/>
      <c r="E1096" s="111"/>
      <c r="F1096" s="112"/>
      <c r="G1096" s="113"/>
      <c r="H1096" s="100">
        <v>0</v>
      </c>
      <c r="I1096" s="98">
        <v>0</v>
      </c>
      <c r="J1096" s="101">
        <f t="shared" si="804"/>
        <v>0</v>
      </c>
      <c r="K1096" s="100">
        <v>0</v>
      </c>
      <c r="L1096" s="98">
        <v>0</v>
      </c>
      <c r="M1096" s="101">
        <f t="shared" si="805"/>
        <v>0</v>
      </c>
      <c r="N1096" s="100">
        <v>0</v>
      </c>
      <c r="O1096" s="98">
        <v>0</v>
      </c>
      <c r="P1096" s="101">
        <f t="shared" si="806"/>
        <v>0</v>
      </c>
      <c r="Q1096" s="100">
        <v>0</v>
      </c>
      <c r="R1096" s="98">
        <v>0</v>
      </c>
      <c r="S1096" s="101">
        <f t="shared" si="807"/>
        <v>0</v>
      </c>
      <c r="T1096" s="100">
        <v>0</v>
      </c>
      <c r="U1096" s="98">
        <v>0</v>
      </c>
      <c r="V1096" s="101">
        <f t="shared" si="809"/>
        <v>0</v>
      </c>
      <c r="W1096" s="100">
        <v>0</v>
      </c>
      <c r="X1096" s="98">
        <v>0</v>
      </c>
      <c r="Y1096" s="147">
        <f t="shared" si="808"/>
        <v>0</v>
      </c>
      <c r="Z1096" s="150"/>
    </row>
    <row r="1097" spans="2:26" s="35" customFormat="1" ht="17.100000000000001" customHeight="1">
      <c r="B1097" s="105"/>
      <c r="C1097" s="54"/>
      <c r="D1097" s="96"/>
      <c r="E1097" s="111"/>
      <c r="F1097" s="112"/>
      <c r="G1097" s="113"/>
      <c r="H1097" s="100">
        <v>0</v>
      </c>
      <c r="I1097" s="98">
        <v>0</v>
      </c>
      <c r="J1097" s="101">
        <f t="shared" si="804"/>
        <v>0</v>
      </c>
      <c r="K1097" s="100">
        <v>0</v>
      </c>
      <c r="L1097" s="98">
        <v>0</v>
      </c>
      <c r="M1097" s="101">
        <f t="shared" si="805"/>
        <v>0</v>
      </c>
      <c r="N1097" s="100">
        <v>0</v>
      </c>
      <c r="O1097" s="98">
        <v>0</v>
      </c>
      <c r="P1097" s="101">
        <f t="shared" si="806"/>
        <v>0</v>
      </c>
      <c r="Q1097" s="100">
        <v>0</v>
      </c>
      <c r="R1097" s="98">
        <v>0</v>
      </c>
      <c r="S1097" s="101">
        <f t="shared" si="807"/>
        <v>0</v>
      </c>
      <c r="T1097" s="100">
        <v>0</v>
      </c>
      <c r="U1097" s="98">
        <v>0</v>
      </c>
      <c r="V1097" s="101">
        <f t="shared" si="809"/>
        <v>0</v>
      </c>
      <c r="W1097" s="100">
        <v>0</v>
      </c>
      <c r="X1097" s="98">
        <v>0</v>
      </c>
      <c r="Y1097" s="147">
        <f t="shared" si="808"/>
        <v>0</v>
      </c>
      <c r="Z1097" s="150"/>
    </row>
    <row r="1098" spans="2:26" s="35" customFormat="1" ht="17.100000000000001" customHeight="1">
      <c r="B1098" s="105"/>
      <c r="C1098" s="54"/>
      <c r="D1098" s="96"/>
      <c r="E1098" s="111"/>
      <c r="F1098" s="112"/>
      <c r="G1098" s="113"/>
      <c r="H1098" s="100">
        <v>0</v>
      </c>
      <c r="I1098" s="98">
        <v>0</v>
      </c>
      <c r="J1098" s="101">
        <f t="shared" si="804"/>
        <v>0</v>
      </c>
      <c r="K1098" s="100">
        <v>0</v>
      </c>
      <c r="L1098" s="98">
        <v>0</v>
      </c>
      <c r="M1098" s="101">
        <f t="shared" si="805"/>
        <v>0</v>
      </c>
      <c r="N1098" s="100">
        <v>0</v>
      </c>
      <c r="O1098" s="98">
        <v>0</v>
      </c>
      <c r="P1098" s="101">
        <f t="shared" si="806"/>
        <v>0</v>
      </c>
      <c r="Q1098" s="100">
        <v>0</v>
      </c>
      <c r="R1098" s="98">
        <v>0</v>
      </c>
      <c r="S1098" s="101">
        <f t="shared" si="807"/>
        <v>0</v>
      </c>
      <c r="T1098" s="100">
        <v>0</v>
      </c>
      <c r="U1098" s="98">
        <v>0</v>
      </c>
      <c r="V1098" s="101">
        <f t="shared" si="809"/>
        <v>0</v>
      </c>
      <c r="W1098" s="100">
        <v>0</v>
      </c>
      <c r="X1098" s="98">
        <v>0</v>
      </c>
      <c r="Y1098" s="147">
        <f t="shared" si="808"/>
        <v>0</v>
      </c>
      <c r="Z1098" s="150"/>
    </row>
    <row r="1099" spans="2:26" s="35" customFormat="1" ht="17.100000000000001" customHeight="1">
      <c r="B1099" s="105"/>
      <c r="C1099" s="54"/>
      <c r="D1099" s="96"/>
      <c r="E1099" s="111"/>
      <c r="F1099" s="112"/>
      <c r="G1099" s="113"/>
      <c r="H1099" s="100">
        <v>0</v>
      </c>
      <c r="I1099" s="98">
        <v>0</v>
      </c>
      <c r="J1099" s="101">
        <f t="shared" si="804"/>
        <v>0</v>
      </c>
      <c r="K1099" s="100">
        <v>0</v>
      </c>
      <c r="L1099" s="98">
        <v>0</v>
      </c>
      <c r="M1099" s="101">
        <f t="shared" si="805"/>
        <v>0</v>
      </c>
      <c r="N1099" s="100">
        <v>0</v>
      </c>
      <c r="O1099" s="98">
        <v>0</v>
      </c>
      <c r="P1099" s="101">
        <f t="shared" si="806"/>
        <v>0</v>
      </c>
      <c r="Q1099" s="100">
        <v>0</v>
      </c>
      <c r="R1099" s="98">
        <v>0</v>
      </c>
      <c r="S1099" s="101">
        <f t="shared" si="807"/>
        <v>0</v>
      </c>
      <c r="T1099" s="100">
        <v>0</v>
      </c>
      <c r="U1099" s="98">
        <v>0</v>
      </c>
      <c r="V1099" s="101">
        <f t="shared" si="809"/>
        <v>0</v>
      </c>
      <c r="W1099" s="100">
        <v>0</v>
      </c>
      <c r="X1099" s="98">
        <v>0</v>
      </c>
      <c r="Y1099" s="147">
        <f t="shared" si="808"/>
        <v>0</v>
      </c>
      <c r="Z1099" s="150"/>
    </row>
    <row r="1100" spans="2:26" s="126" customFormat="1" ht="17.100000000000001" customHeight="1">
      <c r="B1100" s="118"/>
      <c r="C1100" s="119"/>
      <c r="D1100" s="120"/>
      <c r="E1100" s="121"/>
      <c r="F1100" s="122"/>
      <c r="G1100" s="123"/>
      <c r="H1100" s="341" t="s">
        <v>201</v>
      </c>
      <c r="I1100" s="342"/>
      <c r="J1100" s="124">
        <f>SUM(J1093:J1099)</f>
        <v>100</v>
      </c>
      <c r="K1100" s="341" t="s">
        <v>201</v>
      </c>
      <c r="L1100" s="342"/>
      <c r="M1100" s="124">
        <f>SUM(M1093:M1099)</f>
        <v>0</v>
      </c>
      <c r="N1100" s="341" t="s">
        <v>201</v>
      </c>
      <c r="O1100" s="342"/>
      <c r="P1100" s="124">
        <f>SUM(P1093:P1099)</f>
        <v>0</v>
      </c>
      <c r="Q1100" s="341" t="s">
        <v>201</v>
      </c>
      <c r="R1100" s="342"/>
      <c r="S1100" s="124">
        <f>SUM(S1093:S1099)</f>
        <v>0</v>
      </c>
      <c r="T1100" s="341" t="s">
        <v>201</v>
      </c>
      <c r="U1100" s="342"/>
      <c r="V1100" s="124">
        <f>SUM(V1093:V1099)</f>
        <v>0</v>
      </c>
      <c r="W1100" s="341" t="s">
        <v>201</v>
      </c>
      <c r="X1100" s="342"/>
      <c r="Y1100" s="127">
        <f>SUM(Y1093:Y1099)</f>
        <v>0</v>
      </c>
      <c r="Z1100" s="151"/>
    </row>
    <row r="1101" spans="2:26" s="35" customFormat="1" ht="17.100000000000001" customHeight="1">
      <c r="B1101" s="105"/>
      <c r="C1101" s="54">
        <f>'2. Rekap Back Up Beton'!C156</f>
        <v>23800</v>
      </c>
      <c r="D1101" s="96">
        <f>'2. Rekap Back Up Beton'!D156</f>
        <v>23900</v>
      </c>
      <c r="E1101" s="111">
        <f>'2. Rekap Back Up Beton'!E156</f>
        <v>5</v>
      </c>
      <c r="F1101" s="112">
        <f>(100/((D1101-C1101)*E1101))*((J1108*0.5)+(M1108*1)+(P1108*2)+(S1108*20)+(V1108*15)+(Y1108*1.5))</f>
        <v>50</v>
      </c>
      <c r="G1101" s="113" t="str">
        <f>IF(F1101&lt;=25,"B",IF(F1101&lt;=75,"S",IF(F1101&lt;=100,"RR","RB")))</f>
        <v>S</v>
      </c>
      <c r="H1101" s="100">
        <v>100</v>
      </c>
      <c r="I1101" s="98">
        <v>5</v>
      </c>
      <c r="J1101" s="101">
        <f t="shared" ref="J1101:J1107" si="810">H1101*I1101</f>
        <v>500</v>
      </c>
      <c r="K1101" s="100">
        <v>0</v>
      </c>
      <c r="L1101" s="98">
        <v>0</v>
      </c>
      <c r="M1101" s="101">
        <f t="shared" ref="M1101:M1107" si="811">K1101*L1101</f>
        <v>0</v>
      </c>
      <c r="N1101" s="100">
        <v>0</v>
      </c>
      <c r="O1101" s="98">
        <v>4</v>
      </c>
      <c r="P1101" s="101">
        <f t="shared" ref="P1101:P1107" si="812">N1101*O1101</f>
        <v>0</v>
      </c>
      <c r="Q1101" s="100">
        <v>0</v>
      </c>
      <c r="R1101" s="98">
        <v>0</v>
      </c>
      <c r="S1101" s="101">
        <f t="shared" ref="S1101:S1107" si="813">Q1101*R1101</f>
        <v>0</v>
      </c>
      <c r="T1101" s="100">
        <v>0</v>
      </c>
      <c r="U1101" s="98">
        <v>0</v>
      </c>
      <c r="V1101" s="101">
        <f>T1101*U1101</f>
        <v>0</v>
      </c>
      <c r="W1101" s="100">
        <v>0</v>
      </c>
      <c r="X1101" s="98">
        <v>0</v>
      </c>
      <c r="Y1101" s="147">
        <f t="shared" ref="Y1101:Y1107" si="814">W1101*X1101</f>
        <v>0</v>
      </c>
      <c r="Z1101" s="150"/>
    </row>
    <row r="1102" spans="2:26" s="35" customFormat="1" ht="17.100000000000001" customHeight="1">
      <c r="B1102" s="105"/>
      <c r="C1102" s="54"/>
      <c r="D1102" s="96"/>
      <c r="E1102" s="111"/>
      <c r="F1102" s="112"/>
      <c r="G1102" s="113"/>
      <c r="H1102" s="100">
        <v>0</v>
      </c>
      <c r="I1102" s="98">
        <v>0</v>
      </c>
      <c r="J1102" s="101">
        <f t="shared" si="810"/>
        <v>0</v>
      </c>
      <c r="K1102" s="100">
        <v>0</v>
      </c>
      <c r="L1102" s="98">
        <v>0</v>
      </c>
      <c r="M1102" s="101">
        <f t="shared" si="811"/>
        <v>0</v>
      </c>
      <c r="N1102" s="100">
        <v>0</v>
      </c>
      <c r="O1102" s="98">
        <v>0</v>
      </c>
      <c r="P1102" s="101">
        <f t="shared" si="812"/>
        <v>0</v>
      </c>
      <c r="Q1102" s="100">
        <v>0</v>
      </c>
      <c r="R1102" s="98">
        <v>0</v>
      </c>
      <c r="S1102" s="101">
        <f t="shared" si="813"/>
        <v>0</v>
      </c>
      <c r="T1102" s="100">
        <v>0</v>
      </c>
      <c r="U1102" s="98">
        <v>0</v>
      </c>
      <c r="V1102" s="101">
        <f t="shared" ref="V1102:V1107" si="815">T1102*U1102</f>
        <v>0</v>
      </c>
      <c r="W1102" s="100">
        <v>0</v>
      </c>
      <c r="X1102" s="98">
        <v>0</v>
      </c>
      <c r="Y1102" s="147">
        <f t="shared" si="814"/>
        <v>0</v>
      </c>
      <c r="Z1102" s="150"/>
    </row>
    <row r="1103" spans="2:26" s="35" customFormat="1" ht="17.100000000000001" customHeight="1">
      <c r="B1103" s="105"/>
      <c r="C1103" s="54"/>
      <c r="D1103" s="96"/>
      <c r="E1103" s="111"/>
      <c r="F1103" s="112"/>
      <c r="G1103" s="113"/>
      <c r="H1103" s="100">
        <v>0</v>
      </c>
      <c r="I1103" s="98">
        <v>0</v>
      </c>
      <c r="J1103" s="101">
        <f t="shared" si="810"/>
        <v>0</v>
      </c>
      <c r="K1103" s="100">
        <v>0</v>
      </c>
      <c r="L1103" s="98">
        <v>0</v>
      </c>
      <c r="M1103" s="101">
        <f t="shared" si="811"/>
        <v>0</v>
      </c>
      <c r="N1103" s="100">
        <v>0</v>
      </c>
      <c r="O1103" s="98">
        <v>0</v>
      </c>
      <c r="P1103" s="101">
        <f t="shared" si="812"/>
        <v>0</v>
      </c>
      <c r="Q1103" s="100">
        <v>0</v>
      </c>
      <c r="R1103" s="98">
        <v>0</v>
      </c>
      <c r="S1103" s="101">
        <f t="shared" si="813"/>
        <v>0</v>
      </c>
      <c r="T1103" s="100">
        <v>0</v>
      </c>
      <c r="U1103" s="98">
        <v>0</v>
      </c>
      <c r="V1103" s="101">
        <f t="shared" si="815"/>
        <v>0</v>
      </c>
      <c r="W1103" s="100">
        <v>0</v>
      </c>
      <c r="X1103" s="98">
        <v>0</v>
      </c>
      <c r="Y1103" s="147">
        <f t="shared" si="814"/>
        <v>0</v>
      </c>
      <c r="Z1103" s="150"/>
    </row>
    <row r="1104" spans="2:26" s="35" customFormat="1" ht="17.100000000000001" customHeight="1">
      <c r="B1104" s="105"/>
      <c r="C1104" s="54"/>
      <c r="D1104" s="96"/>
      <c r="E1104" s="111"/>
      <c r="F1104" s="112"/>
      <c r="G1104" s="113"/>
      <c r="H1104" s="100">
        <v>0</v>
      </c>
      <c r="I1104" s="98">
        <v>0</v>
      </c>
      <c r="J1104" s="101">
        <f t="shared" si="810"/>
        <v>0</v>
      </c>
      <c r="K1104" s="100">
        <v>0</v>
      </c>
      <c r="L1104" s="98">
        <v>0</v>
      </c>
      <c r="M1104" s="101">
        <f t="shared" si="811"/>
        <v>0</v>
      </c>
      <c r="N1104" s="100">
        <v>0</v>
      </c>
      <c r="O1104" s="98">
        <v>0</v>
      </c>
      <c r="P1104" s="101">
        <f t="shared" si="812"/>
        <v>0</v>
      </c>
      <c r="Q1104" s="100">
        <v>0</v>
      </c>
      <c r="R1104" s="98">
        <v>0</v>
      </c>
      <c r="S1104" s="101">
        <f t="shared" si="813"/>
        <v>0</v>
      </c>
      <c r="T1104" s="100">
        <v>0</v>
      </c>
      <c r="U1104" s="98">
        <v>0</v>
      </c>
      <c r="V1104" s="101">
        <f t="shared" si="815"/>
        <v>0</v>
      </c>
      <c r="W1104" s="100">
        <v>0</v>
      </c>
      <c r="X1104" s="98">
        <v>0</v>
      </c>
      <c r="Y1104" s="147">
        <f t="shared" si="814"/>
        <v>0</v>
      </c>
      <c r="Z1104" s="150"/>
    </row>
    <row r="1105" spans="2:26" s="35" customFormat="1" ht="17.100000000000001" customHeight="1">
      <c r="B1105" s="105"/>
      <c r="C1105" s="54"/>
      <c r="D1105" s="96"/>
      <c r="E1105" s="111"/>
      <c r="F1105" s="112"/>
      <c r="G1105" s="113"/>
      <c r="H1105" s="100">
        <v>0</v>
      </c>
      <c r="I1105" s="98">
        <v>0</v>
      </c>
      <c r="J1105" s="101">
        <f t="shared" si="810"/>
        <v>0</v>
      </c>
      <c r="K1105" s="100">
        <v>0</v>
      </c>
      <c r="L1105" s="98">
        <v>0</v>
      </c>
      <c r="M1105" s="101">
        <f t="shared" si="811"/>
        <v>0</v>
      </c>
      <c r="N1105" s="100">
        <v>0</v>
      </c>
      <c r="O1105" s="98">
        <v>0</v>
      </c>
      <c r="P1105" s="101">
        <f t="shared" si="812"/>
        <v>0</v>
      </c>
      <c r="Q1105" s="100">
        <v>0</v>
      </c>
      <c r="R1105" s="98">
        <v>0</v>
      </c>
      <c r="S1105" s="101">
        <f t="shared" si="813"/>
        <v>0</v>
      </c>
      <c r="T1105" s="100">
        <v>0</v>
      </c>
      <c r="U1105" s="98">
        <v>0</v>
      </c>
      <c r="V1105" s="101">
        <f t="shared" si="815"/>
        <v>0</v>
      </c>
      <c r="W1105" s="100">
        <v>0</v>
      </c>
      <c r="X1105" s="98">
        <v>0</v>
      </c>
      <c r="Y1105" s="147">
        <f t="shared" si="814"/>
        <v>0</v>
      </c>
      <c r="Z1105" s="150"/>
    </row>
    <row r="1106" spans="2:26" s="35" customFormat="1" ht="17.100000000000001" customHeight="1">
      <c r="B1106" s="105"/>
      <c r="C1106" s="54"/>
      <c r="D1106" s="96"/>
      <c r="E1106" s="111"/>
      <c r="F1106" s="112"/>
      <c r="G1106" s="113"/>
      <c r="H1106" s="100">
        <v>0</v>
      </c>
      <c r="I1106" s="98">
        <v>0</v>
      </c>
      <c r="J1106" s="101">
        <f t="shared" si="810"/>
        <v>0</v>
      </c>
      <c r="K1106" s="100">
        <v>0</v>
      </c>
      <c r="L1106" s="98">
        <v>0</v>
      </c>
      <c r="M1106" s="101">
        <f t="shared" si="811"/>
        <v>0</v>
      </c>
      <c r="N1106" s="100">
        <v>0</v>
      </c>
      <c r="O1106" s="98">
        <v>0</v>
      </c>
      <c r="P1106" s="101">
        <f t="shared" si="812"/>
        <v>0</v>
      </c>
      <c r="Q1106" s="100">
        <v>0</v>
      </c>
      <c r="R1106" s="98">
        <v>0</v>
      </c>
      <c r="S1106" s="101">
        <f t="shared" si="813"/>
        <v>0</v>
      </c>
      <c r="T1106" s="100">
        <v>0</v>
      </c>
      <c r="U1106" s="98">
        <v>0</v>
      </c>
      <c r="V1106" s="101">
        <f t="shared" si="815"/>
        <v>0</v>
      </c>
      <c r="W1106" s="100">
        <v>0</v>
      </c>
      <c r="X1106" s="98">
        <v>0</v>
      </c>
      <c r="Y1106" s="147">
        <f t="shared" si="814"/>
        <v>0</v>
      </c>
      <c r="Z1106" s="150"/>
    </row>
    <row r="1107" spans="2:26" s="35" customFormat="1" ht="17.100000000000001" customHeight="1">
      <c r="B1107" s="105"/>
      <c r="C1107" s="54"/>
      <c r="D1107" s="96"/>
      <c r="E1107" s="111"/>
      <c r="F1107" s="112"/>
      <c r="G1107" s="113"/>
      <c r="H1107" s="100">
        <v>0</v>
      </c>
      <c r="I1107" s="98">
        <v>0</v>
      </c>
      <c r="J1107" s="101">
        <f t="shared" si="810"/>
        <v>0</v>
      </c>
      <c r="K1107" s="100">
        <v>0</v>
      </c>
      <c r="L1107" s="98">
        <v>0</v>
      </c>
      <c r="M1107" s="101">
        <f t="shared" si="811"/>
        <v>0</v>
      </c>
      <c r="N1107" s="100">
        <v>0</v>
      </c>
      <c r="O1107" s="98">
        <v>0</v>
      </c>
      <c r="P1107" s="101">
        <f t="shared" si="812"/>
        <v>0</v>
      </c>
      <c r="Q1107" s="100">
        <v>0</v>
      </c>
      <c r="R1107" s="98">
        <v>0</v>
      </c>
      <c r="S1107" s="101">
        <f t="shared" si="813"/>
        <v>0</v>
      </c>
      <c r="T1107" s="100">
        <v>0</v>
      </c>
      <c r="U1107" s="98">
        <v>0</v>
      </c>
      <c r="V1107" s="101">
        <f t="shared" si="815"/>
        <v>0</v>
      </c>
      <c r="W1107" s="100">
        <v>0</v>
      </c>
      <c r="X1107" s="98">
        <v>0</v>
      </c>
      <c r="Y1107" s="147">
        <f t="shared" si="814"/>
        <v>0</v>
      </c>
      <c r="Z1107" s="150"/>
    </row>
    <row r="1108" spans="2:26" s="126" customFormat="1" ht="17.100000000000001" customHeight="1">
      <c r="B1108" s="118"/>
      <c r="C1108" s="119"/>
      <c r="D1108" s="120"/>
      <c r="E1108" s="121"/>
      <c r="F1108" s="122"/>
      <c r="G1108" s="123"/>
      <c r="H1108" s="341" t="s">
        <v>201</v>
      </c>
      <c r="I1108" s="342"/>
      <c r="J1108" s="124">
        <f>SUM(J1101:J1107)</f>
        <v>500</v>
      </c>
      <c r="K1108" s="341" t="s">
        <v>201</v>
      </c>
      <c r="L1108" s="342"/>
      <c r="M1108" s="124">
        <f>SUM(M1101:M1107)</f>
        <v>0</v>
      </c>
      <c r="N1108" s="341" t="s">
        <v>201</v>
      </c>
      <c r="O1108" s="342"/>
      <c r="P1108" s="124">
        <f>SUM(P1101:P1107)</f>
        <v>0</v>
      </c>
      <c r="Q1108" s="341" t="s">
        <v>201</v>
      </c>
      <c r="R1108" s="342"/>
      <c r="S1108" s="124">
        <f>SUM(S1101:S1107)</f>
        <v>0</v>
      </c>
      <c r="T1108" s="341" t="s">
        <v>201</v>
      </c>
      <c r="U1108" s="342"/>
      <c r="V1108" s="124">
        <f>SUM(V1101:V1107)</f>
        <v>0</v>
      </c>
      <c r="W1108" s="341" t="s">
        <v>201</v>
      </c>
      <c r="X1108" s="342"/>
      <c r="Y1108" s="127">
        <f>SUM(Y1101:Y1107)</f>
        <v>0</v>
      </c>
      <c r="Z1108" s="151"/>
    </row>
    <row r="1109" spans="2:26" s="35" customFormat="1" ht="17.100000000000001" customHeight="1">
      <c r="B1109" s="105"/>
      <c r="C1109" s="54">
        <f>'2. Rekap Back Up Beton'!C157</f>
        <v>23900</v>
      </c>
      <c r="D1109" s="96">
        <f>'2. Rekap Back Up Beton'!D157</f>
        <v>24000</v>
      </c>
      <c r="E1109" s="111">
        <f>'2. Rekap Back Up Beton'!E157</f>
        <v>5</v>
      </c>
      <c r="F1109" s="112">
        <f>(100/((D1109-C1109)*E1109))*((J1116*0.5)+(M1116*1)+(P1116*2)+(S1116*20)+(V1116*15)+(Y1116*1.5))</f>
        <v>50</v>
      </c>
      <c r="G1109" s="113" t="str">
        <f>IF(F1109&lt;=25,"B",IF(F1109&lt;=75,"S",IF(F1109&lt;=100,"RR","RB")))</f>
        <v>S</v>
      </c>
      <c r="H1109" s="100">
        <v>100</v>
      </c>
      <c r="I1109" s="98">
        <v>5</v>
      </c>
      <c r="J1109" s="101">
        <f t="shared" ref="J1109:J1115" si="816">H1109*I1109</f>
        <v>500</v>
      </c>
      <c r="K1109" s="100">
        <v>0</v>
      </c>
      <c r="L1109" s="98">
        <v>0</v>
      </c>
      <c r="M1109" s="101">
        <f t="shared" ref="M1109:M1115" si="817">K1109*L1109</f>
        <v>0</v>
      </c>
      <c r="N1109" s="100">
        <v>0</v>
      </c>
      <c r="O1109" s="98">
        <v>4</v>
      </c>
      <c r="P1109" s="101">
        <f t="shared" ref="P1109:P1115" si="818">N1109*O1109</f>
        <v>0</v>
      </c>
      <c r="Q1109" s="100">
        <v>0</v>
      </c>
      <c r="R1109" s="98">
        <v>0</v>
      </c>
      <c r="S1109" s="101">
        <f t="shared" ref="S1109:S1115" si="819">Q1109*R1109</f>
        <v>0</v>
      </c>
      <c r="T1109" s="100">
        <v>0</v>
      </c>
      <c r="U1109" s="98">
        <v>0</v>
      </c>
      <c r="V1109" s="101">
        <f>T1109*U1109</f>
        <v>0</v>
      </c>
      <c r="W1109" s="100">
        <v>0</v>
      </c>
      <c r="X1109" s="98">
        <v>0</v>
      </c>
      <c r="Y1109" s="147">
        <f t="shared" ref="Y1109:Y1115" si="820">W1109*X1109</f>
        <v>0</v>
      </c>
      <c r="Z1109" s="150"/>
    </row>
    <row r="1110" spans="2:26" s="35" customFormat="1" ht="17.100000000000001" customHeight="1">
      <c r="B1110" s="105"/>
      <c r="C1110" s="54"/>
      <c r="D1110" s="96"/>
      <c r="E1110" s="111"/>
      <c r="F1110" s="112"/>
      <c r="G1110" s="113"/>
      <c r="H1110" s="100">
        <v>0</v>
      </c>
      <c r="I1110" s="98">
        <v>0</v>
      </c>
      <c r="J1110" s="101">
        <f t="shared" si="816"/>
        <v>0</v>
      </c>
      <c r="K1110" s="100">
        <v>0</v>
      </c>
      <c r="L1110" s="98">
        <v>0</v>
      </c>
      <c r="M1110" s="101">
        <f t="shared" si="817"/>
        <v>0</v>
      </c>
      <c r="N1110" s="100">
        <v>0</v>
      </c>
      <c r="O1110" s="98">
        <v>0</v>
      </c>
      <c r="P1110" s="101">
        <f t="shared" si="818"/>
        <v>0</v>
      </c>
      <c r="Q1110" s="100">
        <v>0</v>
      </c>
      <c r="R1110" s="98">
        <v>0</v>
      </c>
      <c r="S1110" s="101">
        <f t="shared" si="819"/>
        <v>0</v>
      </c>
      <c r="T1110" s="100">
        <v>0</v>
      </c>
      <c r="U1110" s="98">
        <v>0</v>
      </c>
      <c r="V1110" s="101">
        <f t="shared" ref="V1110:V1115" si="821">T1110*U1110</f>
        <v>0</v>
      </c>
      <c r="W1110" s="100">
        <v>0</v>
      </c>
      <c r="X1110" s="98">
        <v>0</v>
      </c>
      <c r="Y1110" s="147">
        <f t="shared" si="820"/>
        <v>0</v>
      </c>
      <c r="Z1110" s="150"/>
    </row>
    <row r="1111" spans="2:26" s="35" customFormat="1" ht="17.100000000000001" customHeight="1">
      <c r="B1111" s="105"/>
      <c r="C1111" s="54"/>
      <c r="D1111" s="96"/>
      <c r="E1111" s="111"/>
      <c r="F1111" s="112"/>
      <c r="G1111" s="113"/>
      <c r="H1111" s="100">
        <v>0</v>
      </c>
      <c r="I1111" s="98">
        <v>0</v>
      </c>
      <c r="J1111" s="101">
        <f t="shared" si="816"/>
        <v>0</v>
      </c>
      <c r="K1111" s="100">
        <v>0</v>
      </c>
      <c r="L1111" s="98">
        <v>0</v>
      </c>
      <c r="M1111" s="101">
        <f t="shared" si="817"/>
        <v>0</v>
      </c>
      <c r="N1111" s="100">
        <v>0</v>
      </c>
      <c r="O1111" s="98">
        <v>0</v>
      </c>
      <c r="P1111" s="101">
        <f t="shared" si="818"/>
        <v>0</v>
      </c>
      <c r="Q1111" s="100">
        <v>0</v>
      </c>
      <c r="R1111" s="98">
        <v>0</v>
      </c>
      <c r="S1111" s="101">
        <f t="shared" si="819"/>
        <v>0</v>
      </c>
      <c r="T1111" s="100">
        <v>0</v>
      </c>
      <c r="U1111" s="98">
        <v>0</v>
      </c>
      <c r="V1111" s="101">
        <f t="shared" si="821"/>
        <v>0</v>
      </c>
      <c r="W1111" s="100">
        <v>0</v>
      </c>
      <c r="X1111" s="98">
        <v>0</v>
      </c>
      <c r="Y1111" s="147">
        <f t="shared" si="820"/>
        <v>0</v>
      </c>
      <c r="Z1111" s="150"/>
    </row>
    <row r="1112" spans="2:26" s="35" customFormat="1" ht="17.100000000000001" customHeight="1">
      <c r="B1112" s="105"/>
      <c r="C1112" s="54"/>
      <c r="D1112" s="96"/>
      <c r="E1112" s="111"/>
      <c r="F1112" s="112"/>
      <c r="G1112" s="113"/>
      <c r="H1112" s="100">
        <v>0</v>
      </c>
      <c r="I1112" s="98">
        <v>0</v>
      </c>
      <c r="J1112" s="101">
        <f t="shared" si="816"/>
        <v>0</v>
      </c>
      <c r="K1112" s="100">
        <v>0</v>
      </c>
      <c r="L1112" s="98">
        <v>0</v>
      </c>
      <c r="M1112" s="101">
        <f t="shared" si="817"/>
        <v>0</v>
      </c>
      <c r="N1112" s="100">
        <v>0</v>
      </c>
      <c r="O1112" s="98">
        <v>0</v>
      </c>
      <c r="P1112" s="101">
        <f t="shared" si="818"/>
        <v>0</v>
      </c>
      <c r="Q1112" s="100">
        <v>0</v>
      </c>
      <c r="R1112" s="98">
        <v>0</v>
      </c>
      <c r="S1112" s="101">
        <f t="shared" si="819"/>
        <v>0</v>
      </c>
      <c r="T1112" s="100">
        <v>0</v>
      </c>
      <c r="U1112" s="98">
        <v>0</v>
      </c>
      <c r="V1112" s="101">
        <f t="shared" si="821"/>
        <v>0</v>
      </c>
      <c r="W1112" s="100">
        <v>0</v>
      </c>
      <c r="X1112" s="98">
        <v>0</v>
      </c>
      <c r="Y1112" s="147">
        <f t="shared" si="820"/>
        <v>0</v>
      </c>
      <c r="Z1112" s="150"/>
    </row>
    <row r="1113" spans="2:26" s="35" customFormat="1" ht="17.100000000000001" customHeight="1">
      <c r="B1113" s="105"/>
      <c r="C1113" s="54"/>
      <c r="D1113" s="96"/>
      <c r="E1113" s="111"/>
      <c r="F1113" s="112"/>
      <c r="G1113" s="113"/>
      <c r="H1113" s="100">
        <v>0</v>
      </c>
      <c r="I1113" s="98">
        <v>0</v>
      </c>
      <c r="J1113" s="101">
        <f t="shared" si="816"/>
        <v>0</v>
      </c>
      <c r="K1113" s="100">
        <v>0</v>
      </c>
      <c r="L1113" s="98">
        <v>0</v>
      </c>
      <c r="M1113" s="101">
        <f t="shared" si="817"/>
        <v>0</v>
      </c>
      <c r="N1113" s="100">
        <v>0</v>
      </c>
      <c r="O1113" s="98">
        <v>0</v>
      </c>
      <c r="P1113" s="101">
        <f t="shared" si="818"/>
        <v>0</v>
      </c>
      <c r="Q1113" s="100">
        <v>0</v>
      </c>
      <c r="R1113" s="98">
        <v>0</v>
      </c>
      <c r="S1113" s="101">
        <f t="shared" si="819"/>
        <v>0</v>
      </c>
      <c r="T1113" s="100">
        <v>0</v>
      </c>
      <c r="U1113" s="98">
        <v>0</v>
      </c>
      <c r="V1113" s="101">
        <f t="shared" si="821"/>
        <v>0</v>
      </c>
      <c r="W1113" s="100">
        <v>0</v>
      </c>
      <c r="X1113" s="98">
        <v>0</v>
      </c>
      <c r="Y1113" s="147">
        <f t="shared" si="820"/>
        <v>0</v>
      </c>
      <c r="Z1113" s="150"/>
    </row>
    <row r="1114" spans="2:26" s="35" customFormat="1" ht="17.100000000000001" customHeight="1">
      <c r="B1114" s="105"/>
      <c r="C1114" s="54"/>
      <c r="D1114" s="96"/>
      <c r="E1114" s="111"/>
      <c r="F1114" s="112"/>
      <c r="G1114" s="113"/>
      <c r="H1114" s="100">
        <v>0</v>
      </c>
      <c r="I1114" s="98">
        <v>0</v>
      </c>
      <c r="J1114" s="101">
        <f t="shared" si="816"/>
        <v>0</v>
      </c>
      <c r="K1114" s="100">
        <v>0</v>
      </c>
      <c r="L1114" s="98">
        <v>0</v>
      </c>
      <c r="M1114" s="101">
        <f t="shared" si="817"/>
        <v>0</v>
      </c>
      <c r="N1114" s="100">
        <v>0</v>
      </c>
      <c r="O1114" s="98">
        <v>0</v>
      </c>
      <c r="P1114" s="101">
        <f t="shared" si="818"/>
        <v>0</v>
      </c>
      <c r="Q1114" s="100">
        <v>0</v>
      </c>
      <c r="R1114" s="98">
        <v>0</v>
      </c>
      <c r="S1114" s="101">
        <f t="shared" si="819"/>
        <v>0</v>
      </c>
      <c r="T1114" s="100">
        <v>0</v>
      </c>
      <c r="U1114" s="98">
        <v>0</v>
      </c>
      <c r="V1114" s="101">
        <f t="shared" si="821"/>
        <v>0</v>
      </c>
      <c r="W1114" s="100">
        <v>0</v>
      </c>
      <c r="X1114" s="98">
        <v>0</v>
      </c>
      <c r="Y1114" s="147">
        <f t="shared" si="820"/>
        <v>0</v>
      </c>
      <c r="Z1114" s="150"/>
    </row>
    <row r="1115" spans="2:26" s="35" customFormat="1" ht="17.100000000000001" customHeight="1">
      <c r="B1115" s="105"/>
      <c r="C1115" s="54"/>
      <c r="D1115" s="96"/>
      <c r="E1115" s="111"/>
      <c r="F1115" s="112"/>
      <c r="G1115" s="113"/>
      <c r="H1115" s="100">
        <v>0</v>
      </c>
      <c r="I1115" s="98">
        <v>0</v>
      </c>
      <c r="J1115" s="101">
        <f t="shared" si="816"/>
        <v>0</v>
      </c>
      <c r="K1115" s="100">
        <v>0</v>
      </c>
      <c r="L1115" s="98">
        <v>0</v>
      </c>
      <c r="M1115" s="101">
        <f t="shared" si="817"/>
        <v>0</v>
      </c>
      <c r="N1115" s="100">
        <v>0</v>
      </c>
      <c r="O1115" s="98">
        <v>0</v>
      </c>
      <c r="P1115" s="101">
        <f t="shared" si="818"/>
        <v>0</v>
      </c>
      <c r="Q1115" s="100">
        <v>0</v>
      </c>
      <c r="R1115" s="98">
        <v>0</v>
      </c>
      <c r="S1115" s="101">
        <f t="shared" si="819"/>
        <v>0</v>
      </c>
      <c r="T1115" s="100">
        <v>0</v>
      </c>
      <c r="U1115" s="98">
        <v>0</v>
      </c>
      <c r="V1115" s="101">
        <f t="shared" si="821"/>
        <v>0</v>
      </c>
      <c r="W1115" s="100">
        <v>0</v>
      </c>
      <c r="X1115" s="98">
        <v>0</v>
      </c>
      <c r="Y1115" s="147">
        <f t="shared" si="820"/>
        <v>0</v>
      </c>
      <c r="Z1115" s="150"/>
    </row>
    <row r="1116" spans="2:26" s="126" customFormat="1" ht="17.100000000000001" customHeight="1">
      <c r="B1116" s="118"/>
      <c r="C1116" s="119"/>
      <c r="D1116" s="120"/>
      <c r="E1116" s="121"/>
      <c r="F1116" s="122"/>
      <c r="G1116" s="123"/>
      <c r="H1116" s="341" t="s">
        <v>201</v>
      </c>
      <c r="I1116" s="342"/>
      <c r="J1116" s="124">
        <f>SUM(J1109:J1115)</f>
        <v>500</v>
      </c>
      <c r="K1116" s="341" t="s">
        <v>201</v>
      </c>
      <c r="L1116" s="342"/>
      <c r="M1116" s="124">
        <f>SUM(M1109:M1115)</f>
        <v>0</v>
      </c>
      <c r="N1116" s="341" t="s">
        <v>201</v>
      </c>
      <c r="O1116" s="342"/>
      <c r="P1116" s="124">
        <f>SUM(P1109:P1115)</f>
        <v>0</v>
      </c>
      <c r="Q1116" s="341" t="s">
        <v>201</v>
      </c>
      <c r="R1116" s="342"/>
      <c r="S1116" s="124">
        <f>SUM(S1109:S1115)</f>
        <v>0</v>
      </c>
      <c r="T1116" s="341" t="s">
        <v>201</v>
      </c>
      <c r="U1116" s="342"/>
      <c r="V1116" s="124">
        <f>SUM(V1109:V1115)</f>
        <v>0</v>
      </c>
      <c r="W1116" s="341" t="s">
        <v>201</v>
      </c>
      <c r="X1116" s="342"/>
      <c r="Y1116" s="127">
        <f>SUM(Y1109:Y1115)</f>
        <v>0</v>
      </c>
      <c r="Z1116" s="151"/>
    </row>
    <row r="1117" spans="2:26" s="35" customFormat="1" ht="17.100000000000001" customHeight="1">
      <c r="B1117" s="252"/>
      <c r="C1117" s="253"/>
      <c r="D1117" s="253"/>
      <c r="E1117" s="254"/>
      <c r="F1117" s="255"/>
      <c r="G1117" s="254"/>
      <c r="H1117" s="280"/>
      <c r="I1117" s="280"/>
      <c r="J1117" s="256"/>
      <c r="K1117" s="280"/>
      <c r="L1117" s="280"/>
      <c r="M1117" s="256"/>
      <c r="N1117" s="280"/>
      <c r="O1117" s="280"/>
      <c r="P1117" s="256"/>
      <c r="Q1117" s="280"/>
      <c r="R1117" s="280"/>
      <c r="S1117" s="256"/>
      <c r="T1117" s="280"/>
      <c r="U1117" s="280"/>
      <c r="V1117" s="256"/>
      <c r="W1117" s="280"/>
      <c r="X1117" s="280"/>
      <c r="Y1117" s="256"/>
      <c r="Z1117" s="257"/>
    </row>
    <row r="1118" spans="2:26" s="35" customFormat="1" ht="17.100000000000001" customHeight="1">
      <c r="B1118" s="258"/>
      <c r="C1118" s="49"/>
      <c r="D1118" s="49"/>
      <c r="E1118" s="259"/>
      <c r="F1118" s="260"/>
      <c r="G1118" s="259"/>
      <c r="H1118" s="281"/>
      <c r="I1118" s="281"/>
      <c r="J1118" s="261"/>
      <c r="K1118" s="281"/>
      <c r="L1118" s="281"/>
      <c r="M1118" s="261"/>
      <c r="N1118" s="281"/>
      <c r="O1118" s="281"/>
      <c r="P1118" s="261"/>
      <c r="Q1118" s="281"/>
      <c r="R1118" s="281"/>
      <c r="S1118" s="261"/>
      <c r="T1118" s="281"/>
      <c r="U1118" s="281"/>
      <c r="V1118" s="261"/>
      <c r="W1118" s="281"/>
      <c r="X1118" s="281"/>
      <c r="Y1118" s="261"/>
      <c r="Z1118" s="262"/>
    </row>
    <row r="1119" spans="2:26" s="35" customFormat="1" ht="17.100000000000001" customHeight="1">
      <c r="B1119" s="258"/>
      <c r="C1119" s="49"/>
      <c r="D1119" s="49"/>
      <c r="E1119" s="259"/>
      <c r="F1119" s="260"/>
      <c r="G1119" s="259"/>
      <c r="H1119" s="281"/>
      <c r="I1119" s="281"/>
      <c r="J1119" s="261"/>
      <c r="K1119" s="281"/>
      <c r="L1119" s="281"/>
      <c r="M1119" s="261"/>
      <c r="N1119" s="281"/>
      <c r="O1119" s="281"/>
      <c r="P1119" s="261"/>
      <c r="Q1119" s="281"/>
      <c r="R1119" s="281"/>
      <c r="S1119" s="261"/>
      <c r="T1119" s="281"/>
      <c r="U1119" s="281"/>
      <c r="V1119" s="261"/>
      <c r="W1119" s="281"/>
      <c r="X1119" s="281"/>
      <c r="Y1119" s="261"/>
      <c r="Z1119" s="262"/>
    </row>
    <row r="1120" spans="2:26" s="35" customFormat="1" ht="17.100000000000001" customHeight="1">
      <c r="B1120" s="258"/>
      <c r="C1120" s="49"/>
      <c r="D1120" s="49"/>
      <c r="E1120" s="259"/>
      <c r="F1120" s="260"/>
      <c r="G1120" s="259"/>
      <c r="H1120" s="281"/>
      <c r="I1120" s="281"/>
      <c r="J1120" s="261"/>
      <c r="K1120" s="281"/>
      <c r="L1120" s="281"/>
      <c r="M1120" s="261"/>
      <c r="N1120" s="281"/>
      <c r="O1120" s="281"/>
      <c r="P1120" s="261"/>
      <c r="Q1120" s="281"/>
      <c r="R1120" s="281"/>
      <c r="S1120" s="261"/>
      <c r="T1120" s="281"/>
      <c r="U1120" s="281"/>
      <c r="V1120" s="261"/>
      <c r="W1120" s="281"/>
      <c r="X1120" s="281"/>
      <c r="Y1120" s="261"/>
      <c r="Z1120" s="262"/>
    </row>
    <row r="1121" spans="2:26" s="35" customFormat="1" ht="17.100000000000001" customHeight="1">
      <c r="B1121" s="258"/>
      <c r="C1121" s="49"/>
      <c r="D1121" s="49"/>
      <c r="E1121" s="259"/>
      <c r="F1121" s="260"/>
      <c r="G1121" s="259"/>
      <c r="H1121" s="281"/>
      <c r="I1121" s="281"/>
      <c r="J1121" s="261"/>
      <c r="K1121" s="281"/>
      <c r="L1121" s="281"/>
      <c r="M1121" s="261"/>
      <c r="N1121" s="281"/>
      <c r="O1121" s="281"/>
      <c r="P1121" s="261"/>
      <c r="Q1121" s="281"/>
      <c r="R1121" s="281"/>
      <c r="S1121" s="261"/>
      <c r="T1121" s="281"/>
      <c r="U1121" s="281"/>
      <c r="V1121" s="261"/>
      <c r="W1121" s="281"/>
      <c r="X1121" s="281"/>
      <c r="Y1121" s="261"/>
      <c r="Z1121" s="262"/>
    </row>
    <row r="1122" spans="2:26" s="35" customFormat="1" ht="17.100000000000001" customHeight="1">
      <c r="B1122" s="258"/>
      <c r="C1122" s="49"/>
      <c r="D1122" s="49"/>
      <c r="E1122" s="259"/>
      <c r="F1122" s="260"/>
      <c r="G1122" s="259"/>
      <c r="H1122" s="281"/>
      <c r="I1122" s="281"/>
      <c r="J1122" s="261"/>
      <c r="K1122" s="281"/>
      <c r="L1122" s="281"/>
      <c r="M1122" s="261"/>
      <c r="N1122" s="281"/>
      <c r="O1122" s="281"/>
      <c r="P1122" s="261"/>
      <c r="Q1122" s="281"/>
      <c r="R1122" s="281"/>
      <c r="S1122" s="261"/>
      <c r="T1122" s="281"/>
      <c r="U1122" s="281"/>
      <c r="V1122" s="261"/>
      <c r="W1122" s="281"/>
      <c r="X1122" s="281"/>
      <c r="Y1122" s="261"/>
      <c r="Z1122" s="262"/>
    </row>
    <row r="1123" spans="2:26" s="35" customFormat="1" ht="17.100000000000001" customHeight="1">
      <c r="B1123" s="258"/>
      <c r="C1123" s="49"/>
      <c r="D1123" s="49"/>
      <c r="E1123" s="259"/>
      <c r="F1123" s="260"/>
      <c r="G1123" s="259"/>
      <c r="H1123" s="281"/>
      <c r="I1123" s="281"/>
      <c r="J1123" s="261"/>
      <c r="K1123" s="281"/>
      <c r="L1123" s="281"/>
      <c r="M1123" s="261"/>
      <c r="N1123" s="281"/>
      <c r="O1123" s="281"/>
      <c r="P1123" s="261"/>
      <c r="Q1123" s="281"/>
      <c r="R1123" s="281"/>
      <c r="S1123" s="261"/>
      <c r="T1123" s="281"/>
      <c r="U1123" s="281"/>
      <c r="V1123" s="261"/>
      <c r="W1123" s="281"/>
      <c r="X1123" s="281"/>
      <c r="Y1123" s="261"/>
      <c r="Z1123" s="262"/>
    </row>
    <row r="1124" spans="2:26" s="126" customFormat="1" ht="17.100000000000001" customHeight="1" thickBot="1">
      <c r="B1124" s="291"/>
      <c r="C1124" s="292"/>
      <c r="D1124" s="292"/>
      <c r="E1124" s="293"/>
      <c r="F1124" s="294"/>
      <c r="G1124" s="293"/>
      <c r="H1124" s="349"/>
      <c r="I1124" s="349"/>
      <c r="J1124" s="295"/>
      <c r="K1124" s="349"/>
      <c r="L1124" s="349"/>
      <c r="M1124" s="295"/>
      <c r="N1124" s="349"/>
      <c r="O1124" s="349"/>
      <c r="P1124" s="295"/>
      <c r="Q1124" s="349"/>
      <c r="R1124" s="349"/>
      <c r="S1124" s="295"/>
      <c r="T1124" s="349"/>
      <c r="U1124" s="349"/>
      <c r="V1124" s="295"/>
      <c r="W1124" s="349"/>
      <c r="X1124" s="349"/>
      <c r="Y1124" s="295"/>
      <c r="Z1124" s="296"/>
    </row>
    <row r="1125" spans="2:26" s="57" customFormat="1" ht="10.199999999999999" customHeight="1" thickBot="1">
      <c r="B1125" s="59"/>
      <c r="C1125" s="60"/>
      <c r="D1125" s="60"/>
      <c r="E1125" s="60"/>
      <c r="F1125" s="60"/>
      <c r="G1125" s="60"/>
      <c r="H1125" s="117"/>
      <c r="I1125" s="117"/>
      <c r="J1125" s="117"/>
      <c r="K1125" s="117"/>
      <c r="L1125" s="117"/>
      <c r="M1125" s="117"/>
      <c r="N1125" s="117"/>
      <c r="O1125" s="117"/>
      <c r="P1125" s="117"/>
      <c r="Q1125" s="117"/>
      <c r="R1125" s="117"/>
      <c r="S1125" s="117"/>
      <c r="T1125" s="117"/>
      <c r="U1125" s="117"/>
      <c r="V1125" s="117"/>
      <c r="W1125" s="117"/>
      <c r="X1125" s="117"/>
      <c r="Y1125" s="117"/>
      <c r="Z1125" s="64"/>
    </row>
    <row r="1126" spans="2:26" s="57" customFormat="1" ht="5.25" customHeight="1"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</row>
    <row r="1127" spans="2:26" s="57" customFormat="1" ht="12" customHeight="1">
      <c r="B1127" s="65" t="s">
        <v>39</v>
      </c>
      <c r="C1127" s="14"/>
      <c r="D1127" s="14"/>
      <c r="E1127" s="14"/>
      <c r="F1127" s="14"/>
      <c r="G1127" s="14"/>
      <c r="H1127" s="66"/>
      <c r="I1127" s="66"/>
      <c r="K1127" s="66"/>
      <c r="L1127" s="66"/>
      <c r="Q1127" s="66"/>
      <c r="R1127" s="66"/>
      <c r="T1127" s="66"/>
      <c r="U1127" s="66"/>
      <c r="W1127" s="66"/>
      <c r="X1127" s="66"/>
      <c r="Z1127" s="66"/>
    </row>
    <row r="1128" spans="2:26" s="57" customFormat="1" ht="3" customHeight="1">
      <c r="B1128" s="65"/>
      <c r="C1128" s="14"/>
      <c r="D1128" s="14"/>
      <c r="E1128" s="14"/>
      <c r="F1128" s="14"/>
      <c r="G1128" s="14"/>
      <c r="H1128" s="66"/>
      <c r="I1128" s="66"/>
      <c r="K1128" s="66"/>
      <c r="L1128" s="66"/>
      <c r="Q1128" s="66"/>
      <c r="R1128" s="66"/>
      <c r="T1128" s="66"/>
      <c r="U1128" s="66"/>
      <c r="W1128" s="66"/>
      <c r="X1128" s="66"/>
      <c r="Z1128" s="66"/>
    </row>
    <row r="1129" spans="2:26" s="57" customFormat="1" ht="15" customHeight="1">
      <c r="B1129" s="65" t="s">
        <v>41</v>
      </c>
      <c r="D1129" s="14"/>
      <c r="E1129" s="14"/>
      <c r="F1129" s="14"/>
      <c r="G1129" s="14"/>
      <c r="J1129" s="57" t="s">
        <v>179</v>
      </c>
      <c r="L1129" s="67"/>
      <c r="Z1129" s="14"/>
    </row>
    <row r="1130" spans="2:26" s="67" customFormat="1" ht="15" customHeight="1">
      <c r="B1130" s="68" t="s">
        <v>42</v>
      </c>
      <c r="C1130" s="69" t="s">
        <v>43</v>
      </c>
      <c r="D1130" s="70"/>
      <c r="E1130" s="70"/>
      <c r="F1130" s="70"/>
      <c r="G1130" s="70"/>
      <c r="J1130" s="70">
        <v>1</v>
      </c>
      <c r="K1130" s="67" t="s">
        <v>181</v>
      </c>
      <c r="Z1130" s="69"/>
    </row>
    <row r="1131" spans="2:26" s="67" customFormat="1" ht="15" customHeight="1">
      <c r="B1131" s="68" t="s">
        <v>44</v>
      </c>
      <c r="C1131" s="69" t="s">
        <v>45</v>
      </c>
      <c r="D1131" s="70"/>
      <c r="E1131" s="70"/>
      <c r="F1131" s="70"/>
      <c r="G1131" s="70"/>
      <c r="J1131" s="70">
        <v>2</v>
      </c>
      <c r="K1131" s="67" t="s">
        <v>182</v>
      </c>
      <c r="Z1131" s="69"/>
    </row>
    <row r="1132" spans="2:26" s="67" customFormat="1" ht="15" customHeight="1">
      <c r="B1132" s="68" t="s">
        <v>46</v>
      </c>
      <c r="C1132" s="69" t="s">
        <v>47</v>
      </c>
      <c r="D1132" s="70"/>
      <c r="E1132" s="70"/>
      <c r="F1132" s="70"/>
      <c r="G1132" s="70"/>
      <c r="J1132" s="70">
        <v>3</v>
      </c>
      <c r="K1132" s="67" t="s">
        <v>183</v>
      </c>
      <c r="Z1132" s="69"/>
    </row>
    <row r="1133" spans="2:26" s="67" customFormat="1" ht="15" customHeight="1">
      <c r="B1133" s="68" t="s">
        <v>48</v>
      </c>
      <c r="C1133" s="69" t="s">
        <v>49</v>
      </c>
      <c r="D1133" s="70"/>
      <c r="E1133" s="70"/>
      <c r="F1133" s="70"/>
      <c r="G1133" s="70"/>
      <c r="J1133" s="70">
        <v>4</v>
      </c>
      <c r="K1133" s="67" t="s">
        <v>184</v>
      </c>
      <c r="Z1133" s="69"/>
    </row>
    <row r="1134" spans="2:26" s="67" customFormat="1" ht="15" customHeight="1">
      <c r="B1134" s="68" t="s">
        <v>50</v>
      </c>
      <c r="C1134" s="69" t="s">
        <v>51</v>
      </c>
      <c r="D1134" s="70"/>
      <c r="E1134" s="70"/>
      <c r="F1134" s="70"/>
      <c r="G1134" s="70"/>
      <c r="Z1134" s="68"/>
    </row>
    <row r="1135" spans="2:26" s="67" customFormat="1" ht="15" customHeight="1">
      <c r="B1135" s="68" t="s">
        <v>52</v>
      </c>
      <c r="C1135" s="69" t="s">
        <v>53</v>
      </c>
      <c r="D1135" s="70"/>
      <c r="E1135" s="70"/>
      <c r="F1135" s="70"/>
      <c r="G1135" s="70"/>
      <c r="I1135" s="70"/>
      <c r="J1135" s="67" t="s">
        <v>185</v>
      </c>
      <c r="K1135" s="70"/>
      <c r="R1135" s="70"/>
      <c r="U1135" s="70"/>
      <c r="X1135" s="70"/>
    </row>
    <row r="1136" spans="2:26" s="67" customFormat="1" ht="15" customHeight="1">
      <c r="B1136" s="68" t="s">
        <v>54</v>
      </c>
      <c r="C1136" s="69" t="s">
        <v>55</v>
      </c>
      <c r="D1136" s="70"/>
      <c r="E1136" s="70"/>
      <c r="F1136" s="70"/>
      <c r="G1136" s="70"/>
      <c r="I1136" s="70"/>
      <c r="J1136" s="70">
        <v>1</v>
      </c>
      <c r="K1136" s="69" t="s">
        <v>181</v>
      </c>
      <c r="R1136" s="70"/>
      <c r="U1136" s="70"/>
      <c r="X1136" s="70"/>
      <c r="Z1136" s="69"/>
    </row>
    <row r="1137" spans="2:26" s="67" customFormat="1" ht="15" customHeight="1">
      <c r="B1137" s="68" t="s">
        <v>56</v>
      </c>
      <c r="C1137" s="69" t="s">
        <v>57</v>
      </c>
      <c r="D1137" s="70"/>
      <c r="E1137" s="70"/>
      <c r="F1137" s="70"/>
      <c r="G1137" s="70"/>
      <c r="I1137" s="70"/>
      <c r="J1137" s="70">
        <v>2</v>
      </c>
      <c r="K1137" s="69" t="s">
        <v>186</v>
      </c>
      <c r="R1137" s="70"/>
      <c r="U1137" s="70"/>
      <c r="X1137" s="70"/>
      <c r="Z1137" s="69"/>
    </row>
    <row r="1138" spans="2:26" s="71" customFormat="1" ht="15" customHeight="1">
      <c r="B1138" s="68" t="s">
        <v>58</v>
      </c>
      <c r="C1138" s="69" t="s">
        <v>59</v>
      </c>
      <c r="D1138" s="70"/>
      <c r="E1138" s="70"/>
      <c r="F1138" s="70"/>
      <c r="G1138" s="70"/>
      <c r="I1138" s="70"/>
      <c r="J1138" s="70">
        <v>3</v>
      </c>
      <c r="K1138" s="69" t="s">
        <v>187</v>
      </c>
      <c r="L1138" s="67"/>
      <c r="R1138" s="70"/>
      <c r="U1138" s="70"/>
      <c r="X1138" s="70"/>
    </row>
    <row r="1139" spans="2:26" s="72" customFormat="1" ht="15" customHeight="1">
      <c r="B1139" s="68" t="s">
        <v>60</v>
      </c>
      <c r="C1139" s="69" t="s">
        <v>61</v>
      </c>
      <c r="D1139" s="70"/>
      <c r="E1139" s="70"/>
      <c r="F1139" s="70"/>
      <c r="G1139" s="70"/>
      <c r="I1139" s="70"/>
      <c r="J1139" s="70">
        <v>4</v>
      </c>
      <c r="K1139" s="69" t="s">
        <v>188</v>
      </c>
      <c r="L1139" s="67"/>
      <c r="R1139" s="70"/>
      <c r="U1139" s="70"/>
      <c r="X1139" s="70"/>
      <c r="Z1139" s="73"/>
    </row>
    <row r="1140" spans="2:26" ht="10.199999999999999" customHeight="1">
      <c r="B1140" s="68"/>
      <c r="C1140" s="70"/>
      <c r="D1140" s="70"/>
      <c r="E1140" s="70"/>
      <c r="F1140" s="70"/>
      <c r="G1140" s="70"/>
      <c r="I1140" s="70"/>
      <c r="K1140" s="70"/>
      <c r="L1140" s="69"/>
      <c r="R1140" s="70"/>
      <c r="U1140" s="70"/>
      <c r="X1140" s="70"/>
    </row>
    <row r="1141" spans="2:26">
      <c r="B1141" s="65" t="s">
        <v>62</v>
      </c>
      <c r="D1141" s="70"/>
      <c r="E1141" s="70"/>
      <c r="F1141" s="70"/>
      <c r="G1141" s="70"/>
      <c r="I1141" s="70"/>
      <c r="J1141" s="1" t="s">
        <v>189</v>
      </c>
      <c r="K1141" s="70"/>
      <c r="L1141" s="69"/>
      <c r="R1141" s="70"/>
      <c r="U1141" s="70"/>
      <c r="X1141" s="70"/>
    </row>
    <row r="1142" spans="2:26">
      <c r="B1142" s="68" t="s">
        <v>42</v>
      </c>
      <c r="C1142" s="74" t="s">
        <v>63</v>
      </c>
      <c r="D1142" s="70"/>
      <c r="E1142" s="70"/>
      <c r="F1142" s="70"/>
      <c r="G1142" s="70"/>
      <c r="I1142" s="70"/>
      <c r="J1142" s="70">
        <v>1</v>
      </c>
      <c r="K1142" s="69" t="s">
        <v>181</v>
      </c>
      <c r="L1142" s="69"/>
      <c r="R1142" s="70"/>
      <c r="U1142" s="70"/>
      <c r="X1142" s="70"/>
    </row>
    <row r="1143" spans="2:26">
      <c r="B1143" s="68" t="s">
        <v>44</v>
      </c>
      <c r="C1143" s="74" t="s">
        <v>64</v>
      </c>
      <c r="D1143" s="70"/>
      <c r="E1143" s="70"/>
      <c r="F1143" s="70"/>
      <c r="G1143" s="70"/>
      <c r="I1143" s="67"/>
      <c r="J1143" s="70">
        <v>2</v>
      </c>
      <c r="K1143" s="69" t="s">
        <v>194</v>
      </c>
      <c r="L1143" s="69"/>
      <c r="R1143" s="67"/>
      <c r="U1143" s="67"/>
      <c r="X1143" s="67"/>
    </row>
    <row r="1144" spans="2:26">
      <c r="B1144" s="68" t="s">
        <v>46</v>
      </c>
      <c r="C1144" s="74" t="s">
        <v>65</v>
      </c>
      <c r="D1144" s="75"/>
      <c r="E1144" s="75"/>
      <c r="F1144" s="75"/>
      <c r="G1144" s="75"/>
      <c r="I1144" s="76"/>
      <c r="J1144" s="70">
        <v>3</v>
      </c>
      <c r="K1144" s="69" t="s">
        <v>195</v>
      </c>
      <c r="L1144" s="69"/>
      <c r="R1144" s="76"/>
      <c r="U1144" s="76"/>
      <c r="X1144" s="76"/>
    </row>
    <row r="1145" spans="2:26">
      <c r="B1145" s="77" t="s">
        <v>66</v>
      </c>
      <c r="C1145" s="74" t="s">
        <v>67</v>
      </c>
      <c r="J1145" s="70">
        <v>4</v>
      </c>
      <c r="K1145" s="69" t="s">
        <v>196</v>
      </c>
    </row>
    <row r="1146" spans="2:26">
      <c r="B1146" s="77" t="s">
        <v>50</v>
      </c>
      <c r="C1146" s="74" t="s">
        <v>68</v>
      </c>
      <c r="J1146" s="2">
        <v>5</v>
      </c>
      <c r="K1146" s="69" t="s">
        <v>197</v>
      </c>
    </row>
    <row r="1147" spans="2:26">
      <c r="B1147" s="77" t="s">
        <v>52</v>
      </c>
      <c r="C1147" s="74" t="s">
        <v>69</v>
      </c>
    </row>
    <row r="1148" spans="2:26" ht="10.199999999999999" customHeight="1">
      <c r="B1148" s="68"/>
      <c r="C1148" s="70"/>
      <c r="D1148" s="70"/>
      <c r="E1148" s="70"/>
      <c r="F1148" s="70"/>
      <c r="G1148" s="70"/>
      <c r="I1148" s="70"/>
      <c r="K1148" s="70"/>
      <c r="L1148" s="69"/>
      <c r="R1148" s="70"/>
      <c r="U1148" s="70"/>
      <c r="X1148" s="70"/>
    </row>
    <row r="1149" spans="2:26">
      <c r="B1149" s="65" t="s">
        <v>70</v>
      </c>
    </row>
    <row r="1150" spans="2:26">
      <c r="B1150" s="68" t="s">
        <v>42</v>
      </c>
      <c r="C1150" s="78" t="s">
        <v>43</v>
      </c>
    </row>
    <row r="1151" spans="2:26">
      <c r="B1151" s="68" t="s">
        <v>44</v>
      </c>
      <c r="C1151" s="78" t="s">
        <v>71</v>
      </c>
    </row>
    <row r="1152" spans="2:26">
      <c r="B1152" s="68" t="s">
        <v>46</v>
      </c>
      <c r="C1152" s="78" t="s">
        <v>72</v>
      </c>
    </row>
    <row r="1153" spans="2:25">
      <c r="B1153" s="68" t="s">
        <v>48</v>
      </c>
      <c r="C1153" s="78" t="s">
        <v>73</v>
      </c>
    </row>
    <row r="1154" spans="2:25">
      <c r="B1154" s="68" t="s">
        <v>50</v>
      </c>
      <c r="C1154" s="78" t="s">
        <v>74</v>
      </c>
    </row>
    <row r="1155" spans="2:25">
      <c r="B1155" s="68" t="s">
        <v>52</v>
      </c>
      <c r="C1155" s="78" t="s">
        <v>75</v>
      </c>
    </row>
    <row r="1156" spans="2:25">
      <c r="B1156" s="68" t="s">
        <v>54</v>
      </c>
      <c r="C1156" s="78" t="s">
        <v>76</v>
      </c>
      <c r="J1156" s="78"/>
      <c r="M1156" s="78"/>
      <c r="P1156" s="78"/>
      <c r="S1156" s="78"/>
      <c r="V1156" s="78"/>
      <c r="Y1156" s="78"/>
    </row>
    <row r="1157" spans="2:25">
      <c r="B1157" s="68" t="s">
        <v>56</v>
      </c>
      <c r="C1157" s="78" t="s">
        <v>77</v>
      </c>
    </row>
    <row r="1159" spans="2:25">
      <c r="B1159" s="65" t="s">
        <v>161</v>
      </c>
    </row>
    <row r="1160" spans="2:25">
      <c r="B1160" s="68" t="s">
        <v>42</v>
      </c>
      <c r="C1160" s="78" t="s">
        <v>162</v>
      </c>
    </row>
    <row r="1161" spans="2:25">
      <c r="B1161" s="68" t="s">
        <v>44</v>
      </c>
      <c r="C1161" s="78" t="s">
        <v>163</v>
      </c>
    </row>
    <row r="1162" spans="2:25">
      <c r="B1162" s="68" t="s">
        <v>46</v>
      </c>
      <c r="C1162" s="78" t="s">
        <v>164</v>
      </c>
    </row>
    <row r="1163" spans="2:25">
      <c r="B1163" s="68" t="s">
        <v>48</v>
      </c>
      <c r="C1163" s="78" t="s">
        <v>165</v>
      </c>
    </row>
    <row r="1164" spans="2:25">
      <c r="B1164" s="68" t="s">
        <v>50</v>
      </c>
      <c r="C1164" s="78" t="s">
        <v>166</v>
      </c>
    </row>
    <row r="1165" spans="2:25">
      <c r="B1165" s="68" t="s">
        <v>52</v>
      </c>
      <c r="C1165" s="78" t="s">
        <v>167</v>
      </c>
    </row>
    <row r="1166" spans="2:25">
      <c r="B1166" s="68" t="s">
        <v>54</v>
      </c>
      <c r="C1166" s="78" t="s">
        <v>168</v>
      </c>
      <c r="J1166" s="78"/>
      <c r="M1166" s="78"/>
      <c r="P1166" s="78"/>
      <c r="S1166" s="78"/>
      <c r="V1166" s="78"/>
      <c r="Y1166" s="78"/>
    </row>
  </sheetData>
  <mergeCells count="843">
    <mergeCell ref="H620:I620"/>
    <mergeCell ref="K620:L620"/>
    <mergeCell ref="N620:O620"/>
    <mergeCell ref="Q620:R620"/>
    <mergeCell ref="T620:U620"/>
    <mergeCell ref="W620:X620"/>
    <mergeCell ref="H628:I628"/>
    <mergeCell ref="K628:L628"/>
    <mergeCell ref="N628:O628"/>
    <mergeCell ref="Q628:R628"/>
    <mergeCell ref="T628:U628"/>
    <mergeCell ref="W628:X628"/>
    <mergeCell ref="H604:I604"/>
    <mergeCell ref="K604:L604"/>
    <mergeCell ref="N604:O604"/>
    <mergeCell ref="Q604:R604"/>
    <mergeCell ref="T604:U604"/>
    <mergeCell ref="W604:X604"/>
    <mergeCell ref="H612:I612"/>
    <mergeCell ref="K612:L612"/>
    <mergeCell ref="N612:O612"/>
    <mergeCell ref="Q612:R612"/>
    <mergeCell ref="T612:U612"/>
    <mergeCell ref="W612:X612"/>
    <mergeCell ref="H588:I588"/>
    <mergeCell ref="K588:L588"/>
    <mergeCell ref="N588:O588"/>
    <mergeCell ref="Q588:R588"/>
    <mergeCell ref="T588:U588"/>
    <mergeCell ref="W588:X588"/>
    <mergeCell ref="H596:I596"/>
    <mergeCell ref="K596:L596"/>
    <mergeCell ref="N596:O596"/>
    <mergeCell ref="Q596:R596"/>
    <mergeCell ref="T596:U596"/>
    <mergeCell ref="W596:X596"/>
    <mergeCell ref="H252:I252"/>
    <mergeCell ref="K252:L252"/>
    <mergeCell ref="N252:O252"/>
    <mergeCell ref="Q252:R252"/>
    <mergeCell ref="T252:U252"/>
    <mergeCell ref="W252:X252"/>
    <mergeCell ref="H236:I236"/>
    <mergeCell ref="K236:L236"/>
    <mergeCell ref="N236:O236"/>
    <mergeCell ref="Q236:R236"/>
    <mergeCell ref="T236:U236"/>
    <mergeCell ref="W236:X236"/>
    <mergeCell ref="H244:I244"/>
    <mergeCell ref="K244:L244"/>
    <mergeCell ref="N244:O244"/>
    <mergeCell ref="Q244:R244"/>
    <mergeCell ref="T244:U244"/>
    <mergeCell ref="W244:X244"/>
    <mergeCell ref="B20:G20"/>
    <mergeCell ref="H20:J20"/>
    <mergeCell ref="K20:M20"/>
    <mergeCell ref="N20:P20"/>
    <mergeCell ref="Q20:S20"/>
    <mergeCell ref="T20:V20"/>
    <mergeCell ref="B6:Z6"/>
    <mergeCell ref="C18:E18"/>
    <mergeCell ref="F18:F19"/>
    <mergeCell ref="G18:G19"/>
    <mergeCell ref="H18:Y18"/>
    <mergeCell ref="Z18:Z19"/>
    <mergeCell ref="T19:V19"/>
    <mergeCell ref="W19:Y19"/>
    <mergeCell ref="W28:X28"/>
    <mergeCell ref="H36:I36"/>
    <mergeCell ref="K36:L36"/>
    <mergeCell ref="N36:O36"/>
    <mergeCell ref="Q36:R36"/>
    <mergeCell ref="T36:U36"/>
    <mergeCell ref="W20:Y20"/>
    <mergeCell ref="H28:I28"/>
    <mergeCell ref="K28:L28"/>
    <mergeCell ref="N28:O28"/>
    <mergeCell ref="Q28:R28"/>
    <mergeCell ref="T28:U28"/>
    <mergeCell ref="W44:X44"/>
    <mergeCell ref="H52:I52"/>
    <mergeCell ref="K52:L52"/>
    <mergeCell ref="N52:O52"/>
    <mergeCell ref="Q52:R52"/>
    <mergeCell ref="T52:U52"/>
    <mergeCell ref="W36:X36"/>
    <mergeCell ref="H44:I44"/>
    <mergeCell ref="K44:L44"/>
    <mergeCell ref="N44:O44"/>
    <mergeCell ref="Q44:R44"/>
    <mergeCell ref="T44:U44"/>
    <mergeCell ref="W60:X60"/>
    <mergeCell ref="H68:I68"/>
    <mergeCell ref="K68:L68"/>
    <mergeCell ref="N68:O68"/>
    <mergeCell ref="Q68:R68"/>
    <mergeCell ref="T68:U68"/>
    <mergeCell ref="W52:X52"/>
    <mergeCell ref="H60:I60"/>
    <mergeCell ref="K60:L60"/>
    <mergeCell ref="N60:O60"/>
    <mergeCell ref="Q60:R60"/>
    <mergeCell ref="T60:U60"/>
    <mergeCell ref="W76:X76"/>
    <mergeCell ref="H84:I84"/>
    <mergeCell ref="K84:L84"/>
    <mergeCell ref="N84:O84"/>
    <mergeCell ref="Q84:R84"/>
    <mergeCell ref="T84:U84"/>
    <mergeCell ref="W68:X68"/>
    <mergeCell ref="H76:I76"/>
    <mergeCell ref="K76:L76"/>
    <mergeCell ref="N76:O76"/>
    <mergeCell ref="Q76:R76"/>
    <mergeCell ref="T76:U76"/>
    <mergeCell ref="W92:X92"/>
    <mergeCell ref="W84:X84"/>
    <mergeCell ref="H92:I92"/>
    <mergeCell ref="K92:L92"/>
    <mergeCell ref="N92:O92"/>
    <mergeCell ref="Q92:R92"/>
    <mergeCell ref="T92:U92"/>
    <mergeCell ref="H100:I100"/>
    <mergeCell ref="K100:L100"/>
    <mergeCell ref="N100:O100"/>
    <mergeCell ref="Q100:R100"/>
    <mergeCell ref="T100:U100"/>
    <mergeCell ref="W100:X100"/>
    <mergeCell ref="W108:X108"/>
    <mergeCell ref="H132:I132"/>
    <mergeCell ref="K132:L132"/>
    <mergeCell ref="N132:O132"/>
    <mergeCell ref="Q132:R132"/>
    <mergeCell ref="T132:U132"/>
    <mergeCell ref="H108:I108"/>
    <mergeCell ref="K108:L108"/>
    <mergeCell ref="N108:O108"/>
    <mergeCell ref="Q108:R108"/>
    <mergeCell ref="T108:U108"/>
    <mergeCell ref="H116:I116"/>
    <mergeCell ref="K116:L116"/>
    <mergeCell ref="N116:O116"/>
    <mergeCell ref="Q116:R116"/>
    <mergeCell ref="T116:U116"/>
    <mergeCell ref="W116:X116"/>
    <mergeCell ref="H124:I124"/>
    <mergeCell ref="K124:L124"/>
    <mergeCell ref="N124:O124"/>
    <mergeCell ref="Q124:R124"/>
    <mergeCell ref="T124:U124"/>
    <mergeCell ref="W124:X124"/>
    <mergeCell ref="W140:X140"/>
    <mergeCell ref="H148:I148"/>
    <mergeCell ref="K148:L148"/>
    <mergeCell ref="N148:O148"/>
    <mergeCell ref="Q148:R148"/>
    <mergeCell ref="T148:U148"/>
    <mergeCell ref="W132:X132"/>
    <mergeCell ref="H140:I140"/>
    <mergeCell ref="K140:L140"/>
    <mergeCell ref="N140:O140"/>
    <mergeCell ref="Q140:R140"/>
    <mergeCell ref="T140:U140"/>
    <mergeCell ref="W156:X156"/>
    <mergeCell ref="H164:I164"/>
    <mergeCell ref="K164:L164"/>
    <mergeCell ref="N164:O164"/>
    <mergeCell ref="Q164:R164"/>
    <mergeCell ref="T164:U164"/>
    <mergeCell ref="W148:X148"/>
    <mergeCell ref="H156:I156"/>
    <mergeCell ref="K156:L156"/>
    <mergeCell ref="N156:O156"/>
    <mergeCell ref="Q156:R156"/>
    <mergeCell ref="T156:U156"/>
    <mergeCell ref="W172:X172"/>
    <mergeCell ref="H180:I180"/>
    <mergeCell ref="K180:L180"/>
    <mergeCell ref="N180:O180"/>
    <mergeCell ref="Q180:R180"/>
    <mergeCell ref="T180:U180"/>
    <mergeCell ref="W164:X164"/>
    <mergeCell ref="H172:I172"/>
    <mergeCell ref="K172:L172"/>
    <mergeCell ref="N172:O172"/>
    <mergeCell ref="Q172:R172"/>
    <mergeCell ref="T172:U172"/>
    <mergeCell ref="W188:X188"/>
    <mergeCell ref="H196:I196"/>
    <mergeCell ref="K196:L196"/>
    <mergeCell ref="N196:O196"/>
    <mergeCell ref="Q196:R196"/>
    <mergeCell ref="T196:U196"/>
    <mergeCell ref="W180:X180"/>
    <mergeCell ref="H188:I188"/>
    <mergeCell ref="K188:L188"/>
    <mergeCell ref="N188:O188"/>
    <mergeCell ref="Q188:R188"/>
    <mergeCell ref="T188:U188"/>
    <mergeCell ref="W204:X204"/>
    <mergeCell ref="H212:I212"/>
    <mergeCell ref="K212:L212"/>
    <mergeCell ref="N212:O212"/>
    <mergeCell ref="Q212:R212"/>
    <mergeCell ref="T212:U212"/>
    <mergeCell ref="W196:X196"/>
    <mergeCell ref="H204:I204"/>
    <mergeCell ref="K204:L204"/>
    <mergeCell ref="N204:O204"/>
    <mergeCell ref="Q204:R204"/>
    <mergeCell ref="T204:U204"/>
    <mergeCell ref="W228:X228"/>
    <mergeCell ref="W220:X220"/>
    <mergeCell ref="H228:I228"/>
    <mergeCell ref="K228:L228"/>
    <mergeCell ref="N228:O228"/>
    <mergeCell ref="Q228:R228"/>
    <mergeCell ref="T228:U228"/>
    <mergeCell ref="W212:X212"/>
    <mergeCell ref="H220:I220"/>
    <mergeCell ref="K220:L220"/>
    <mergeCell ref="N220:O220"/>
    <mergeCell ref="Q220:R220"/>
    <mergeCell ref="T220:U220"/>
    <mergeCell ref="W260:X260"/>
    <mergeCell ref="H268:I268"/>
    <mergeCell ref="K268:L268"/>
    <mergeCell ref="N268:O268"/>
    <mergeCell ref="Q268:R268"/>
    <mergeCell ref="T268:U268"/>
    <mergeCell ref="H260:I260"/>
    <mergeCell ref="K260:L260"/>
    <mergeCell ref="N260:O260"/>
    <mergeCell ref="Q260:R260"/>
    <mergeCell ref="T260:U260"/>
    <mergeCell ref="W276:X276"/>
    <mergeCell ref="H284:I284"/>
    <mergeCell ref="K284:L284"/>
    <mergeCell ref="N284:O284"/>
    <mergeCell ref="Q284:R284"/>
    <mergeCell ref="T284:U284"/>
    <mergeCell ref="W268:X268"/>
    <mergeCell ref="H276:I276"/>
    <mergeCell ref="K276:L276"/>
    <mergeCell ref="N276:O276"/>
    <mergeCell ref="Q276:R276"/>
    <mergeCell ref="T276:U276"/>
    <mergeCell ref="W292:X292"/>
    <mergeCell ref="W284:X284"/>
    <mergeCell ref="H292:I292"/>
    <mergeCell ref="K292:L292"/>
    <mergeCell ref="N292:O292"/>
    <mergeCell ref="Q292:R292"/>
    <mergeCell ref="T292:U292"/>
    <mergeCell ref="W300:X300"/>
    <mergeCell ref="H308:I308"/>
    <mergeCell ref="K308:L308"/>
    <mergeCell ref="N308:O308"/>
    <mergeCell ref="Q308:R308"/>
    <mergeCell ref="T308:U308"/>
    <mergeCell ref="H300:I300"/>
    <mergeCell ref="K300:L300"/>
    <mergeCell ref="N300:O300"/>
    <mergeCell ref="Q300:R300"/>
    <mergeCell ref="T300:U300"/>
    <mergeCell ref="W316:X316"/>
    <mergeCell ref="H324:I324"/>
    <mergeCell ref="K324:L324"/>
    <mergeCell ref="N324:O324"/>
    <mergeCell ref="Q324:R324"/>
    <mergeCell ref="T324:U324"/>
    <mergeCell ref="W308:X308"/>
    <mergeCell ref="H316:I316"/>
    <mergeCell ref="K316:L316"/>
    <mergeCell ref="N316:O316"/>
    <mergeCell ref="Q316:R316"/>
    <mergeCell ref="T316:U316"/>
    <mergeCell ref="W332:X332"/>
    <mergeCell ref="H340:I340"/>
    <mergeCell ref="K340:L340"/>
    <mergeCell ref="N340:O340"/>
    <mergeCell ref="Q340:R340"/>
    <mergeCell ref="T340:U340"/>
    <mergeCell ref="W324:X324"/>
    <mergeCell ref="H332:I332"/>
    <mergeCell ref="K332:L332"/>
    <mergeCell ref="N332:O332"/>
    <mergeCell ref="Q332:R332"/>
    <mergeCell ref="T332:U332"/>
    <mergeCell ref="W348:X348"/>
    <mergeCell ref="H356:I356"/>
    <mergeCell ref="K356:L356"/>
    <mergeCell ref="N356:O356"/>
    <mergeCell ref="Q356:R356"/>
    <mergeCell ref="T356:U356"/>
    <mergeCell ref="W340:X340"/>
    <mergeCell ref="H348:I348"/>
    <mergeCell ref="K348:L348"/>
    <mergeCell ref="N348:O348"/>
    <mergeCell ref="Q348:R348"/>
    <mergeCell ref="T348:U348"/>
    <mergeCell ref="W372:X372"/>
    <mergeCell ref="H380:I380"/>
    <mergeCell ref="K380:L380"/>
    <mergeCell ref="N380:O380"/>
    <mergeCell ref="Q380:R380"/>
    <mergeCell ref="T380:U380"/>
    <mergeCell ref="W356:X356"/>
    <mergeCell ref="H372:I372"/>
    <mergeCell ref="K372:L372"/>
    <mergeCell ref="N372:O372"/>
    <mergeCell ref="Q372:R372"/>
    <mergeCell ref="T372:U372"/>
    <mergeCell ref="H364:I364"/>
    <mergeCell ref="K364:L364"/>
    <mergeCell ref="N364:O364"/>
    <mergeCell ref="Q364:R364"/>
    <mergeCell ref="T364:U364"/>
    <mergeCell ref="W364:X364"/>
    <mergeCell ref="W388:X388"/>
    <mergeCell ref="H396:I396"/>
    <mergeCell ref="K396:L396"/>
    <mergeCell ref="N396:O396"/>
    <mergeCell ref="Q396:R396"/>
    <mergeCell ref="T396:U396"/>
    <mergeCell ref="W380:X380"/>
    <mergeCell ref="H388:I388"/>
    <mergeCell ref="K388:L388"/>
    <mergeCell ref="N388:O388"/>
    <mergeCell ref="Q388:R388"/>
    <mergeCell ref="T388:U388"/>
    <mergeCell ref="W404:X404"/>
    <mergeCell ref="H412:I412"/>
    <mergeCell ref="K412:L412"/>
    <mergeCell ref="N412:O412"/>
    <mergeCell ref="Q412:R412"/>
    <mergeCell ref="T412:U412"/>
    <mergeCell ref="W396:X396"/>
    <mergeCell ref="H404:I404"/>
    <mergeCell ref="K404:L404"/>
    <mergeCell ref="N404:O404"/>
    <mergeCell ref="Q404:R404"/>
    <mergeCell ref="T404:U404"/>
    <mergeCell ref="W420:X420"/>
    <mergeCell ref="H428:I428"/>
    <mergeCell ref="K428:L428"/>
    <mergeCell ref="N428:O428"/>
    <mergeCell ref="Q428:R428"/>
    <mergeCell ref="T428:U428"/>
    <mergeCell ref="W412:X412"/>
    <mergeCell ref="H420:I420"/>
    <mergeCell ref="K420:L420"/>
    <mergeCell ref="N420:O420"/>
    <mergeCell ref="Q420:R420"/>
    <mergeCell ref="T420:U420"/>
    <mergeCell ref="W436:X436"/>
    <mergeCell ref="H444:I444"/>
    <mergeCell ref="K444:L444"/>
    <mergeCell ref="N444:O444"/>
    <mergeCell ref="Q444:R444"/>
    <mergeCell ref="T444:U444"/>
    <mergeCell ref="W428:X428"/>
    <mergeCell ref="H436:I436"/>
    <mergeCell ref="K436:L436"/>
    <mergeCell ref="N436:O436"/>
    <mergeCell ref="Q436:R436"/>
    <mergeCell ref="T436:U436"/>
    <mergeCell ref="W452:X452"/>
    <mergeCell ref="H460:I460"/>
    <mergeCell ref="K460:L460"/>
    <mergeCell ref="N460:O460"/>
    <mergeCell ref="Q460:R460"/>
    <mergeCell ref="T460:U460"/>
    <mergeCell ref="W444:X444"/>
    <mergeCell ref="H452:I452"/>
    <mergeCell ref="K452:L452"/>
    <mergeCell ref="N452:O452"/>
    <mergeCell ref="Q452:R452"/>
    <mergeCell ref="T452:U452"/>
    <mergeCell ref="W468:X468"/>
    <mergeCell ref="H476:I476"/>
    <mergeCell ref="K476:L476"/>
    <mergeCell ref="N476:O476"/>
    <mergeCell ref="Q476:R476"/>
    <mergeCell ref="T476:U476"/>
    <mergeCell ref="W460:X460"/>
    <mergeCell ref="H468:I468"/>
    <mergeCell ref="K468:L468"/>
    <mergeCell ref="N468:O468"/>
    <mergeCell ref="Q468:R468"/>
    <mergeCell ref="T468:U468"/>
    <mergeCell ref="W484:X484"/>
    <mergeCell ref="H492:I492"/>
    <mergeCell ref="K492:L492"/>
    <mergeCell ref="N492:O492"/>
    <mergeCell ref="Q492:R492"/>
    <mergeCell ref="T492:U492"/>
    <mergeCell ref="W476:X476"/>
    <mergeCell ref="H484:I484"/>
    <mergeCell ref="K484:L484"/>
    <mergeCell ref="N484:O484"/>
    <mergeCell ref="Q484:R484"/>
    <mergeCell ref="T484:U484"/>
    <mergeCell ref="W500:X500"/>
    <mergeCell ref="H508:I508"/>
    <mergeCell ref="K508:L508"/>
    <mergeCell ref="N508:O508"/>
    <mergeCell ref="Q508:R508"/>
    <mergeCell ref="T508:U508"/>
    <mergeCell ref="W492:X492"/>
    <mergeCell ref="H500:I500"/>
    <mergeCell ref="K500:L500"/>
    <mergeCell ref="N500:O500"/>
    <mergeCell ref="Q500:R500"/>
    <mergeCell ref="T500:U500"/>
    <mergeCell ref="W516:X516"/>
    <mergeCell ref="H524:I524"/>
    <mergeCell ref="K524:L524"/>
    <mergeCell ref="N524:O524"/>
    <mergeCell ref="Q524:R524"/>
    <mergeCell ref="T524:U524"/>
    <mergeCell ref="W508:X508"/>
    <mergeCell ref="H516:I516"/>
    <mergeCell ref="K516:L516"/>
    <mergeCell ref="N516:O516"/>
    <mergeCell ref="Q516:R516"/>
    <mergeCell ref="T516:U516"/>
    <mergeCell ref="W532:X532"/>
    <mergeCell ref="H540:I540"/>
    <mergeCell ref="K540:L540"/>
    <mergeCell ref="N540:O540"/>
    <mergeCell ref="Q540:R540"/>
    <mergeCell ref="T540:U540"/>
    <mergeCell ref="W524:X524"/>
    <mergeCell ref="H532:I532"/>
    <mergeCell ref="K532:L532"/>
    <mergeCell ref="N532:O532"/>
    <mergeCell ref="Q532:R532"/>
    <mergeCell ref="T532:U532"/>
    <mergeCell ref="W548:X548"/>
    <mergeCell ref="H556:I556"/>
    <mergeCell ref="K556:L556"/>
    <mergeCell ref="N556:O556"/>
    <mergeCell ref="Q556:R556"/>
    <mergeCell ref="T556:U556"/>
    <mergeCell ref="W540:X540"/>
    <mergeCell ref="H548:I548"/>
    <mergeCell ref="K548:L548"/>
    <mergeCell ref="N548:O548"/>
    <mergeCell ref="Q548:R548"/>
    <mergeCell ref="T548:U548"/>
    <mergeCell ref="W564:X564"/>
    <mergeCell ref="H636:I636"/>
    <mergeCell ref="K636:L636"/>
    <mergeCell ref="N636:O636"/>
    <mergeCell ref="Q636:R636"/>
    <mergeCell ref="T636:U636"/>
    <mergeCell ref="W556:X556"/>
    <mergeCell ref="H564:I564"/>
    <mergeCell ref="K564:L564"/>
    <mergeCell ref="N564:O564"/>
    <mergeCell ref="Q564:R564"/>
    <mergeCell ref="T564:U564"/>
    <mergeCell ref="H572:I572"/>
    <mergeCell ref="K572:L572"/>
    <mergeCell ref="N572:O572"/>
    <mergeCell ref="Q572:R572"/>
    <mergeCell ref="T572:U572"/>
    <mergeCell ref="W572:X572"/>
    <mergeCell ref="H580:I580"/>
    <mergeCell ref="K580:L580"/>
    <mergeCell ref="N580:O580"/>
    <mergeCell ref="Q580:R580"/>
    <mergeCell ref="T580:U580"/>
    <mergeCell ref="W580:X580"/>
    <mergeCell ref="W644:X644"/>
    <mergeCell ref="H652:I652"/>
    <mergeCell ref="K652:L652"/>
    <mergeCell ref="N652:O652"/>
    <mergeCell ref="Q652:R652"/>
    <mergeCell ref="T652:U652"/>
    <mergeCell ref="W636:X636"/>
    <mergeCell ref="H644:I644"/>
    <mergeCell ref="K644:L644"/>
    <mergeCell ref="N644:O644"/>
    <mergeCell ref="Q644:R644"/>
    <mergeCell ref="T644:U644"/>
    <mergeCell ref="W660:X660"/>
    <mergeCell ref="H668:I668"/>
    <mergeCell ref="K668:L668"/>
    <mergeCell ref="N668:O668"/>
    <mergeCell ref="Q668:R668"/>
    <mergeCell ref="T668:U668"/>
    <mergeCell ref="W652:X652"/>
    <mergeCell ref="H660:I660"/>
    <mergeCell ref="K660:L660"/>
    <mergeCell ref="N660:O660"/>
    <mergeCell ref="Q660:R660"/>
    <mergeCell ref="T660:U660"/>
    <mergeCell ref="W676:X676"/>
    <mergeCell ref="H684:I684"/>
    <mergeCell ref="K684:L684"/>
    <mergeCell ref="N684:O684"/>
    <mergeCell ref="Q684:R684"/>
    <mergeCell ref="T684:U684"/>
    <mergeCell ref="W668:X668"/>
    <mergeCell ref="H676:I676"/>
    <mergeCell ref="K676:L676"/>
    <mergeCell ref="N676:O676"/>
    <mergeCell ref="Q676:R676"/>
    <mergeCell ref="T676:U676"/>
    <mergeCell ref="W692:X692"/>
    <mergeCell ref="H700:I700"/>
    <mergeCell ref="K700:L700"/>
    <mergeCell ref="N700:O700"/>
    <mergeCell ref="Q700:R700"/>
    <mergeCell ref="T700:U700"/>
    <mergeCell ref="W684:X684"/>
    <mergeCell ref="H692:I692"/>
    <mergeCell ref="K692:L692"/>
    <mergeCell ref="N692:O692"/>
    <mergeCell ref="Q692:R692"/>
    <mergeCell ref="T692:U692"/>
    <mergeCell ref="W708:X708"/>
    <mergeCell ref="H716:I716"/>
    <mergeCell ref="K716:L716"/>
    <mergeCell ref="N716:O716"/>
    <mergeCell ref="Q716:R716"/>
    <mergeCell ref="T716:U716"/>
    <mergeCell ref="W700:X700"/>
    <mergeCell ref="H708:I708"/>
    <mergeCell ref="K708:L708"/>
    <mergeCell ref="N708:O708"/>
    <mergeCell ref="Q708:R708"/>
    <mergeCell ref="T708:U708"/>
    <mergeCell ref="W724:X724"/>
    <mergeCell ref="H732:I732"/>
    <mergeCell ref="K732:L732"/>
    <mergeCell ref="N732:O732"/>
    <mergeCell ref="Q732:R732"/>
    <mergeCell ref="T732:U732"/>
    <mergeCell ref="W716:X716"/>
    <mergeCell ref="H724:I724"/>
    <mergeCell ref="K724:L724"/>
    <mergeCell ref="N724:O724"/>
    <mergeCell ref="Q724:R724"/>
    <mergeCell ref="T724:U724"/>
    <mergeCell ref="W740:X740"/>
    <mergeCell ref="H748:I748"/>
    <mergeCell ref="K748:L748"/>
    <mergeCell ref="N748:O748"/>
    <mergeCell ref="Q748:R748"/>
    <mergeCell ref="T748:U748"/>
    <mergeCell ref="W732:X732"/>
    <mergeCell ref="H740:I740"/>
    <mergeCell ref="K740:L740"/>
    <mergeCell ref="N740:O740"/>
    <mergeCell ref="Q740:R740"/>
    <mergeCell ref="T740:U740"/>
    <mergeCell ref="W756:X756"/>
    <mergeCell ref="H764:I764"/>
    <mergeCell ref="K764:L764"/>
    <mergeCell ref="N764:O764"/>
    <mergeCell ref="Q764:R764"/>
    <mergeCell ref="T764:U764"/>
    <mergeCell ref="W748:X748"/>
    <mergeCell ref="H756:I756"/>
    <mergeCell ref="K756:L756"/>
    <mergeCell ref="N756:O756"/>
    <mergeCell ref="Q756:R756"/>
    <mergeCell ref="T756:U756"/>
    <mergeCell ref="W772:X772"/>
    <mergeCell ref="H780:I780"/>
    <mergeCell ref="K780:L780"/>
    <mergeCell ref="N780:O780"/>
    <mergeCell ref="Q780:R780"/>
    <mergeCell ref="T780:U780"/>
    <mergeCell ref="W764:X764"/>
    <mergeCell ref="H772:I772"/>
    <mergeCell ref="K772:L772"/>
    <mergeCell ref="N772:O772"/>
    <mergeCell ref="Q772:R772"/>
    <mergeCell ref="T772:U772"/>
    <mergeCell ref="W788:X788"/>
    <mergeCell ref="H796:I796"/>
    <mergeCell ref="K796:L796"/>
    <mergeCell ref="N796:O796"/>
    <mergeCell ref="Q796:R796"/>
    <mergeCell ref="T796:U796"/>
    <mergeCell ref="W780:X780"/>
    <mergeCell ref="H788:I788"/>
    <mergeCell ref="K788:L788"/>
    <mergeCell ref="N788:O788"/>
    <mergeCell ref="Q788:R788"/>
    <mergeCell ref="T788:U788"/>
    <mergeCell ref="W804:X804"/>
    <mergeCell ref="H812:I812"/>
    <mergeCell ref="K812:L812"/>
    <mergeCell ref="N812:O812"/>
    <mergeCell ref="Q812:R812"/>
    <mergeCell ref="T812:U812"/>
    <mergeCell ref="W796:X796"/>
    <mergeCell ref="H804:I804"/>
    <mergeCell ref="K804:L804"/>
    <mergeCell ref="N804:O804"/>
    <mergeCell ref="Q804:R804"/>
    <mergeCell ref="T804:U804"/>
    <mergeCell ref="W820:X820"/>
    <mergeCell ref="H828:I828"/>
    <mergeCell ref="K828:L828"/>
    <mergeCell ref="N828:O828"/>
    <mergeCell ref="Q828:R828"/>
    <mergeCell ref="T828:U828"/>
    <mergeCell ref="W812:X812"/>
    <mergeCell ref="H820:I820"/>
    <mergeCell ref="K820:L820"/>
    <mergeCell ref="N820:O820"/>
    <mergeCell ref="Q820:R820"/>
    <mergeCell ref="T820:U820"/>
    <mergeCell ref="W836:X836"/>
    <mergeCell ref="H844:I844"/>
    <mergeCell ref="K844:L844"/>
    <mergeCell ref="N844:O844"/>
    <mergeCell ref="Q844:R844"/>
    <mergeCell ref="T844:U844"/>
    <mergeCell ref="W828:X828"/>
    <mergeCell ref="H836:I836"/>
    <mergeCell ref="K836:L836"/>
    <mergeCell ref="N836:O836"/>
    <mergeCell ref="Q836:R836"/>
    <mergeCell ref="T836:U836"/>
    <mergeCell ref="W852:X852"/>
    <mergeCell ref="H860:I860"/>
    <mergeCell ref="K860:L860"/>
    <mergeCell ref="N860:O860"/>
    <mergeCell ref="Q860:R860"/>
    <mergeCell ref="T860:U860"/>
    <mergeCell ref="W844:X844"/>
    <mergeCell ref="H852:I852"/>
    <mergeCell ref="K852:L852"/>
    <mergeCell ref="N852:O852"/>
    <mergeCell ref="Q852:R852"/>
    <mergeCell ref="T852:U852"/>
    <mergeCell ref="W868:X868"/>
    <mergeCell ref="H876:I876"/>
    <mergeCell ref="K876:L876"/>
    <mergeCell ref="N876:O876"/>
    <mergeCell ref="Q876:R876"/>
    <mergeCell ref="T876:U876"/>
    <mergeCell ref="W860:X860"/>
    <mergeCell ref="H868:I868"/>
    <mergeCell ref="K868:L868"/>
    <mergeCell ref="N868:O868"/>
    <mergeCell ref="Q868:R868"/>
    <mergeCell ref="T868:U868"/>
    <mergeCell ref="W884:X884"/>
    <mergeCell ref="H892:I892"/>
    <mergeCell ref="K892:L892"/>
    <mergeCell ref="N892:O892"/>
    <mergeCell ref="Q892:R892"/>
    <mergeCell ref="T892:U892"/>
    <mergeCell ref="W876:X876"/>
    <mergeCell ref="H884:I884"/>
    <mergeCell ref="K884:L884"/>
    <mergeCell ref="N884:O884"/>
    <mergeCell ref="Q884:R884"/>
    <mergeCell ref="T884:U884"/>
    <mergeCell ref="W900:X900"/>
    <mergeCell ref="H908:I908"/>
    <mergeCell ref="K908:L908"/>
    <mergeCell ref="N908:O908"/>
    <mergeCell ref="Q908:R908"/>
    <mergeCell ref="T908:U908"/>
    <mergeCell ref="W892:X892"/>
    <mergeCell ref="H900:I900"/>
    <mergeCell ref="K900:L900"/>
    <mergeCell ref="N900:O900"/>
    <mergeCell ref="Q900:R900"/>
    <mergeCell ref="T900:U900"/>
    <mergeCell ref="W916:X916"/>
    <mergeCell ref="H924:I924"/>
    <mergeCell ref="K924:L924"/>
    <mergeCell ref="N924:O924"/>
    <mergeCell ref="Q924:R924"/>
    <mergeCell ref="T924:U924"/>
    <mergeCell ref="W908:X908"/>
    <mergeCell ref="H916:I916"/>
    <mergeCell ref="K916:L916"/>
    <mergeCell ref="N916:O916"/>
    <mergeCell ref="Q916:R916"/>
    <mergeCell ref="T916:U916"/>
    <mergeCell ref="W932:X932"/>
    <mergeCell ref="H940:I940"/>
    <mergeCell ref="K940:L940"/>
    <mergeCell ref="N940:O940"/>
    <mergeCell ref="Q940:R940"/>
    <mergeCell ref="T940:U940"/>
    <mergeCell ref="W924:X924"/>
    <mergeCell ref="H932:I932"/>
    <mergeCell ref="K932:L932"/>
    <mergeCell ref="N932:O932"/>
    <mergeCell ref="Q932:R932"/>
    <mergeCell ref="T932:U932"/>
    <mergeCell ref="W980:X980"/>
    <mergeCell ref="H988:I988"/>
    <mergeCell ref="K988:L988"/>
    <mergeCell ref="N988:O988"/>
    <mergeCell ref="Q988:R988"/>
    <mergeCell ref="T988:U988"/>
    <mergeCell ref="W940:X940"/>
    <mergeCell ref="H980:I980"/>
    <mergeCell ref="K980:L980"/>
    <mergeCell ref="N980:O980"/>
    <mergeCell ref="Q980:R980"/>
    <mergeCell ref="T980:U980"/>
    <mergeCell ref="H948:I948"/>
    <mergeCell ref="K948:L948"/>
    <mergeCell ref="N948:O948"/>
    <mergeCell ref="Q948:R948"/>
    <mergeCell ref="T948:U948"/>
    <mergeCell ref="W948:X948"/>
    <mergeCell ref="H956:I956"/>
    <mergeCell ref="K956:L956"/>
    <mergeCell ref="N956:O956"/>
    <mergeCell ref="Q956:R956"/>
    <mergeCell ref="T956:U956"/>
    <mergeCell ref="W956:X956"/>
    <mergeCell ref="W1004:X1004"/>
    <mergeCell ref="H1012:I1012"/>
    <mergeCell ref="K1012:L1012"/>
    <mergeCell ref="N1012:O1012"/>
    <mergeCell ref="Q1012:R1012"/>
    <mergeCell ref="T1012:U1012"/>
    <mergeCell ref="W988:X988"/>
    <mergeCell ref="H1004:I1004"/>
    <mergeCell ref="K1004:L1004"/>
    <mergeCell ref="N1004:O1004"/>
    <mergeCell ref="Q1004:R1004"/>
    <mergeCell ref="T1004:U1004"/>
    <mergeCell ref="H996:I996"/>
    <mergeCell ref="K996:L996"/>
    <mergeCell ref="N996:O996"/>
    <mergeCell ref="Q996:R996"/>
    <mergeCell ref="T996:U996"/>
    <mergeCell ref="W996:X996"/>
    <mergeCell ref="W1020:X1020"/>
    <mergeCell ref="H1028:I1028"/>
    <mergeCell ref="K1028:L1028"/>
    <mergeCell ref="N1028:O1028"/>
    <mergeCell ref="Q1028:R1028"/>
    <mergeCell ref="T1028:U1028"/>
    <mergeCell ref="W1012:X1012"/>
    <mergeCell ref="H1020:I1020"/>
    <mergeCell ref="K1020:L1020"/>
    <mergeCell ref="N1020:O1020"/>
    <mergeCell ref="Q1020:R1020"/>
    <mergeCell ref="T1020:U1020"/>
    <mergeCell ref="W1036:X1036"/>
    <mergeCell ref="H1044:I1044"/>
    <mergeCell ref="K1044:L1044"/>
    <mergeCell ref="N1044:O1044"/>
    <mergeCell ref="Q1044:R1044"/>
    <mergeCell ref="T1044:U1044"/>
    <mergeCell ref="W1028:X1028"/>
    <mergeCell ref="H1036:I1036"/>
    <mergeCell ref="K1036:L1036"/>
    <mergeCell ref="N1036:O1036"/>
    <mergeCell ref="Q1036:R1036"/>
    <mergeCell ref="T1036:U1036"/>
    <mergeCell ref="W1052:X1052"/>
    <mergeCell ref="H1060:I1060"/>
    <mergeCell ref="K1060:L1060"/>
    <mergeCell ref="N1060:O1060"/>
    <mergeCell ref="Q1060:R1060"/>
    <mergeCell ref="T1060:U1060"/>
    <mergeCell ref="W1044:X1044"/>
    <mergeCell ref="H1052:I1052"/>
    <mergeCell ref="K1052:L1052"/>
    <mergeCell ref="N1052:O1052"/>
    <mergeCell ref="Q1052:R1052"/>
    <mergeCell ref="T1052:U1052"/>
    <mergeCell ref="W1068:X1068"/>
    <mergeCell ref="H1076:I1076"/>
    <mergeCell ref="K1076:L1076"/>
    <mergeCell ref="N1076:O1076"/>
    <mergeCell ref="Q1076:R1076"/>
    <mergeCell ref="T1076:U1076"/>
    <mergeCell ref="W1060:X1060"/>
    <mergeCell ref="H1068:I1068"/>
    <mergeCell ref="K1068:L1068"/>
    <mergeCell ref="N1068:O1068"/>
    <mergeCell ref="Q1068:R1068"/>
    <mergeCell ref="T1068:U1068"/>
    <mergeCell ref="W1084:X1084"/>
    <mergeCell ref="H1092:I1092"/>
    <mergeCell ref="K1092:L1092"/>
    <mergeCell ref="N1092:O1092"/>
    <mergeCell ref="Q1092:R1092"/>
    <mergeCell ref="T1092:U1092"/>
    <mergeCell ref="W1076:X1076"/>
    <mergeCell ref="H1084:I1084"/>
    <mergeCell ref="K1084:L1084"/>
    <mergeCell ref="N1084:O1084"/>
    <mergeCell ref="Q1084:R1084"/>
    <mergeCell ref="T1084:U1084"/>
    <mergeCell ref="N1108:O1108"/>
    <mergeCell ref="Q1108:R1108"/>
    <mergeCell ref="T1108:U1108"/>
    <mergeCell ref="W1092:X1092"/>
    <mergeCell ref="H1100:I1100"/>
    <mergeCell ref="K1100:L1100"/>
    <mergeCell ref="N1100:O1100"/>
    <mergeCell ref="Q1100:R1100"/>
    <mergeCell ref="T1100:U1100"/>
    <mergeCell ref="W1108:X1108"/>
    <mergeCell ref="W1100:X1100"/>
    <mergeCell ref="H1108:I1108"/>
    <mergeCell ref="K1108:L1108"/>
    <mergeCell ref="W1124:X1124"/>
    <mergeCell ref="H1124:I1124"/>
    <mergeCell ref="K1124:L1124"/>
    <mergeCell ref="N1124:O1124"/>
    <mergeCell ref="Q1124:R1124"/>
    <mergeCell ref="T1124:U1124"/>
    <mergeCell ref="W1116:X1116"/>
    <mergeCell ref="H1116:I1116"/>
    <mergeCell ref="K1116:L1116"/>
    <mergeCell ref="N1116:O1116"/>
    <mergeCell ref="Q1116:R1116"/>
    <mergeCell ref="T1116:U1116"/>
    <mergeCell ref="H964:I964"/>
    <mergeCell ref="K964:L964"/>
    <mergeCell ref="N964:O964"/>
    <mergeCell ref="Q964:R964"/>
    <mergeCell ref="T964:U964"/>
    <mergeCell ref="W964:X964"/>
    <mergeCell ref="H972:I972"/>
    <mergeCell ref="K972:L972"/>
    <mergeCell ref="N972:O972"/>
    <mergeCell ref="Q972:R972"/>
    <mergeCell ref="T972:U972"/>
    <mergeCell ref="W972:X972"/>
  </mergeCells>
  <conditionalFormatting sqref="G21:G92 G973:G988 G125:G228 G997:G1124 G253:G356 G365:G564 G629:G940 G101:G108">
    <cfRule type="cellIs" dxfId="71" priority="65" stopIfTrue="1" operator="equal">
      <formula>"RB"</formula>
    </cfRule>
    <cfRule type="cellIs" dxfId="70" priority="66" stopIfTrue="1" operator="equal">
      <formula>"RR"</formula>
    </cfRule>
    <cfRule type="cellIs" dxfId="69" priority="67" stopIfTrue="1" operator="equal">
      <formula>"B"</formula>
    </cfRule>
    <cfRule type="cellIs" dxfId="68" priority="68" stopIfTrue="1" operator="equal">
      <formula>"S"</formula>
    </cfRule>
  </conditionalFormatting>
  <conditionalFormatting sqref="G93:G100">
    <cfRule type="cellIs" dxfId="67" priority="61" stopIfTrue="1" operator="equal">
      <formula>"RB"</formula>
    </cfRule>
    <cfRule type="cellIs" dxfId="66" priority="62" stopIfTrue="1" operator="equal">
      <formula>"RR"</formula>
    </cfRule>
    <cfRule type="cellIs" dxfId="65" priority="63" stopIfTrue="1" operator="equal">
      <formula>"B"</formula>
    </cfRule>
    <cfRule type="cellIs" dxfId="64" priority="64" stopIfTrue="1" operator="equal">
      <formula>"S"</formula>
    </cfRule>
  </conditionalFormatting>
  <conditionalFormatting sqref="G109:G116">
    <cfRule type="cellIs" dxfId="63" priority="53" stopIfTrue="1" operator="equal">
      <formula>"RB"</formula>
    </cfRule>
    <cfRule type="cellIs" dxfId="62" priority="54" stopIfTrue="1" operator="equal">
      <formula>"RR"</formula>
    </cfRule>
    <cfRule type="cellIs" dxfId="61" priority="55" stopIfTrue="1" operator="equal">
      <formula>"B"</formula>
    </cfRule>
    <cfRule type="cellIs" dxfId="60" priority="56" stopIfTrue="1" operator="equal">
      <formula>"S"</formula>
    </cfRule>
  </conditionalFormatting>
  <conditionalFormatting sqref="G117:G124">
    <cfRule type="cellIs" dxfId="59" priority="49" stopIfTrue="1" operator="equal">
      <formula>"RB"</formula>
    </cfRule>
    <cfRule type="cellIs" dxfId="58" priority="50" stopIfTrue="1" operator="equal">
      <formula>"RR"</formula>
    </cfRule>
    <cfRule type="cellIs" dxfId="57" priority="51" stopIfTrue="1" operator="equal">
      <formula>"B"</formula>
    </cfRule>
    <cfRule type="cellIs" dxfId="56" priority="52" stopIfTrue="1" operator="equal">
      <formula>"S"</formula>
    </cfRule>
  </conditionalFormatting>
  <conditionalFormatting sqref="G941:G948">
    <cfRule type="cellIs" dxfId="55" priority="45" stopIfTrue="1" operator="equal">
      <formula>"RB"</formula>
    </cfRule>
    <cfRule type="cellIs" dxfId="54" priority="46" stopIfTrue="1" operator="equal">
      <formula>"RR"</formula>
    </cfRule>
    <cfRule type="cellIs" dxfId="53" priority="47" stopIfTrue="1" operator="equal">
      <formula>"B"</formula>
    </cfRule>
    <cfRule type="cellIs" dxfId="52" priority="48" stopIfTrue="1" operator="equal">
      <formula>"S"</formula>
    </cfRule>
  </conditionalFormatting>
  <conditionalFormatting sqref="G949:G956">
    <cfRule type="cellIs" dxfId="51" priority="41" stopIfTrue="1" operator="equal">
      <formula>"RB"</formula>
    </cfRule>
    <cfRule type="cellIs" dxfId="50" priority="42" stopIfTrue="1" operator="equal">
      <formula>"RR"</formula>
    </cfRule>
    <cfRule type="cellIs" dxfId="49" priority="43" stopIfTrue="1" operator="equal">
      <formula>"B"</formula>
    </cfRule>
    <cfRule type="cellIs" dxfId="48" priority="44" stopIfTrue="1" operator="equal">
      <formula>"S"</formula>
    </cfRule>
  </conditionalFormatting>
  <conditionalFormatting sqref="G957:G964">
    <cfRule type="cellIs" dxfId="47" priority="37" stopIfTrue="1" operator="equal">
      <formula>"RB"</formula>
    </cfRule>
    <cfRule type="cellIs" dxfId="46" priority="38" stopIfTrue="1" operator="equal">
      <formula>"RR"</formula>
    </cfRule>
    <cfRule type="cellIs" dxfId="45" priority="39" stopIfTrue="1" operator="equal">
      <formula>"B"</formula>
    </cfRule>
    <cfRule type="cellIs" dxfId="44" priority="40" stopIfTrue="1" operator="equal">
      <formula>"S"</formula>
    </cfRule>
  </conditionalFormatting>
  <conditionalFormatting sqref="G965:G972">
    <cfRule type="cellIs" dxfId="43" priority="33" stopIfTrue="1" operator="equal">
      <formula>"RB"</formula>
    </cfRule>
    <cfRule type="cellIs" dxfId="42" priority="34" stopIfTrue="1" operator="equal">
      <formula>"RR"</formula>
    </cfRule>
    <cfRule type="cellIs" dxfId="41" priority="35" stopIfTrue="1" operator="equal">
      <formula>"B"</formula>
    </cfRule>
    <cfRule type="cellIs" dxfId="40" priority="36" stopIfTrue="1" operator="equal">
      <formula>"S"</formula>
    </cfRule>
  </conditionalFormatting>
  <conditionalFormatting sqref="G989:G996">
    <cfRule type="cellIs" dxfId="39" priority="29" stopIfTrue="1" operator="equal">
      <formula>"RB"</formula>
    </cfRule>
    <cfRule type="cellIs" dxfId="38" priority="30" stopIfTrue="1" operator="equal">
      <formula>"RR"</formula>
    </cfRule>
    <cfRule type="cellIs" dxfId="37" priority="31" stopIfTrue="1" operator="equal">
      <formula>"B"</formula>
    </cfRule>
    <cfRule type="cellIs" dxfId="36" priority="32" stopIfTrue="1" operator="equal">
      <formula>"S"</formula>
    </cfRule>
  </conditionalFormatting>
  <conditionalFormatting sqref="G229:G252">
    <cfRule type="cellIs" dxfId="35" priority="25" stopIfTrue="1" operator="equal">
      <formula>"RB"</formula>
    </cfRule>
    <cfRule type="cellIs" dxfId="34" priority="26" stopIfTrue="1" operator="equal">
      <formula>"RR"</formula>
    </cfRule>
    <cfRule type="cellIs" dxfId="33" priority="27" stopIfTrue="1" operator="equal">
      <formula>"B"</formula>
    </cfRule>
    <cfRule type="cellIs" dxfId="32" priority="28" stopIfTrue="1" operator="equal">
      <formula>"S"</formula>
    </cfRule>
  </conditionalFormatting>
  <conditionalFormatting sqref="G357:G364">
    <cfRule type="cellIs" dxfId="31" priority="21" stopIfTrue="1" operator="equal">
      <formula>"RB"</formula>
    </cfRule>
    <cfRule type="cellIs" dxfId="30" priority="22" stopIfTrue="1" operator="equal">
      <formula>"RR"</formula>
    </cfRule>
    <cfRule type="cellIs" dxfId="29" priority="23" stopIfTrue="1" operator="equal">
      <formula>"B"</formula>
    </cfRule>
    <cfRule type="cellIs" dxfId="28" priority="24" stopIfTrue="1" operator="equal">
      <formula>"S"</formula>
    </cfRule>
  </conditionalFormatting>
  <conditionalFormatting sqref="G565:G580">
    <cfRule type="cellIs" dxfId="27" priority="17" stopIfTrue="1" operator="equal">
      <formula>"RB"</formula>
    </cfRule>
    <cfRule type="cellIs" dxfId="26" priority="18" stopIfTrue="1" operator="equal">
      <formula>"RR"</formula>
    </cfRule>
    <cfRule type="cellIs" dxfId="25" priority="19" stopIfTrue="1" operator="equal">
      <formula>"B"</formula>
    </cfRule>
    <cfRule type="cellIs" dxfId="24" priority="20" stopIfTrue="1" operator="equal">
      <formula>"S"</formula>
    </cfRule>
  </conditionalFormatting>
  <conditionalFormatting sqref="G581:G596">
    <cfRule type="cellIs" dxfId="23" priority="13" stopIfTrue="1" operator="equal">
      <formula>"RB"</formula>
    </cfRule>
    <cfRule type="cellIs" dxfId="22" priority="14" stopIfTrue="1" operator="equal">
      <formula>"RR"</formula>
    </cfRule>
    <cfRule type="cellIs" dxfId="21" priority="15" stopIfTrue="1" operator="equal">
      <formula>"B"</formula>
    </cfRule>
    <cfRule type="cellIs" dxfId="20" priority="16" stopIfTrue="1" operator="equal">
      <formula>"S"</formula>
    </cfRule>
  </conditionalFormatting>
  <conditionalFormatting sqref="G597:G612">
    <cfRule type="cellIs" dxfId="19" priority="9" stopIfTrue="1" operator="equal">
      <formula>"RB"</formula>
    </cfRule>
    <cfRule type="cellIs" dxfId="18" priority="10" stopIfTrue="1" operator="equal">
      <formula>"RR"</formula>
    </cfRule>
    <cfRule type="cellIs" dxfId="17" priority="11" stopIfTrue="1" operator="equal">
      <formula>"B"</formula>
    </cfRule>
    <cfRule type="cellIs" dxfId="16" priority="12" stopIfTrue="1" operator="equal">
      <formula>"S"</formula>
    </cfRule>
  </conditionalFormatting>
  <conditionalFormatting sqref="G613:G620">
    <cfRule type="cellIs" dxfId="15" priority="5" stopIfTrue="1" operator="equal">
      <formula>"RB"</formula>
    </cfRule>
    <cfRule type="cellIs" dxfId="14" priority="6" stopIfTrue="1" operator="equal">
      <formula>"RR"</formula>
    </cfRule>
    <cfRule type="cellIs" dxfId="13" priority="7" stopIfTrue="1" operator="equal">
      <formula>"B"</formula>
    </cfRule>
    <cfRule type="cellIs" dxfId="12" priority="8" stopIfTrue="1" operator="equal">
      <formula>"S"</formula>
    </cfRule>
  </conditionalFormatting>
  <conditionalFormatting sqref="G621:G628">
    <cfRule type="cellIs" dxfId="11" priority="1" stopIfTrue="1" operator="equal">
      <formula>"RB"</formula>
    </cfRule>
    <cfRule type="cellIs" dxfId="10" priority="2" stopIfTrue="1" operator="equal">
      <formula>"RR"</formula>
    </cfRule>
    <cfRule type="cellIs" dxfId="9" priority="3" stopIfTrue="1" operator="equal">
      <formula>"B"</formula>
    </cfRule>
    <cfRule type="cellIs" dxfId="8" priority="4" stopIfTrue="1" operator="equal">
      <formula>"S"</formula>
    </cfRule>
  </conditionalFormatting>
  <printOptions horizontalCentered="1"/>
  <pageMargins left="0.27559055118110237" right="0.27559055118110237" top="0.47244094488188981" bottom="0.31496062992125984" header="0.31496062992125984" footer="0.31496062992125984"/>
  <pageSetup paperSize="9" scale="50" orientation="landscape" horizontalDpi="4294967293" r:id="rId1"/>
  <rowBreaks count="18" manualBreakCount="18">
    <brk id="68" max="40" man="1"/>
    <brk id="140" max="40" man="1"/>
    <brk id="196" max="40" man="1"/>
    <brk id="260" max="40" man="1"/>
    <brk id="292" max="40" man="1"/>
    <brk id="348" max="40" man="1"/>
    <brk id="412" max="40" man="1"/>
    <brk id="468" max="40" man="1"/>
    <brk id="524" max="40" man="1"/>
    <brk id="642" max="26" man="1"/>
    <brk id="700" max="40" man="1"/>
    <brk id="756" max="40" man="1"/>
    <brk id="812" max="40" man="1"/>
    <brk id="868" max="40" man="1"/>
    <brk id="924" max="40" man="1"/>
    <brk id="980" max="26" man="1"/>
    <brk id="1020" max="40" man="1"/>
    <brk id="1076" max="4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W207"/>
  <sheetViews>
    <sheetView view="pageBreakPreview" topLeftCell="A43" zoomScaleNormal="100" zoomScaleSheetLayoutView="100" workbookViewId="0">
      <selection activeCell="H47" sqref="H47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7" width="7.6640625" style="2" customWidth="1"/>
    <col min="8" max="21" width="10.6640625" style="1" customWidth="1"/>
    <col min="22" max="22" width="5.6640625" style="1" customWidth="1"/>
    <col min="23" max="23" width="1" style="4" customWidth="1"/>
    <col min="24" max="256" width="8.88671875" style="4"/>
    <col min="257" max="257" width="7.5546875" style="4" customWidth="1"/>
    <col min="258" max="258" width="7.33203125" style="4" customWidth="1"/>
    <col min="259" max="259" width="9.6640625" style="4" customWidth="1"/>
    <col min="260" max="261" width="6.6640625" style="4" customWidth="1"/>
    <col min="262" max="271" width="6.33203125" style="4" customWidth="1"/>
    <col min="272" max="272" width="9.109375" style="4" customWidth="1"/>
    <col min="273" max="278" width="7.6640625" style="4" customWidth="1"/>
    <col min="279" max="279" width="1.88671875" style="4" customWidth="1"/>
    <col min="280" max="512" width="8.88671875" style="4"/>
    <col min="513" max="513" width="7.5546875" style="4" customWidth="1"/>
    <col min="514" max="514" width="7.33203125" style="4" customWidth="1"/>
    <col min="515" max="515" width="9.6640625" style="4" customWidth="1"/>
    <col min="516" max="517" width="6.6640625" style="4" customWidth="1"/>
    <col min="518" max="527" width="6.33203125" style="4" customWidth="1"/>
    <col min="528" max="528" width="9.109375" style="4" customWidth="1"/>
    <col min="529" max="534" width="7.6640625" style="4" customWidth="1"/>
    <col min="535" max="535" width="1.88671875" style="4" customWidth="1"/>
    <col min="536" max="768" width="8.88671875" style="4"/>
    <col min="769" max="769" width="7.5546875" style="4" customWidth="1"/>
    <col min="770" max="770" width="7.33203125" style="4" customWidth="1"/>
    <col min="771" max="771" width="9.6640625" style="4" customWidth="1"/>
    <col min="772" max="773" width="6.6640625" style="4" customWidth="1"/>
    <col min="774" max="783" width="6.33203125" style="4" customWidth="1"/>
    <col min="784" max="784" width="9.109375" style="4" customWidth="1"/>
    <col min="785" max="790" width="7.6640625" style="4" customWidth="1"/>
    <col min="791" max="791" width="1.88671875" style="4" customWidth="1"/>
    <col min="792" max="1024" width="8.88671875" style="4"/>
    <col min="1025" max="1025" width="7.5546875" style="4" customWidth="1"/>
    <col min="1026" max="1026" width="7.33203125" style="4" customWidth="1"/>
    <col min="1027" max="1027" width="9.6640625" style="4" customWidth="1"/>
    <col min="1028" max="1029" width="6.6640625" style="4" customWidth="1"/>
    <col min="1030" max="1039" width="6.33203125" style="4" customWidth="1"/>
    <col min="1040" max="1040" width="9.109375" style="4" customWidth="1"/>
    <col min="1041" max="1046" width="7.6640625" style="4" customWidth="1"/>
    <col min="1047" max="1047" width="1.88671875" style="4" customWidth="1"/>
    <col min="1048" max="1280" width="8.88671875" style="4"/>
    <col min="1281" max="1281" width="7.5546875" style="4" customWidth="1"/>
    <col min="1282" max="1282" width="7.33203125" style="4" customWidth="1"/>
    <col min="1283" max="1283" width="9.6640625" style="4" customWidth="1"/>
    <col min="1284" max="1285" width="6.6640625" style="4" customWidth="1"/>
    <col min="1286" max="1295" width="6.33203125" style="4" customWidth="1"/>
    <col min="1296" max="1296" width="9.109375" style="4" customWidth="1"/>
    <col min="1297" max="1302" width="7.6640625" style="4" customWidth="1"/>
    <col min="1303" max="1303" width="1.88671875" style="4" customWidth="1"/>
    <col min="1304" max="1536" width="8.88671875" style="4"/>
    <col min="1537" max="1537" width="7.5546875" style="4" customWidth="1"/>
    <col min="1538" max="1538" width="7.33203125" style="4" customWidth="1"/>
    <col min="1539" max="1539" width="9.6640625" style="4" customWidth="1"/>
    <col min="1540" max="1541" width="6.6640625" style="4" customWidth="1"/>
    <col min="1542" max="1551" width="6.33203125" style="4" customWidth="1"/>
    <col min="1552" max="1552" width="9.109375" style="4" customWidth="1"/>
    <col min="1553" max="1558" width="7.6640625" style="4" customWidth="1"/>
    <col min="1559" max="1559" width="1.88671875" style="4" customWidth="1"/>
    <col min="1560" max="1792" width="8.88671875" style="4"/>
    <col min="1793" max="1793" width="7.5546875" style="4" customWidth="1"/>
    <col min="1794" max="1794" width="7.33203125" style="4" customWidth="1"/>
    <col min="1795" max="1795" width="9.6640625" style="4" customWidth="1"/>
    <col min="1796" max="1797" width="6.6640625" style="4" customWidth="1"/>
    <col min="1798" max="1807" width="6.33203125" style="4" customWidth="1"/>
    <col min="1808" max="1808" width="9.109375" style="4" customWidth="1"/>
    <col min="1809" max="1814" width="7.6640625" style="4" customWidth="1"/>
    <col min="1815" max="1815" width="1.88671875" style="4" customWidth="1"/>
    <col min="1816" max="2048" width="8.88671875" style="4"/>
    <col min="2049" max="2049" width="7.5546875" style="4" customWidth="1"/>
    <col min="2050" max="2050" width="7.33203125" style="4" customWidth="1"/>
    <col min="2051" max="2051" width="9.6640625" style="4" customWidth="1"/>
    <col min="2052" max="2053" width="6.6640625" style="4" customWidth="1"/>
    <col min="2054" max="2063" width="6.33203125" style="4" customWidth="1"/>
    <col min="2064" max="2064" width="9.109375" style="4" customWidth="1"/>
    <col min="2065" max="2070" width="7.6640625" style="4" customWidth="1"/>
    <col min="2071" max="2071" width="1.88671875" style="4" customWidth="1"/>
    <col min="2072" max="2304" width="8.88671875" style="4"/>
    <col min="2305" max="2305" width="7.5546875" style="4" customWidth="1"/>
    <col min="2306" max="2306" width="7.33203125" style="4" customWidth="1"/>
    <col min="2307" max="2307" width="9.6640625" style="4" customWidth="1"/>
    <col min="2308" max="2309" width="6.6640625" style="4" customWidth="1"/>
    <col min="2310" max="2319" width="6.33203125" style="4" customWidth="1"/>
    <col min="2320" max="2320" width="9.109375" style="4" customWidth="1"/>
    <col min="2321" max="2326" width="7.6640625" style="4" customWidth="1"/>
    <col min="2327" max="2327" width="1.88671875" style="4" customWidth="1"/>
    <col min="2328" max="2560" width="8.88671875" style="4"/>
    <col min="2561" max="2561" width="7.5546875" style="4" customWidth="1"/>
    <col min="2562" max="2562" width="7.33203125" style="4" customWidth="1"/>
    <col min="2563" max="2563" width="9.6640625" style="4" customWidth="1"/>
    <col min="2564" max="2565" width="6.6640625" style="4" customWidth="1"/>
    <col min="2566" max="2575" width="6.33203125" style="4" customWidth="1"/>
    <col min="2576" max="2576" width="9.109375" style="4" customWidth="1"/>
    <col min="2577" max="2582" width="7.6640625" style="4" customWidth="1"/>
    <col min="2583" max="2583" width="1.88671875" style="4" customWidth="1"/>
    <col min="2584" max="2816" width="8.88671875" style="4"/>
    <col min="2817" max="2817" width="7.5546875" style="4" customWidth="1"/>
    <col min="2818" max="2818" width="7.33203125" style="4" customWidth="1"/>
    <col min="2819" max="2819" width="9.6640625" style="4" customWidth="1"/>
    <col min="2820" max="2821" width="6.6640625" style="4" customWidth="1"/>
    <col min="2822" max="2831" width="6.33203125" style="4" customWidth="1"/>
    <col min="2832" max="2832" width="9.109375" style="4" customWidth="1"/>
    <col min="2833" max="2838" width="7.6640625" style="4" customWidth="1"/>
    <col min="2839" max="2839" width="1.88671875" style="4" customWidth="1"/>
    <col min="2840" max="3072" width="8.88671875" style="4"/>
    <col min="3073" max="3073" width="7.5546875" style="4" customWidth="1"/>
    <col min="3074" max="3074" width="7.33203125" style="4" customWidth="1"/>
    <col min="3075" max="3075" width="9.6640625" style="4" customWidth="1"/>
    <col min="3076" max="3077" width="6.6640625" style="4" customWidth="1"/>
    <col min="3078" max="3087" width="6.33203125" style="4" customWidth="1"/>
    <col min="3088" max="3088" width="9.109375" style="4" customWidth="1"/>
    <col min="3089" max="3094" width="7.6640625" style="4" customWidth="1"/>
    <col min="3095" max="3095" width="1.88671875" style="4" customWidth="1"/>
    <col min="3096" max="3328" width="8.88671875" style="4"/>
    <col min="3329" max="3329" width="7.5546875" style="4" customWidth="1"/>
    <col min="3330" max="3330" width="7.33203125" style="4" customWidth="1"/>
    <col min="3331" max="3331" width="9.6640625" style="4" customWidth="1"/>
    <col min="3332" max="3333" width="6.6640625" style="4" customWidth="1"/>
    <col min="3334" max="3343" width="6.33203125" style="4" customWidth="1"/>
    <col min="3344" max="3344" width="9.109375" style="4" customWidth="1"/>
    <col min="3345" max="3350" width="7.6640625" style="4" customWidth="1"/>
    <col min="3351" max="3351" width="1.88671875" style="4" customWidth="1"/>
    <col min="3352" max="3584" width="8.88671875" style="4"/>
    <col min="3585" max="3585" width="7.5546875" style="4" customWidth="1"/>
    <col min="3586" max="3586" width="7.33203125" style="4" customWidth="1"/>
    <col min="3587" max="3587" width="9.6640625" style="4" customWidth="1"/>
    <col min="3588" max="3589" width="6.6640625" style="4" customWidth="1"/>
    <col min="3590" max="3599" width="6.33203125" style="4" customWidth="1"/>
    <col min="3600" max="3600" width="9.109375" style="4" customWidth="1"/>
    <col min="3601" max="3606" width="7.6640625" style="4" customWidth="1"/>
    <col min="3607" max="3607" width="1.88671875" style="4" customWidth="1"/>
    <col min="3608" max="3840" width="8.88671875" style="4"/>
    <col min="3841" max="3841" width="7.5546875" style="4" customWidth="1"/>
    <col min="3842" max="3842" width="7.33203125" style="4" customWidth="1"/>
    <col min="3843" max="3843" width="9.6640625" style="4" customWidth="1"/>
    <col min="3844" max="3845" width="6.6640625" style="4" customWidth="1"/>
    <col min="3846" max="3855" width="6.33203125" style="4" customWidth="1"/>
    <col min="3856" max="3856" width="9.109375" style="4" customWidth="1"/>
    <col min="3857" max="3862" width="7.6640625" style="4" customWidth="1"/>
    <col min="3863" max="3863" width="1.88671875" style="4" customWidth="1"/>
    <col min="3864" max="4096" width="8.88671875" style="4"/>
    <col min="4097" max="4097" width="7.5546875" style="4" customWidth="1"/>
    <col min="4098" max="4098" width="7.33203125" style="4" customWidth="1"/>
    <col min="4099" max="4099" width="9.6640625" style="4" customWidth="1"/>
    <col min="4100" max="4101" width="6.6640625" style="4" customWidth="1"/>
    <col min="4102" max="4111" width="6.33203125" style="4" customWidth="1"/>
    <col min="4112" max="4112" width="9.109375" style="4" customWidth="1"/>
    <col min="4113" max="4118" width="7.6640625" style="4" customWidth="1"/>
    <col min="4119" max="4119" width="1.88671875" style="4" customWidth="1"/>
    <col min="4120" max="4352" width="8.88671875" style="4"/>
    <col min="4353" max="4353" width="7.5546875" style="4" customWidth="1"/>
    <col min="4354" max="4354" width="7.33203125" style="4" customWidth="1"/>
    <col min="4355" max="4355" width="9.6640625" style="4" customWidth="1"/>
    <col min="4356" max="4357" width="6.6640625" style="4" customWidth="1"/>
    <col min="4358" max="4367" width="6.33203125" style="4" customWidth="1"/>
    <col min="4368" max="4368" width="9.109375" style="4" customWidth="1"/>
    <col min="4369" max="4374" width="7.6640625" style="4" customWidth="1"/>
    <col min="4375" max="4375" width="1.88671875" style="4" customWidth="1"/>
    <col min="4376" max="4608" width="8.88671875" style="4"/>
    <col min="4609" max="4609" width="7.5546875" style="4" customWidth="1"/>
    <col min="4610" max="4610" width="7.33203125" style="4" customWidth="1"/>
    <col min="4611" max="4611" width="9.6640625" style="4" customWidth="1"/>
    <col min="4612" max="4613" width="6.6640625" style="4" customWidth="1"/>
    <col min="4614" max="4623" width="6.33203125" style="4" customWidth="1"/>
    <col min="4624" max="4624" width="9.109375" style="4" customWidth="1"/>
    <col min="4625" max="4630" width="7.6640625" style="4" customWidth="1"/>
    <col min="4631" max="4631" width="1.88671875" style="4" customWidth="1"/>
    <col min="4632" max="4864" width="8.88671875" style="4"/>
    <col min="4865" max="4865" width="7.5546875" style="4" customWidth="1"/>
    <col min="4866" max="4866" width="7.33203125" style="4" customWidth="1"/>
    <col min="4867" max="4867" width="9.6640625" style="4" customWidth="1"/>
    <col min="4868" max="4869" width="6.6640625" style="4" customWidth="1"/>
    <col min="4870" max="4879" width="6.33203125" style="4" customWidth="1"/>
    <col min="4880" max="4880" width="9.109375" style="4" customWidth="1"/>
    <col min="4881" max="4886" width="7.6640625" style="4" customWidth="1"/>
    <col min="4887" max="4887" width="1.88671875" style="4" customWidth="1"/>
    <col min="4888" max="5120" width="8.88671875" style="4"/>
    <col min="5121" max="5121" width="7.5546875" style="4" customWidth="1"/>
    <col min="5122" max="5122" width="7.33203125" style="4" customWidth="1"/>
    <col min="5123" max="5123" width="9.6640625" style="4" customWidth="1"/>
    <col min="5124" max="5125" width="6.6640625" style="4" customWidth="1"/>
    <col min="5126" max="5135" width="6.33203125" style="4" customWidth="1"/>
    <col min="5136" max="5136" width="9.109375" style="4" customWidth="1"/>
    <col min="5137" max="5142" width="7.6640625" style="4" customWidth="1"/>
    <col min="5143" max="5143" width="1.88671875" style="4" customWidth="1"/>
    <col min="5144" max="5376" width="8.88671875" style="4"/>
    <col min="5377" max="5377" width="7.5546875" style="4" customWidth="1"/>
    <col min="5378" max="5378" width="7.33203125" style="4" customWidth="1"/>
    <col min="5379" max="5379" width="9.6640625" style="4" customWidth="1"/>
    <col min="5380" max="5381" width="6.6640625" style="4" customWidth="1"/>
    <col min="5382" max="5391" width="6.33203125" style="4" customWidth="1"/>
    <col min="5392" max="5392" width="9.109375" style="4" customWidth="1"/>
    <col min="5393" max="5398" width="7.6640625" style="4" customWidth="1"/>
    <col min="5399" max="5399" width="1.88671875" style="4" customWidth="1"/>
    <col min="5400" max="5632" width="8.88671875" style="4"/>
    <col min="5633" max="5633" width="7.5546875" style="4" customWidth="1"/>
    <col min="5634" max="5634" width="7.33203125" style="4" customWidth="1"/>
    <col min="5635" max="5635" width="9.6640625" style="4" customWidth="1"/>
    <col min="5636" max="5637" width="6.6640625" style="4" customWidth="1"/>
    <col min="5638" max="5647" width="6.33203125" style="4" customWidth="1"/>
    <col min="5648" max="5648" width="9.109375" style="4" customWidth="1"/>
    <col min="5649" max="5654" width="7.6640625" style="4" customWidth="1"/>
    <col min="5655" max="5655" width="1.88671875" style="4" customWidth="1"/>
    <col min="5656" max="5888" width="8.88671875" style="4"/>
    <col min="5889" max="5889" width="7.5546875" style="4" customWidth="1"/>
    <col min="5890" max="5890" width="7.33203125" style="4" customWidth="1"/>
    <col min="5891" max="5891" width="9.6640625" style="4" customWidth="1"/>
    <col min="5892" max="5893" width="6.6640625" style="4" customWidth="1"/>
    <col min="5894" max="5903" width="6.33203125" style="4" customWidth="1"/>
    <col min="5904" max="5904" width="9.109375" style="4" customWidth="1"/>
    <col min="5905" max="5910" width="7.6640625" style="4" customWidth="1"/>
    <col min="5911" max="5911" width="1.88671875" style="4" customWidth="1"/>
    <col min="5912" max="6144" width="8.88671875" style="4"/>
    <col min="6145" max="6145" width="7.5546875" style="4" customWidth="1"/>
    <col min="6146" max="6146" width="7.33203125" style="4" customWidth="1"/>
    <col min="6147" max="6147" width="9.6640625" style="4" customWidth="1"/>
    <col min="6148" max="6149" width="6.6640625" style="4" customWidth="1"/>
    <col min="6150" max="6159" width="6.33203125" style="4" customWidth="1"/>
    <col min="6160" max="6160" width="9.109375" style="4" customWidth="1"/>
    <col min="6161" max="6166" width="7.6640625" style="4" customWidth="1"/>
    <col min="6167" max="6167" width="1.88671875" style="4" customWidth="1"/>
    <col min="6168" max="6400" width="8.88671875" style="4"/>
    <col min="6401" max="6401" width="7.5546875" style="4" customWidth="1"/>
    <col min="6402" max="6402" width="7.33203125" style="4" customWidth="1"/>
    <col min="6403" max="6403" width="9.6640625" style="4" customWidth="1"/>
    <col min="6404" max="6405" width="6.6640625" style="4" customWidth="1"/>
    <col min="6406" max="6415" width="6.33203125" style="4" customWidth="1"/>
    <col min="6416" max="6416" width="9.109375" style="4" customWidth="1"/>
    <col min="6417" max="6422" width="7.6640625" style="4" customWidth="1"/>
    <col min="6423" max="6423" width="1.88671875" style="4" customWidth="1"/>
    <col min="6424" max="6656" width="8.88671875" style="4"/>
    <col min="6657" max="6657" width="7.5546875" style="4" customWidth="1"/>
    <col min="6658" max="6658" width="7.33203125" style="4" customWidth="1"/>
    <col min="6659" max="6659" width="9.6640625" style="4" customWidth="1"/>
    <col min="6660" max="6661" width="6.6640625" style="4" customWidth="1"/>
    <col min="6662" max="6671" width="6.33203125" style="4" customWidth="1"/>
    <col min="6672" max="6672" width="9.109375" style="4" customWidth="1"/>
    <col min="6673" max="6678" width="7.6640625" style="4" customWidth="1"/>
    <col min="6679" max="6679" width="1.88671875" style="4" customWidth="1"/>
    <col min="6680" max="6912" width="8.88671875" style="4"/>
    <col min="6913" max="6913" width="7.5546875" style="4" customWidth="1"/>
    <col min="6914" max="6914" width="7.33203125" style="4" customWidth="1"/>
    <col min="6915" max="6915" width="9.6640625" style="4" customWidth="1"/>
    <col min="6916" max="6917" width="6.6640625" style="4" customWidth="1"/>
    <col min="6918" max="6927" width="6.33203125" style="4" customWidth="1"/>
    <col min="6928" max="6928" width="9.109375" style="4" customWidth="1"/>
    <col min="6929" max="6934" width="7.6640625" style="4" customWidth="1"/>
    <col min="6935" max="6935" width="1.88671875" style="4" customWidth="1"/>
    <col min="6936" max="7168" width="8.88671875" style="4"/>
    <col min="7169" max="7169" width="7.5546875" style="4" customWidth="1"/>
    <col min="7170" max="7170" width="7.33203125" style="4" customWidth="1"/>
    <col min="7171" max="7171" width="9.6640625" style="4" customWidth="1"/>
    <col min="7172" max="7173" width="6.6640625" style="4" customWidth="1"/>
    <col min="7174" max="7183" width="6.33203125" style="4" customWidth="1"/>
    <col min="7184" max="7184" width="9.109375" style="4" customWidth="1"/>
    <col min="7185" max="7190" width="7.6640625" style="4" customWidth="1"/>
    <col min="7191" max="7191" width="1.88671875" style="4" customWidth="1"/>
    <col min="7192" max="7424" width="8.88671875" style="4"/>
    <col min="7425" max="7425" width="7.5546875" style="4" customWidth="1"/>
    <col min="7426" max="7426" width="7.33203125" style="4" customWidth="1"/>
    <col min="7427" max="7427" width="9.6640625" style="4" customWidth="1"/>
    <col min="7428" max="7429" width="6.6640625" style="4" customWidth="1"/>
    <col min="7430" max="7439" width="6.33203125" style="4" customWidth="1"/>
    <col min="7440" max="7440" width="9.109375" style="4" customWidth="1"/>
    <col min="7441" max="7446" width="7.6640625" style="4" customWidth="1"/>
    <col min="7447" max="7447" width="1.88671875" style="4" customWidth="1"/>
    <col min="7448" max="7680" width="8.88671875" style="4"/>
    <col min="7681" max="7681" width="7.5546875" style="4" customWidth="1"/>
    <col min="7682" max="7682" width="7.33203125" style="4" customWidth="1"/>
    <col min="7683" max="7683" width="9.6640625" style="4" customWidth="1"/>
    <col min="7684" max="7685" width="6.6640625" style="4" customWidth="1"/>
    <col min="7686" max="7695" width="6.33203125" style="4" customWidth="1"/>
    <col min="7696" max="7696" width="9.109375" style="4" customWidth="1"/>
    <col min="7697" max="7702" width="7.6640625" style="4" customWidth="1"/>
    <col min="7703" max="7703" width="1.88671875" style="4" customWidth="1"/>
    <col min="7704" max="7936" width="8.88671875" style="4"/>
    <col min="7937" max="7937" width="7.5546875" style="4" customWidth="1"/>
    <col min="7938" max="7938" width="7.33203125" style="4" customWidth="1"/>
    <col min="7939" max="7939" width="9.6640625" style="4" customWidth="1"/>
    <col min="7940" max="7941" width="6.6640625" style="4" customWidth="1"/>
    <col min="7942" max="7951" width="6.33203125" style="4" customWidth="1"/>
    <col min="7952" max="7952" width="9.109375" style="4" customWidth="1"/>
    <col min="7953" max="7958" width="7.6640625" style="4" customWidth="1"/>
    <col min="7959" max="7959" width="1.88671875" style="4" customWidth="1"/>
    <col min="7960" max="8192" width="8.88671875" style="4"/>
    <col min="8193" max="8193" width="7.5546875" style="4" customWidth="1"/>
    <col min="8194" max="8194" width="7.33203125" style="4" customWidth="1"/>
    <col min="8195" max="8195" width="9.6640625" style="4" customWidth="1"/>
    <col min="8196" max="8197" width="6.6640625" style="4" customWidth="1"/>
    <col min="8198" max="8207" width="6.33203125" style="4" customWidth="1"/>
    <col min="8208" max="8208" width="9.109375" style="4" customWidth="1"/>
    <col min="8209" max="8214" width="7.6640625" style="4" customWidth="1"/>
    <col min="8215" max="8215" width="1.88671875" style="4" customWidth="1"/>
    <col min="8216" max="8448" width="8.88671875" style="4"/>
    <col min="8449" max="8449" width="7.5546875" style="4" customWidth="1"/>
    <col min="8450" max="8450" width="7.33203125" style="4" customWidth="1"/>
    <col min="8451" max="8451" width="9.6640625" style="4" customWidth="1"/>
    <col min="8452" max="8453" width="6.6640625" style="4" customWidth="1"/>
    <col min="8454" max="8463" width="6.33203125" style="4" customWidth="1"/>
    <col min="8464" max="8464" width="9.109375" style="4" customWidth="1"/>
    <col min="8465" max="8470" width="7.6640625" style="4" customWidth="1"/>
    <col min="8471" max="8471" width="1.88671875" style="4" customWidth="1"/>
    <col min="8472" max="8704" width="8.88671875" style="4"/>
    <col min="8705" max="8705" width="7.5546875" style="4" customWidth="1"/>
    <col min="8706" max="8706" width="7.33203125" style="4" customWidth="1"/>
    <col min="8707" max="8707" width="9.6640625" style="4" customWidth="1"/>
    <col min="8708" max="8709" width="6.6640625" style="4" customWidth="1"/>
    <col min="8710" max="8719" width="6.33203125" style="4" customWidth="1"/>
    <col min="8720" max="8720" width="9.109375" style="4" customWidth="1"/>
    <col min="8721" max="8726" width="7.6640625" style="4" customWidth="1"/>
    <col min="8727" max="8727" width="1.88671875" style="4" customWidth="1"/>
    <col min="8728" max="8960" width="8.88671875" style="4"/>
    <col min="8961" max="8961" width="7.5546875" style="4" customWidth="1"/>
    <col min="8962" max="8962" width="7.33203125" style="4" customWidth="1"/>
    <col min="8963" max="8963" width="9.6640625" style="4" customWidth="1"/>
    <col min="8964" max="8965" width="6.6640625" style="4" customWidth="1"/>
    <col min="8966" max="8975" width="6.33203125" style="4" customWidth="1"/>
    <col min="8976" max="8976" width="9.109375" style="4" customWidth="1"/>
    <col min="8977" max="8982" width="7.6640625" style="4" customWidth="1"/>
    <col min="8983" max="8983" width="1.88671875" style="4" customWidth="1"/>
    <col min="8984" max="9216" width="8.88671875" style="4"/>
    <col min="9217" max="9217" width="7.5546875" style="4" customWidth="1"/>
    <col min="9218" max="9218" width="7.33203125" style="4" customWidth="1"/>
    <col min="9219" max="9219" width="9.6640625" style="4" customWidth="1"/>
    <col min="9220" max="9221" width="6.6640625" style="4" customWidth="1"/>
    <col min="9222" max="9231" width="6.33203125" style="4" customWidth="1"/>
    <col min="9232" max="9232" width="9.109375" style="4" customWidth="1"/>
    <col min="9233" max="9238" width="7.6640625" style="4" customWidth="1"/>
    <col min="9239" max="9239" width="1.88671875" style="4" customWidth="1"/>
    <col min="9240" max="9472" width="8.88671875" style="4"/>
    <col min="9473" max="9473" width="7.5546875" style="4" customWidth="1"/>
    <col min="9474" max="9474" width="7.33203125" style="4" customWidth="1"/>
    <col min="9475" max="9475" width="9.6640625" style="4" customWidth="1"/>
    <col min="9476" max="9477" width="6.6640625" style="4" customWidth="1"/>
    <col min="9478" max="9487" width="6.33203125" style="4" customWidth="1"/>
    <col min="9488" max="9488" width="9.109375" style="4" customWidth="1"/>
    <col min="9489" max="9494" width="7.6640625" style="4" customWidth="1"/>
    <col min="9495" max="9495" width="1.88671875" style="4" customWidth="1"/>
    <col min="9496" max="9728" width="8.88671875" style="4"/>
    <col min="9729" max="9729" width="7.5546875" style="4" customWidth="1"/>
    <col min="9730" max="9730" width="7.33203125" style="4" customWidth="1"/>
    <col min="9731" max="9731" width="9.6640625" style="4" customWidth="1"/>
    <col min="9732" max="9733" width="6.6640625" style="4" customWidth="1"/>
    <col min="9734" max="9743" width="6.33203125" style="4" customWidth="1"/>
    <col min="9744" max="9744" width="9.109375" style="4" customWidth="1"/>
    <col min="9745" max="9750" width="7.6640625" style="4" customWidth="1"/>
    <col min="9751" max="9751" width="1.88671875" style="4" customWidth="1"/>
    <col min="9752" max="9984" width="8.88671875" style="4"/>
    <col min="9985" max="9985" width="7.5546875" style="4" customWidth="1"/>
    <col min="9986" max="9986" width="7.33203125" style="4" customWidth="1"/>
    <col min="9987" max="9987" width="9.6640625" style="4" customWidth="1"/>
    <col min="9988" max="9989" width="6.6640625" style="4" customWidth="1"/>
    <col min="9990" max="9999" width="6.33203125" style="4" customWidth="1"/>
    <col min="10000" max="10000" width="9.109375" style="4" customWidth="1"/>
    <col min="10001" max="10006" width="7.6640625" style="4" customWidth="1"/>
    <col min="10007" max="10007" width="1.88671875" style="4" customWidth="1"/>
    <col min="10008" max="10240" width="8.88671875" style="4"/>
    <col min="10241" max="10241" width="7.5546875" style="4" customWidth="1"/>
    <col min="10242" max="10242" width="7.33203125" style="4" customWidth="1"/>
    <col min="10243" max="10243" width="9.6640625" style="4" customWidth="1"/>
    <col min="10244" max="10245" width="6.6640625" style="4" customWidth="1"/>
    <col min="10246" max="10255" width="6.33203125" style="4" customWidth="1"/>
    <col min="10256" max="10256" width="9.109375" style="4" customWidth="1"/>
    <col min="10257" max="10262" width="7.6640625" style="4" customWidth="1"/>
    <col min="10263" max="10263" width="1.88671875" style="4" customWidth="1"/>
    <col min="10264" max="10496" width="8.88671875" style="4"/>
    <col min="10497" max="10497" width="7.5546875" style="4" customWidth="1"/>
    <col min="10498" max="10498" width="7.33203125" style="4" customWidth="1"/>
    <col min="10499" max="10499" width="9.6640625" style="4" customWidth="1"/>
    <col min="10500" max="10501" width="6.6640625" style="4" customWidth="1"/>
    <col min="10502" max="10511" width="6.33203125" style="4" customWidth="1"/>
    <col min="10512" max="10512" width="9.109375" style="4" customWidth="1"/>
    <col min="10513" max="10518" width="7.6640625" style="4" customWidth="1"/>
    <col min="10519" max="10519" width="1.88671875" style="4" customWidth="1"/>
    <col min="10520" max="10752" width="8.88671875" style="4"/>
    <col min="10753" max="10753" width="7.5546875" style="4" customWidth="1"/>
    <col min="10754" max="10754" width="7.33203125" style="4" customWidth="1"/>
    <col min="10755" max="10755" width="9.6640625" style="4" customWidth="1"/>
    <col min="10756" max="10757" width="6.6640625" style="4" customWidth="1"/>
    <col min="10758" max="10767" width="6.33203125" style="4" customWidth="1"/>
    <col min="10768" max="10768" width="9.109375" style="4" customWidth="1"/>
    <col min="10769" max="10774" width="7.6640625" style="4" customWidth="1"/>
    <col min="10775" max="10775" width="1.88671875" style="4" customWidth="1"/>
    <col min="10776" max="11008" width="8.88671875" style="4"/>
    <col min="11009" max="11009" width="7.5546875" style="4" customWidth="1"/>
    <col min="11010" max="11010" width="7.33203125" style="4" customWidth="1"/>
    <col min="11011" max="11011" width="9.6640625" style="4" customWidth="1"/>
    <col min="11012" max="11013" width="6.6640625" style="4" customWidth="1"/>
    <col min="11014" max="11023" width="6.33203125" style="4" customWidth="1"/>
    <col min="11024" max="11024" width="9.109375" style="4" customWidth="1"/>
    <col min="11025" max="11030" width="7.6640625" style="4" customWidth="1"/>
    <col min="11031" max="11031" width="1.88671875" style="4" customWidth="1"/>
    <col min="11032" max="11264" width="8.88671875" style="4"/>
    <col min="11265" max="11265" width="7.5546875" style="4" customWidth="1"/>
    <col min="11266" max="11266" width="7.33203125" style="4" customWidth="1"/>
    <col min="11267" max="11267" width="9.6640625" style="4" customWidth="1"/>
    <col min="11268" max="11269" width="6.6640625" style="4" customWidth="1"/>
    <col min="11270" max="11279" width="6.33203125" style="4" customWidth="1"/>
    <col min="11280" max="11280" width="9.109375" style="4" customWidth="1"/>
    <col min="11281" max="11286" width="7.6640625" style="4" customWidth="1"/>
    <col min="11287" max="11287" width="1.88671875" style="4" customWidth="1"/>
    <col min="11288" max="11520" width="8.88671875" style="4"/>
    <col min="11521" max="11521" width="7.5546875" style="4" customWidth="1"/>
    <col min="11522" max="11522" width="7.33203125" style="4" customWidth="1"/>
    <col min="11523" max="11523" width="9.6640625" style="4" customWidth="1"/>
    <col min="11524" max="11525" width="6.6640625" style="4" customWidth="1"/>
    <col min="11526" max="11535" width="6.33203125" style="4" customWidth="1"/>
    <col min="11536" max="11536" width="9.109375" style="4" customWidth="1"/>
    <col min="11537" max="11542" width="7.6640625" style="4" customWidth="1"/>
    <col min="11543" max="11543" width="1.88671875" style="4" customWidth="1"/>
    <col min="11544" max="11776" width="8.88671875" style="4"/>
    <col min="11777" max="11777" width="7.5546875" style="4" customWidth="1"/>
    <col min="11778" max="11778" width="7.33203125" style="4" customWidth="1"/>
    <col min="11779" max="11779" width="9.6640625" style="4" customWidth="1"/>
    <col min="11780" max="11781" width="6.6640625" style="4" customWidth="1"/>
    <col min="11782" max="11791" width="6.33203125" style="4" customWidth="1"/>
    <col min="11792" max="11792" width="9.109375" style="4" customWidth="1"/>
    <col min="11793" max="11798" width="7.6640625" style="4" customWidth="1"/>
    <col min="11799" max="11799" width="1.88671875" style="4" customWidth="1"/>
    <col min="11800" max="12032" width="8.88671875" style="4"/>
    <col min="12033" max="12033" width="7.5546875" style="4" customWidth="1"/>
    <col min="12034" max="12034" width="7.33203125" style="4" customWidth="1"/>
    <col min="12035" max="12035" width="9.6640625" style="4" customWidth="1"/>
    <col min="12036" max="12037" width="6.6640625" style="4" customWidth="1"/>
    <col min="12038" max="12047" width="6.33203125" style="4" customWidth="1"/>
    <col min="12048" max="12048" width="9.109375" style="4" customWidth="1"/>
    <col min="12049" max="12054" width="7.6640625" style="4" customWidth="1"/>
    <col min="12055" max="12055" width="1.88671875" style="4" customWidth="1"/>
    <col min="12056" max="12288" width="8.88671875" style="4"/>
    <col min="12289" max="12289" width="7.5546875" style="4" customWidth="1"/>
    <col min="12290" max="12290" width="7.33203125" style="4" customWidth="1"/>
    <col min="12291" max="12291" width="9.6640625" style="4" customWidth="1"/>
    <col min="12292" max="12293" width="6.6640625" style="4" customWidth="1"/>
    <col min="12294" max="12303" width="6.33203125" style="4" customWidth="1"/>
    <col min="12304" max="12304" width="9.109375" style="4" customWidth="1"/>
    <col min="12305" max="12310" width="7.6640625" style="4" customWidth="1"/>
    <col min="12311" max="12311" width="1.88671875" style="4" customWidth="1"/>
    <col min="12312" max="12544" width="8.88671875" style="4"/>
    <col min="12545" max="12545" width="7.5546875" style="4" customWidth="1"/>
    <col min="12546" max="12546" width="7.33203125" style="4" customWidth="1"/>
    <col min="12547" max="12547" width="9.6640625" style="4" customWidth="1"/>
    <col min="12548" max="12549" width="6.6640625" style="4" customWidth="1"/>
    <col min="12550" max="12559" width="6.33203125" style="4" customWidth="1"/>
    <col min="12560" max="12560" width="9.109375" style="4" customWidth="1"/>
    <col min="12561" max="12566" width="7.6640625" style="4" customWidth="1"/>
    <col min="12567" max="12567" width="1.88671875" style="4" customWidth="1"/>
    <col min="12568" max="12800" width="8.88671875" style="4"/>
    <col min="12801" max="12801" width="7.5546875" style="4" customWidth="1"/>
    <col min="12802" max="12802" width="7.33203125" style="4" customWidth="1"/>
    <col min="12803" max="12803" width="9.6640625" style="4" customWidth="1"/>
    <col min="12804" max="12805" width="6.6640625" style="4" customWidth="1"/>
    <col min="12806" max="12815" width="6.33203125" style="4" customWidth="1"/>
    <col min="12816" max="12816" width="9.109375" style="4" customWidth="1"/>
    <col min="12817" max="12822" width="7.6640625" style="4" customWidth="1"/>
    <col min="12823" max="12823" width="1.88671875" style="4" customWidth="1"/>
    <col min="12824" max="13056" width="8.88671875" style="4"/>
    <col min="13057" max="13057" width="7.5546875" style="4" customWidth="1"/>
    <col min="13058" max="13058" width="7.33203125" style="4" customWidth="1"/>
    <col min="13059" max="13059" width="9.6640625" style="4" customWidth="1"/>
    <col min="13060" max="13061" width="6.6640625" style="4" customWidth="1"/>
    <col min="13062" max="13071" width="6.33203125" style="4" customWidth="1"/>
    <col min="13072" max="13072" width="9.109375" style="4" customWidth="1"/>
    <col min="13073" max="13078" width="7.6640625" style="4" customWidth="1"/>
    <col min="13079" max="13079" width="1.88671875" style="4" customWidth="1"/>
    <col min="13080" max="13312" width="8.88671875" style="4"/>
    <col min="13313" max="13313" width="7.5546875" style="4" customWidth="1"/>
    <col min="13314" max="13314" width="7.33203125" style="4" customWidth="1"/>
    <col min="13315" max="13315" width="9.6640625" style="4" customWidth="1"/>
    <col min="13316" max="13317" width="6.6640625" style="4" customWidth="1"/>
    <col min="13318" max="13327" width="6.33203125" style="4" customWidth="1"/>
    <col min="13328" max="13328" width="9.109375" style="4" customWidth="1"/>
    <col min="13329" max="13334" width="7.6640625" style="4" customWidth="1"/>
    <col min="13335" max="13335" width="1.88671875" style="4" customWidth="1"/>
    <col min="13336" max="13568" width="8.88671875" style="4"/>
    <col min="13569" max="13569" width="7.5546875" style="4" customWidth="1"/>
    <col min="13570" max="13570" width="7.33203125" style="4" customWidth="1"/>
    <col min="13571" max="13571" width="9.6640625" style="4" customWidth="1"/>
    <col min="13572" max="13573" width="6.6640625" style="4" customWidth="1"/>
    <col min="13574" max="13583" width="6.33203125" style="4" customWidth="1"/>
    <col min="13584" max="13584" width="9.109375" style="4" customWidth="1"/>
    <col min="13585" max="13590" width="7.6640625" style="4" customWidth="1"/>
    <col min="13591" max="13591" width="1.88671875" style="4" customWidth="1"/>
    <col min="13592" max="13824" width="8.88671875" style="4"/>
    <col min="13825" max="13825" width="7.5546875" style="4" customWidth="1"/>
    <col min="13826" max="13826" width="7.33203125" style="4" customWidth="1"/>
    <col min="13827" max="13827" width="9.6640625" style="4" customWidth="1"/>
    <col min="13828" max="13829" width="6.6640625" style="4" customWidth="1"/>
    <col min="13830" max="13839" width="6.33203125" style="4" customWidth="1"/>
    <col min="13840" max="13840" width="9.109375" style="4" customWidth="1"/>
    <col min="13841" max="13846" width="7.6640625" style="4" customWidth="1"/>
    <col min="13847" max="13847" width="1.88671875" style="4" customWidth="1"/>
    <col min="13848" max="14080" width="8.88671875" style="4"/>
    <col min="14081" max="14081" width="7.5546875" style="4" customWidth="1"/>
    <col min="14082" max="14082" width="7.33203125" style="4" customWidth="1"/>
    <col min="14083" max="14083" width="9.6640625" style="4" customWidth="1"/>
    <col min="14084" max="14085" width="6.6640625" style="4" customWidth="1"/>
    <col min="14086" max="14095" width="6.33203125" style="4" customWidth="1"/>
    <col min="14096" max="14096" width="9.109375" style="4" customWidth="1"/>
    <col min="14097" max="14102" width="7.6640625" style="4" customWidth="1"/>
    <col min="14103" max="14103" width="1.88671875" style="4" customWidth="1"/>
    <col min="14104" max="14336" width="8.88671875" style="4"/>
    <col min="14337" max="14337" width="7.5546875" style="4" customWidth="1"/>
    <col min="14338" max="14338" width="7.33203125" style="4" customWidth="1"/>
    <col min="14339" max="14339" width="9.6640625" style="4" customWidth="1"/>
    <col min="14340" max="14341" width="6.6640625" style="4" customWidth="1"/>
    <col min="14342" max="14351" width="6.33203125" style="4" customWidth="1"/>
    <col min="14352" max="14352" width="9.109375" style="4" customWidth="1"/>
    <col min="14353" max="14358" width="7.6640625" style="4" customWidth="1"/>
    <col min="14359" max="14359" width="1.88671875" style="4" customWidth="1"/>
    <col min="14360" max="14592" width="8.88671875" style="4"/>
    <col min="14593" max="14593" width="7.5546875" style="4" customWidth="1"/>
    <col min="14594" max="14594" width="7.33203125" style="4" customWidth="1"/>
    <col min="14595" max="14595" width="9.6640625" style="4" customWidth="1"/>
    <col min="14596" max="14597" width="6.6640625" style="4" customWidth="1"/>
    <col min="14598" max="14607" width="6.33203125" style="4" customWidth="1"/>
    <col min="14608" max="14608" width="9.109375" style="4" customWidth="1"/>
    <col min="14609" max="14614" width="7.6640625" style="4" customWidth="1"/>
    <col min="14615" max="14615" width="1.88671875" style="4" customWidth="1"/>
    <col min="14616" max="14848" width="8.88671875" style="4"/>
    <col min="14849" max="14849" width="7.5546875" style="4" customWidth="1"/>
    <col min="14850" max="14850" width="7.33203125" style="4" customWidth="1"/>
    <col min="14851" max="14851" width="9.6640625" style="4" customWidth="1"/>
    <col min="14852" max="14853" width="6.6640625" style="4" customWidth="1"/>
    <col min="14854" max="14863" width="6.33203125" style="4" customWidth="1"/>
    <col min="14864" max="14864" width="9.109375" style="4" customWidth="1"/>
    <col min="14865" max="14870" width="7.6640625" style="4" customWidth="1"/>
    <col min="14871" max="14871" width="1.88671875" style="4" customWidth="1"/>
    <col min="14872" max="15104" width="8.88671875" style="4"/>
    <col min="15105" max="15105" width="7.5546875" style="4" customWidth="1"/>
    <col min="15106" max="15106" width="7.33203125" style="4" customWidth="1"/>
    <col min="15107" max="15107" width="9.6640625" style="4" customWidth="1"/>
    <col min="15108" max="15109" width="6.6640625" style="4" customWidth="1"/>
    <col min="15110" max="15119" width="6.33203125" style="4" customWidth="1"/>
    <col min="15120" max="15120" width="9.109375" style="4" customWidth="1"/>
    <col min="15121" max="15126" width="7.6640625" style="4" customWidth="1"/>
    <col min="15127" max="15127" width="1.88671875" style="4" customWidth="1"/>
    <col min="15128" max="15360" width="8.88671875" style="4"/>
    <col min="15361" max="15361" width="7.5546875" style="4" customWidth="1"/>
    <col min="15362" max="15362" width="7.33203125" style="4" customWidth="1"/>
    <col min="15363" max="15363" width="9.6640625" style="4" customWidth="1"/>
    <col min="15364" max="15365" width="6.6640625" style="4" customWidth="1"/>
    <col min="15366" max="15375" width="6.33203125" style="4" customWidth="1"/>
    <col min="15376" max="15376" width="9.109375" style="4" customWidth="1"/>
    <col min="15377" max="15382" width="7.6640625" style="4" customWidth="1"/>
    <col min="15383" max="15383" width="1.88671875" style="4" customWidth="1"/>
    <col min="15384" max="15616" width="8.88671875" style="4"/>
    <col min="15617" max="15617" width="7.5546875" style="4" customWidth="1"/>
    <col min="15618" max="15618" width="7.33203125" style="4" customWidth="1"/>
    <col min="15619" max="15619" width="9.6640625" style="4" customWidth="1"/>
    <col min="15620" max="15621" width="6.6640625" style="4" customWidth="1"/>
    <col min="15622" max="15631" width="6.33203125" style="4" customWidth="1"/>
    <col min="15632" max="15632" width="9.109375" style="4" customWidth="1"/>
    <col min="15633" max="15638" width="7.6640625" style="4" customWidth="1"/>
    <col min="15639" max="15639" width="1.88671875" style="4" customWidth="1"/>
    <col min="15640" max="15872" width="8.88671875" style="4"/>
    <col min="15873" max="15873" width="7.5546875" style="4" customWidth="1"/>
    <col min="15874" max="15874" width="7.33203125" style="4" customWidth="1"/>
    <col min="15875" max="15875" width="9.6640625" style="4" customWidth="1"/>
    <col min="15876" max="15877" width="6.6640625" style="4" customWidth="1"/>
    <col min="15878" max="15887" width="6.33203125" style="4" customWidth="1"/>
    <col min="15888" max="15888" width="9.109375" style="4" customWidth="1"/>
    <col min="15889" max="15894" width="7.6640625" style="4" customWidth="1"/>
    <col min="15895" max="15895" width="1.88671875" style="4" customWidth="1"/>
    <col min="15896" max="16128" width="8.88671875" style="4"/>
    <col min="16129" max="16129" width="7.5546875" style="4" customWidth="1"/>
    <col min="16130" max="16130" width="7.33203125" style="4" customWidth="1"/>
    <col min="16131" max="16131" width="9.6640625" style="4" customWidth="1"/>
    <col min="16132" max="16133" width="6.6640625" style="4" customWidth="1"/>
    <col min="16134" max="16143" width="6.33203125" style="4" customWidth="1"/>
    <col min="16144" max="16144" width="9.109375" style="4" customWidth="1"/>
    <col min="16145" max="16150" width="7.6640625" style="4" customWidth="1"/>
    <col min="16151" max="16151" width="1.88671875" style="4" customWidth="1"/>
    <col min="16152" max="16384" width="8.88671875" style="4"/>
  </cols>
  <sheetData>
    <row r="1" spans="2:23" ht="8.25" customHeight="1"/>
    <row r="2" spans="2:23" ht="15" customHeight="1">
      <c r="C2" s="5" t="s">
        <v>0</v>
      </c>
    </row>
    <row r="3" spans="2:23" ht="15" customHeight="1">
      <c r="C3" s="5" t="s">
        <v>1</v>
      </c>
    </row>
    <row r="4" spans="2:23" ht="9" customHeight="1"/>
    <row r="5" spans="2:23" ht="6" customHeight="1"/>
    <row r="6" spans="2:23" ht="16.95" customHeight="1">
      <c r="B6" s="332" t="s">
        <v>211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8"/>
    </row>
    <row r="7" spans="2:23" ht="6.75" customHeight="1" thickBot="1"/>
    <row r="8" spans="2:23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</row>
    <row r="9" spans="2:23" s="14" customFormat="1" ht="15" customHeight="1">
      <c r="B9" s="15" t="s">
        <v>3</v>
      </c>
      <c r="C9" s="16"/>
      <c r="D9" s="17"/>
      <c r="E9" s="17" t="s">
        <v>4</v>
      </c>
      <c r="F9" s="219" t="str">
        <f>'Link List'!D3</f>
        <v>044</v>
      </c>
      <c r="G9" s="17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2"/>
    </row>
    <row r="10" spans="2:23" s="14" customFormat="1" ht="6.9" customHeight="1" thickBot="1">
      <c r="B10" s="15"/>
      <c r="C10" s="16"/>
      <c r="D10" s="17"/>
      <c r="E10" s="17"/>
      <c r="F10" s="219"/>
      <c r="G10" s="17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6"/>
    </row>
    <row r="11" spans="2:23" s="14" customFormat="1" ht="6.9" customHeight="1">
      <c r="B11" s="9"/>
      <c r="C11" s="10"/>
      <c r="D11" s="11"/>
      <c r="E11" s="11"/>
      <c r="F11" s="220"/>
      <c r="G11" s="11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13"/>
    </row>
    <row r="12" spans="2:23" s="14" customFormat="1" ht="15" customHeight="1">
      <c r="B12" s="15" t="s">
        <v>5</v>
      </c>
      <c r="C12" s="16"/>
      <c r="D12" s="17"/>
      <c r="E12" s="17" t="s">
        <v>4</v>
      </c>
      <c r="F12" s="219" t="str">
        <f>'Link List'!F3</f>
        <v>SP TELUK KILUAN - SP. UMBAR</v>
      </c>
      <c r="G12" s="17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2"/>
    </row>
    <row r="13" spans="2:23" s="14" customFormat="1" ht="6.9" customHeight="1" thickBot="1">
      <c r="B13" s="15"/>
      <c r="C13" s="16"/>
      <c r="D13" s="31"/>
      <c r="E13" s="31"/>
      <c r="F13" s="221"/>
      <c r="G13" s="31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6"/>
    </row>
    <row r="14" spans="2:23" s="14" customFormat="1" ht="6.9" customHeight="1">
      <c r="B14" s="9"/>
      <c r="C14" s="10"/>
      <c r="D14" s="11"/>
      <c r="E14" s="11"/>
      <c r="F14" s="220"/>
      <c r="G14" s="11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13"/>
    </row>
    <row r="15" spans="2:23" s="14" customFormat="1" ht="15" customHeight="1">
      <c r="B15" s="15" t="s">
        <v>157</v>
      </c>
      <c r="C15" s="16"/>
      <c r="D15" s="17"/>
      <c r="E15" s="17" t="s">
        <v>4</v>
      </c>
      <c r="F15" s="219">
        <f>'Link List'!I3</f>
        <v>25.157</v>
      </c>
      <c r="G15" s="17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22"/>
    </row>
    <row r="16" spans="2:23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6"/>
    </row>
    <row r="17" spans="1:22" s="34" customFormat="1" ht="9.9" customHeight="1" thickBot="1">
      <c r="C17" s="35"/>
      <c r="D17" s="35"/>
      <c r="E17" s="35"/>
      <c r="F17" s="35"/>
      <c r="G17" s="35"/>
    </row>
    <row r="18" spans="1:22" s="34" customFormat="1" ht="25.2" customHeight="1" thickBot="1">
      <c r="B18" s="95"/>
      <c r="C18" s="333" t="s">
        <v>7</v>
      </c>
      <c r="D18" s="333"/>
      <c r="E18" s="334"/>
      <c r="F18" s="335" t="s">
        <v>170</v>
      </c>
      <c r="G18" s="337" t="s">
        <v>173</v>
      </c>
      <c r="H18" s="358" t="s">
        <v>212</v>
      </c>
      <c r="I18" s="359"/>
      <c r="J18" s="359"/>
      <c r="K18" s="359"/>
      <c r="L18" s="359"/>
      <c r="M18" s="359"/>
      <c r="N18" s="359"/>
      <c r="O18" s="359"/>
      <c r="P18" s="359"/>
      <c r="Q18" s="359"/>
      <c r="R18" s="359"/>
      <c r="S18" s="359"/>
      <c r="T18" s="359"/>
      <c r="U18" s="360"/>
      <c r="V18" s="327" t="s">
        <v>11</v>
      </c>
    </row>
    <row r="19" spans="1:22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36"/>
      <c r="G19" s="338"/>
      <c r="H19" s="178" t="s">
        <v>214</v>
      </c>
      <c r="I19" s="110" t="s">
        <v>210</v>
      </c>
      <c r="J19" s="110" t="s">
        <v>219</v>
      </c>
      <c r="K19" s="110" t="s">
        <v>220</v>
      </c>
      <c r="L19" s="110" t="s">
        <v>221</v>
      </c>
      <c r="M19" s="107" t="s">
        <v>222</v>
      </c>
      <c r="N19" s="108" t="s">
        <v>223</v>
      </c>
      <c r="O19" s="109" t="s">
        <v>224</v>
      </c>
      <c r="P19" s="109" t="s">
        <v>225</v>
      </c>
      <c r="Q19" s="107" t="s">
        <v>226</v>
      </c>
      <c r="R19" s="108" t="s">
        <v>227</v>
      </c>
      <c r="S19" s="109" t="s">
        <v>228</v>
      </c>
      <c r="T19" s="108" t="s">
        <v>229</v>
      </c>
      <c r="U19" s="109" t="s">
        <v>230</v>
      </c>
      <c r="V19" s="328"/>
    </row>
    <row r="20" spans="1:22" s="103" customFormat="1" ht="12" customHeight="1">
      <c r="B20" s="329">
        <v>1</v>
      </c>
      <c r="C20" s="330"/>
      <c r="D20" s="330"/>
      <c r="E20" s="330"/>
      <c r="F20" s="330"/>
      <c r="G20" s="331"/>
      <c r="H20" s="355">
        <v>2</v>
      </c>
      <c r="I20" s="357"/>
      <c r="J20" s="102">
        <v>3</v>
      </c>
      <c r="K20" s="102">
        <v>4</v>
      </c>
      <c r="L20" s="102">
        <v>5</v>
      </c>
      <c r="M20" s="355">
        <v>6</v>
      </c>
      <c r="N20" s="356"/>
      <c r="O20" s="357"/>
      <c r="P20" s="186">
        <v>7</v>
      </c>
      <c r="Q20" s="355">
        <v>8</v>
      </c>
      <c r="R20" s="356"/>
      <c r="S20" s="357"/>
      <c r="T20" s="356">
        <v>9</v>
      </c>
      <c r="U20" s="357"/>
      <c r="V20" s="104">
        <v>10</v>
      </c>
    </row>
    <row r="21" spans="1:22" s="35" customFormat="1" ht="17.100000000000001" customHeight="1">
      <c r="A21" s="35" t="s">
        <v>38</v>
      </c>
      <c r="B21" s="105"/>
      <c r="C21" s="54">
        <f>NOTE!J10</f>
        <v>1000</v>
      </c>
      <c r="D21" s="96">
        <f>C21+100</f>
        <v>1100</v>
      </c>
      <c r="E21" s="111">
        <v>3</v>
      </c>
      <c r="F21" s="112">
        <f t="shared" ref="F21:F23" si="0">(100/((D21-C21)*E21))*((I21*0.05)+(J21*0.05)+(K21*0.05)+(L21)+(O21)+(S21*1.5)+(T21*1))</f>
        <v>100</v>
      </c>
      <c r="G21" s="113" t="str">
        <f t="shared" ref="G21:G23" si="1">IF(F21&lt;=25,"RB",IF(F21&lt;=75,"RB",IF(F21&lt;=100,"RB","RB")))</f>
        <v>RB</v>
      </c>
      <c r="H21" s="183">
        <f>'3. Back Up Non Aspal'!H28</f>
        <v>1</v>
      </c>
      <c r="I21" s="101">
        <f>'3. Back Up Non Aspal'!K28</f>
        <v>0</v>
      </c>
      <c r="J21" s="101">
        <f>'3. Back Up Non Aspal'!N28</f>
        <v>0</v>
      </c>
      <c r="K21" s="101">
        <f>'3. Back Up Non Aspal'!Q28</f>
        <v>0</v>
      </c>
      <c r="L21" s="101">
        <f>'3. Back Up Non Aspal'!T28</f>
        <v>300</v>
      </c>
      <c r="M21" s="183">
        <f>'3. Back Up Non Aspal'!U28</f>
        <v>1</v>
      </c>
      <c r="N21" s="99">
        <f>'3. Back Up Non Aspal'!V28</f>
        <v>1</v>
      </c>
      <c r="O21" s="101">
        <f>'3. Back Up Non Aspal'!Y28</f>
        <v>0</v>
      </c>
      <c r="P21" s="101">
        <f>'3. Back Up Non Aspal'!Z28</f>
        <v>1</v>
      </c>
      <c r="Q21" s="183">
        <f>'3. Back Up Non Aspal'!AA28</f>
        <v>0</v>
      </c>
      <c r="R21" s="99">
        <f>'3. Back Up Non Aspal'!AB28</f>
        <v>1</v>
      </c>
      <c r="S21" s="101">
        <f>'3. Back Up Non Aspal'!AE28</f>
        <v>0</v>
      </c>
      <c r="T21" s="99">
        <f>'3. Back Up Non Aspal'!AH28</f>
        <v>0</v>
      </c>
      <c r="U21" s="101">
        <f>'3. Back Up Non Aspal'!AI28</f>
        <v>1</v>
      </c>
      <c r="V21" s="106"/>
    </row>
    <row r="22" spans="1:22" s="35" customFormat="1" ht="17.100000000000001" customHeight="1">
      <c r="B22" s="105"/>
      <c r="C22" s="54">
        <f>D21</f>
        <v>1100</v>
      </c>
      <c r="D22" s="96">
        <f>C22+100</f>
        <v>1200</v>
      </c>
      <c r="E22" s="111">
        <v>3</v>
      </c>
      <c r="F22" s="112">
        <f t="shared" si="0"/>
        <v>100</v>
      </c>
      <c r="G22" s="113" t="str">
        <f t="shared" si="1"/>
        <v>RB</v>
      </c>
      <c r="H22" s="183">
        <f>'3. Back Up Non Aspal'!H36</f>
        <v>1</v>
      </c>
      <c r="I22" s="101">
        <f>'3. Back Up Non Aspal'!K36</f>
        <v>0</v>
      </c>
      <c r="J22" s="101">
        <f>'3. Back Up Non Aspal'!N36</f>
        <v>0</v>
      </c>
      <c r="K22" s="101">
        <f>'3. Back Up Non Aspal'!Q36</f>
        <v>0</v>
      </c>
      <c r="L22" s="101">
        <f>'3. Back Up Non Aspal'!T36</f>
        <v>300</v>
      </c>
      <c r="M22" s="183">
        <f>'3. Back Up Non Aspal'!U36</f>
        <v>1</v>
      </c>
      <c r="N22" s="99">
        <f>'3. Back Up Non Aspal'!V36</f>
        <v>1</v>
      </c>
      <c r="O22" s="101">
        <f>'3. Back Up Non Aspal'!Y36</f>
        <v>0</v>
      </c>
      <c r="P22" s="101">
        <f>'3. Back Up Non Aspal'!Z36</f>
        <v>1</v>
      </c>
      <c r="Q22" s="183">
        <f>'3. Back Up Non Aspal'!AA36</f>
        <v>0</v>
      </c>
      <c r="R22" s="99">
        <f>'3. Back Up Non Aspal'!AB36</f>
        <v>1</v>
      </c>
      <c r="S22" s="101">
        <f>'3. Back Up Non Aspal'!AE36</f>
        <v>0</v>
      </c>
      <c r="T22" s="99">
        <f>'3. Back Up Non Aspal'!AH36</f>
        <v>0</v>
      </c>
      <c r="U22" s="101">
        <f>'3. Back Up Non Aspal'!AI36</f>
        <v>1</v>
      </c>
      <c r="V22" s="106"/>
    </row>
    <row r="23" spans="1:22" s="35" customFormat="1" ht="17.100000000000001" customHeight="1">
      <c r="B23" s="105"/>
      <c r="C23" s="54">
        <f t="shared" ref="C23" si="2">D22</f>
        <v>1200</v>
      </c>
      <c r="D23" s="96">
        <f t="shared" ref="D23" si="3">C23+100</f>
        <v>1300</v>
      </c>
      <c r="E23" s="111">
        <v>3</v>
      </c>
      <c r="F23" s="112">
        <f t="shared" si="0"/>
        <v>100</v>
      </c>
      <c r="G23" s="113" t="str">
        <f t="shared" si="1"/>
        <v>RB</v>
      </c>
      <c r="H23" s="183">
        <f>'3. Back Up Non Aspal'!H44</f>
        <v>1</v>
      </c>
      <c r="I23" s="101">
        <f>'3. Back Up Non Aspal'!K44</f>
        <v>0</v>
      </c>
      <c r="J23" s="101">
        <f>'3. Back Up Non Aspal'!N44</f>
        <v>0</v>
      </c>
      <c r="K23" s="101">
        <f>'3. Back Up Non Aspal'!Q44</f>
        <v>0</v>
      </c>
      <c r="L23" s="101">
        <f>'3. Back Up Non Aspal'!T44</f>
        <v>300</v>
      </c>
      <c r="M23" s="183">
        <f>'3. Back Up Non Aspal'!U57</f>
        <v>1</v>
      </c>
      <c r="N23" s="99">
        <f>'3. Back Up Non Aspal'!V57</f>
        <v>1</v>
      </c>
      <c r="O23" s="101">
        <f>'3. Back Up Non Aspal'!Y57</f>
        <v>0</v>
      </c>
      <c r="P23" s="101">
        <f>'3. Back Up Non Aspal'!Z57</f>
        <v>1</v>
      </c>
      <c r="Q23" s="183">
        <f>'3. Back Up Non Aspal'!AA57</f>
        <v>0</v>
      </c>
      <c r="R23" s="99">
        <f>'3. Back Up Non Aspal'!AB57</f>
        <v>1</v>
      </c>
      <c r="S23" s="101">
        <f>'3. Back Up Non Aspal'!AE57</f>
        <v>0</v>
      </c>
      <c r="T23" s="99">
        <f>'3. Back Up Non Aspal'!AH57</f>
        <v>0</v>
      </c>
      <c r="U23" s="101">
        <f>'3. Back Up Non Aspal'!AI57</f>
        <v>1</v>
      </c>
      <c r="V23" s="106"/>
    </row>
    <row r="24" spans="1:22" s="35" customFormat="1" ht="17.100000000000001" customHeight="1">
      <c r="B24" s="105"/>
      <c r="C24" s="54">
        <f>D23</f>
        <v>1300</v>
      </c>
      <c r="D24" s="96">
        <f>C24+100</f>
        <v>1400</v>
      </c>
      <c r="E24" s="111">
        <v>3</v>
      </c>
      <c r="F24" s="112">
        <f t="shared" ref="F24:F80" si="4">(100/((D24-C24)*E24))*((I24*0.05)+(J24*0.05)+(K24*0.05)+(L24)+(O24)+(S24*1.5)+(T24*1))</f>
        <v>100</v>
      </c>
      <c r="G24" s="113" t="str">
        <f t="shared" ref="G24:G80" si="5">IF(F24&lt;=25,"RB",IF(F24&lt;=75,"RB",IF(F24&lt;=100,"RB","RB")))</f>
        <v>RB</v>
      </c>
      <c r="H24" s="183">
        <f>'3. Back Up Non Aspal'!H52</f>
        <v>1</v>
      </c>
      <c r="I24" s="101">
        <f>'3. Back Up Non Aspal'!K52</f>
        <v>0</v>
      </c>
      <c r="J24" s="101">
        <f>'3. Back Up Non Aspal'!N52</f>
        <v>0</v>
      </c>
      <c r="K24" s="101">
        <f>'3. Back Up Non Aspal'!Q52</f>
        <v>0</v>
      </c>
      <c r="L24" s="101">
        <f>'3. Back Up Non Aspal'!T52</f>
        <v>300</v>
      </c>
      <c r="M24" s="183">
        <f>'3. Back Up Non Aspal'!U52</f>
        <v>1</v>
      </c>
      <c r="N24" s="99">
        <f>'3. Back Up Non Aspal'!V52</f>
        <v>1</v>
      </c>
      <c r="O24" s="101">
        <f>'3. Back Up Non Aspal'!Y52</f>
        <v>0</v>
      </c>
      <c r="P24" s="101">
        <f>'3. Back Up Non Aspal'!Z52</f>
        <v>1</v>
      </c>
      <c r="Q24" s="183">
        <f>'3. Back Up Non Aspal'!AA52</f>
        <v>0</v>
      </c>
      <c r="R24" s="99">
        <f>'3. Back Up Non Aspal'!AB52</f>
        <v>1</v>
      </c>
      <c r="S24" s="101">
        <f>'3. Back Up Non Aspal'!AE52</f>
        <v>0</v>
      </c>
      <c r="T24" s="99">
        <f>'3. Back Up Non Aspal'!AH52</f>
        <v>0</v>
      </c>
      <c r="U24" s="101">
        <f>'3. Back Up Non Aspal'!AI52</f>
        <v>1</v>
      </c>
      <c r="V24" s="106"/>
    </row>
    <row r="25" spans="1:22" s="35" customFormat="1" ht="17.100000000000001" customHeight="1">
      <c r="B25" s="105"/>
      <c r="C25" s="54">
        <f t="shared" ref="C25:C81" si="6">D24</f>
        <v>1400</v>
      </c>
      <c r="D25" s="96">
        <f t="shared" ref="D25:D83" si="7">C25+100</f>
        <v>1500</v>
      </c>
      <c r="E25" s="111">
        <v>3</v>
      </c>
      <c r="F25" s="112">
        <f t="shared" si="4"/>
        <v>166.66666666666666</v>
      </c>
      <c r="G25" s="113" t="str">
        <f t="shared" si="5"/>
        <v>RB</v>
      </c>
      <c r="H25" s="183">
        <f>'3. Back Up Non Aspal'!H60</f>
        <v>1</v>
      </c>
      <c r="I25" s="101">
        <f>'3. Back Up Non Aspal'!K60</f>
        <v>0</v>
      </c>
      <c r="J25" s="101">
        <f>'3. Back Up Non Aspal'!N60</f>
        <v>0</v>
      </c>
      <c r="K25" s="101">
        <f>'3. Back Up Non Aspal'!Q60</f>
        <v>0</v>
      </c>
      <c r="L25" s="101">
        <f>'3. Back Up Non Aspal'!T60</f>
        <v>300</v>
      </c>
      <c r="M25" s="183">
        <f>'3. Back Up Non Aspal'!U60</f>
        <v>3</v>
      </c>
      <c r="N25" s="99">
        <f>'3. Back Up Non Aspal'!V60</f>
        <v>4</v>
      </c>
      <c r="O25" s="101">
        <f>'3. Back Up Non Aspal'!Y60</f>
        <v>200</v>
      </c>
      <c r="P25" s="101">
        <f>'3. Back Up Non Aspal'!Z60</f>
        <v>1</v>
      </c>
      <c r="Q25" s="183">
        <f>'3. Back Up Non Aspal'!AA60</f>
        <v>0</v>
      </c>
      <c r="R25" s="99">
        <f>'3. Back Up Non Aspal'!AB60</f>
        <v>1</v>
      </c>
      <c r="S25" s="101">
        <f>'3. Back Up Non Aspal'!AE60</f>
        <v>0</v>
      </c>
      <c r="T25" s="99">
        <f>'3. Back Up Non Aspal'!AH60</f>
        <v>0</v>
      </c>
      <c r="U25" s="101">
        <f>'3. Back Up Non Aspal'!AI60</f>
        <v>1</v>
      </c>
      <c r="V25" s="106"/>
    </row>
    <row r="26" spans="1:22" s="35" customFormat="1" ht="17.100000000000001" customHeight="1">
      <c r="B26" s="105"/>
      <c r="C26" s="54">
        <f t="shared" si="6"/>
        <v>1500</v>
      </c>
      <c r="D26" s="96">
        <f t="shared" si="7"/>
        <v>1600</v>
      </c>
      <c r="E26" s="111">
        <v>3</v>
      </c>
      <c r="F26" s="112">
        <f t="shared" si="4"/>
        <v>66.666666666666657</v>
      </c>
      <c r="G26" s="113" t="str">
        <f t="shared" si="5"/>
        <v>RB</v>
      </c>
      <c r="H26" s="183">
        <f>'3. Back Up Non Aspal'!H68</f>
        <v>1</v>
      </c>
      <c r="I26" s="101">
        <f>'3. Back Up Non Aspal'!K68</f>
        <v>0</v>
      </c>
      <c r="J26" s="101">
        <f>'3. Back Up Non Aspal'!N68</f>
        <v>0</v>
      </c>
      <c r="K26" s="101">
        <f>'3. Back Up Non Aspal'!Q68</f>
        <v>0</v>
      </c>
      <c r="L26" s="101">
        <f>'3. Back Up Non Aspal'!T68</f>
        <v>200</v>
      </c>
      <c r="M26" s="183">
        <f>'3. Back Up Non Aspal'!U68</f>
        <v>1</v>
      </c>
      <c r="N26" s="99">
        <f>'3. Back Up Non Aspal'!V68</f>
        <v>1</v>
      </c>
      <c r="O26" s="101">
        <f>'3. Back Up Non Aspal'!Y68</f>
        <v>0</v>
      </c>
      <c r="P26" s="101">
        <f>'3. Back Up Non Aspal'!Z68</f>
        <v>1</v>
      </c>
      <c r="Q26" s="183">
        <f>'3. Back Up Non Aspal'!AA68</f>
        <v>0</v>
      </c>
      <c r="R26" s="99">
        <f>'3. Back Up Non Aspal'!AB68</f>
        <v>1</v>
      </c>
      <c r="S26" s="101">
        <f>'3. Back Up Non Aspal'!AE68</f>
        <v>0</v>
      </c>
      <c r="T26" s="99">
        <f>'3. Back Up Non Aspal'!AH68</f>
        <v>0</v>
      </c>
      <c r="U26" s="101">
        <f>'3. Back Up Non Aspal'!AI68</f>
        <v>1</v>
      </c>
      <c r="V26" s="106"/>
    </row>
    <row r="27" spans="1:22" s="35" customFormat="1" ht="17.100000000000001" customHeight="1">
      <c r="B27" s="105"/>
      <c r="C27" s="54">
        <f t="shared" si="6"/>
        <v>1600</v>
      </c>
      <c r="D27" s="96">
        <f t="shared" si="7"/>
        <v>1700</v>
      </c>
      <c r="E27" s="111">
        <v>3</v>
      </c>
      <c r="F27" s="112">
        <f t="shared" si="4"/>
        <v>66.666666666666657</v>
      </c>
      <c r="G27" s="113" t="str">
        <f t="shared" si="5"/>
        <v>RB</v>
      </c>
      <c r="H27" s="183">
        <f>'3. Back Up Non Aspal'!H76</f>
        <v>1</v>
      </c>
      <c r="I27" s="101">
        <f>'3. Back Up Non Aspal'!K76</f>
        <v>0</v>
      </c>
      <c r="J27" s="101">
        <f>'3. Back Up Non Aspal'!N76</f>
        <v>0</v>
      </c>
      <c r="K27" s="101">
        <f>'3. Back Up Non Aspal'!Q76</f>
        <v>0</v>
      </c>
      <c r="L27" s="101">
        <f>'3. Back Up Non Aspal'!T76</f>
        <v>200</v>
      </c>
      <c r="M27" s="183">
        <f>'3. Back Up Non Aspal'!U76</f>
        <v>1</v>
      </c>
      <c r="N27" s="99">
        <f>'3. Back Up Non Aspal'!V76</f>
        <v>1</v>
      </c>
      <c r="O27" s="101">
        <f>'3. Back Up Non Aspal'!Y76</f>
        <v>0</v>
      </c>
      <c r="P27" s="101">
        <f>'3. Back Up Non Aspal'!Z76</f>
        <v>1</v>
      </c>
      <c r="Q27" s="183">
        <f>'3. Back Up Non Aspal'!AA76</f>
        <v>0</v>
      </c>
      <c r="R27" s="99">
        <f>'3. Back Up Non Aspal'!AB76</f>
        <v>1</v>
      </c>
      <c r="S27" s="101">
        <f>'3. Back Up Non Aspal'!AE76</f>
        <v>0</v>
      </c>
      <c r="T27" s="99">
        <f>'3. Back Up Non Aspal'!AH76</f>
        <v>0</v>
      </c>
      <c r="U27" s="101">
        <f>'3. Back Up Non Aspal'!AI76</f>
        <v>1</v>
      </c>
      <c r="V27" s="106"/>
    </row>
    <row r="28" spans="1:22" s="35" customFormat="1" ht="17.100000000000001" customHeight="1">
      <c r="B28" s="105"/>
      <c r="C28" s="54">
        <f t="shared" si="6"/>
        <v>1700</v>
      </c>
      <c r="D28" s="96">
        <f t="shared" si="7"/>
        <v>1800</v>
      </c>
      <c r="E28" s="111">
        <v>3</v>
      </c>
      <c r="F28" s="112">
        <f t="shared" si="4"/>
        <v>66.666666666666657</v>
      </c>
      <c r="G28" s="113" t="str">
        <f t="shared" si="5"/>
        <v>RB</v>
      </c>
      <c r="H28" s="183">
        <f>'3. Back Up Non Aspal'!H84</f>
        <v>1</v>
      </c>
      <c r="I28" s="101">
        <f>'3. Back Up Non Aspal'!K84</f>
        <v>0</v>
      </c>
      <c r="J28" s="101">
        <f>'3. Back Up Non Aspal'!N84</f>
        <v>0</v>
      </c>
      <c r="K28" s="101">
        <f>'3. Back Up Non Aspal'!Q84</f>
        <v>0</v>
      </c>
      <c r="L28" s="101">
        <f>'3. Back Up Non Aspal'!T84</f>
        <v>200</v>
      </c>
      <c r="M28" s="183">
        <f>'3. Back Up Non Aspal'!U84</f>
        <v>1</v>
      </c>
      <c r="N28" s="99">
        <f>'3. Back Up Non Aspal'!V84</f>
        <v>1</v>
      </c>
      <c r="O28" s="101">
        <f>'3. Back Up Non Aspal'!Y84</f>
        <v>0</v>
      </c>
      <c r="P28" s="101">
        <f>'3. Back Up Non Aspal'!Z84</f>
        <v>1</v>
      </c>
      <c r="Q28" s="183">
        <f>'3. Back Up Non Aspal'!AA84</f>
        <v>0</v>
      </c>
      <c r="R28" s="99">
        <f>'3. Back Up Non Aspal'!AB84</f>
        <v>1</v>
      </c>
      <c r="S28" s="101">
        <f>'3. Back Up Non Aspal'!AE84</f>
        <v>0</v>
      </c>
      <c r="T28" s="99">
        <f>'3. Back Up Non Aspal'!AH84</f>
        <v>0</v>
      </c>
      <c r="U28" s="101">
        <f>'3. Back Up Non Aspal'!AI84</f>
        <v>1</v>
      </c>
      <c r="V28" s="106"/>
    </row>
    <row r="29" spans="1:22" s="35" customFormat="1" ht="17.100000000000001" customHeight="1">
      <c r="B29" s="105"/>
      <c r="C29" s="54">
        <f t="shared" si="6"/>
        <v>1800</v>
      </c>
      <c r="D29" s="96">
        <f t="shared" si="7"/>
        <v>1900</v>
      </c>
      <c r="E29" s="111">
        <v>3</v>
      </c>
      <c r="F29" s="112">
        <f t="shared" si="4"/>
        <v>66.666666666666657</v>
      </c>
      <c r="G29" s="113" t="str">
        <f t="shared" si="5"/>
        <v>RB</v>
      </c>
      <c r="H29" s="183">
        <f>'3. Back Up Non Aspal'!H92</f>
        <v>1</v>
      </c>
      <c r="I29" s="101">
        <f>'3. Back Up Non Aspal'!K92</f>
        <v>0</v>
      </c>
      <c r="J29" s="101">
        <f>'3. Back Up Non Aspal'!N92</f>
        <v>0</v>
      </c>
      <c r="K29" s="101">
        <f>'3. Back Up Non Aspal'!Q92</f>
        <v>0</v>
      </c>
      <c r="L29" s="101">
        <f>'3. Back Up Non Aspal'!T92</f>
        <v>200</v>
      </c>
      <c r="M29" s="183">
        <f>'3. Back Up Non Aspal'!U92</f>
        <v>1</v>
      </c>
      <c r="N29" s="99">
        <f>'3. Back Up Non Aspal'!V92</f>
        <v>1</v>
      </c>
      <c r="O29" s="101">
        <f>'3. Back Up Non Aspal'!Y92</f>
        <v>0</v>
      </c>
      <c r="P29" s="101">
        <f>'3. Back Up Non Aspal'!Z92</f>
        <v>1</v>
      </c>
      <c r="Q29" s="183">
        <f>'3. Back Up Non Aspal'!AA92</f>
        <v>0</v>
      </c>
      <c r="R29" s="99">
        <f>'3. Back Up Non Aspal'!AB92</f>
        <v>1</v>
      </c>
      <c r="S29" s="101">
        <f>'3. Back Up Non Aspal'!AE92</f>
        <v>0</v>
      </c>
      <c r="T29" s="99">
        <f>'3. Back Up Non Aspal'!AH92</f>
        <v>0</v>
      </c>
      <c r="U29" s="101">
        <f>'3. Back Up Non Aspal'!AI92</f>
        <v>1</v>
      </c>
      <c r="V29" s="106"/>
    </row>
    <row r="30" spans="1:22" s="35" customFormat="1" ht="17.100000000000001" customHeight="1">
      <c r="B30" s="105"/>
      <c r="C30" s="54">
        <f t="shared" si="6"/>
        <v>1900</v>
      </c>
      <c r="D30" s="96">
        <f t="shared" si="7"/>
        <v>2000</v>
      </c>
      <c r="E30" s="111">
        <v>3</v>
      </c>
      <c r="F30" s="112">
        <f t="shared" si="4"/>
        <v>82.666666666666657</v>
      </c>
      <c r="G30" s="113" t="str">
        <f t="shared" si="5"/>
        <v>RB</v>
      </c>
      <c r="H30" s="183">
        <f>'3. Back Up Non Aspal'!H100</f>
        <v>1</v>
      </c>
      <c r="I30" s="101">
        <f>'3. Back Up Non Aspal'!K100</f>
        <v>0</v>
      </c>
      <c r="J30" s="101">
        <f>'3. Back Up Non Aspal'!N100</f>
        <v>0</v>
      </c>
      <c r="K30" s="101">
        <f>'3. Back Up Non Aspal'!Q100</f>
        <v>0</v>
      </c>
      <c r="L30" s="101">
        <f>'3. Back Up Non Aspal'!T100</f>
        <v>48</v>
      </c>
      <c r="M30" s="183">
        <f>'3. Back Up Non Aspal'!U100</f>
        <v>2</v>
      </c>
      <c r="N30" s="99">
        <f>'3. Back Up Non Aspal'!V100</f>
        <v>2</v>
      </c>
      <c r="O30" s="101">
        <f>'3. Back Up Non Aspal'!Y100</f>
        <v>200</v>
      </c>
      <c r="P30" s="101">
        <f>'3. Back Up Non Aspal'!Z100</f>
        <v>1</v>
      </c>
      <c r="Q30" s="183">
        <f>'3. Back Up Non Aspal'!AA100</f>
        <v>0</v>
      </c>
      <c r="R30" s="99">
        <f>'3. Back Up Non Aspal'!AB100</f>
        <v>1</v>
      </c>
      <c r="S30" s="101">
        <f>'3. Back Up Non Aspal'!AE100</f>
        <v>0</v>
      </c>
      <c r="T30" s="99">
        <f>'3. Back Up Non Aspal'!AH100</f>
        <v>0</v>
      </c>
      <c r="U30" s="101">
        <f>'3. Back Up Non Aspal'!AI100</f>
        <v>1</v>
      </c>
      <c r="V30" s="106"/>
    </row>
    <row r="31" spans="1:22" s="35" customFormat="1" ht="17.100000000000001" customHeight="1">
      <c r="B31" s="105"/>
      <c r="C31" s="54">
        <f t="shared" si="6"/>
        <v>2000</v>
      </c>
      <c r="D31" s="96">
        <f t="shared" si="7"/>
        <v>2100</v>
      </c>
      <c r="E31" s="111">
        <v>3</v>
      </c>
      <c r="F31" s="112">
        <f t="shared" si="4"/>
        <v>45</v>
      </c>
      <c r="G31" s="113" t="str">
        <f t="shared" si="5"/>
        <v>RB</v>
      </c>
      <c r="H31" s="183">
        <f>'3. Back Up Non Aspal'!H108</f>
        <v>1</v>
      </c>
      <c r="I31" s="101">
        <f>'3. Back Up Non Aspal'!K108</f>
        <v>0</v>
      </c>
      <c r="J31" s="101">
        <f>'3. Back Up Non Aspal'!N108</f>
        <v>0</v>
      </c>
      <c r="K31" s="101">
        <f>'3. Back Up Non Aspal'!Q108</f>
        <v>0</v>
      </c>
      <c r="L31" s="101">
        <f>'3. Back Up Non Aspal'!T108</f>
        <v>75</v>
      </c>
      <c r="M31" s="183">
        <f>'3. Back Up Non Aspal'!U108</f>
        <v>2</v>
      </c>
      <c r="N31" s="99">
        <f>'3. Back Up Non Aspal'!V108</f>
        <v>2</v>
      </c>
      <c r="O31" s="101">
        <f>'3. Back Up Non Aspal'!Y108</f>
        <v>60</v>
      </c>
      <c r="P31" s="101">
        <f>'3. Back Up Non Aspal'!Z108</f>
        <v>1</v>
      </c>
      <c r="Q31" s="183">
        <f>'3. Back Up Non Aspal'!AA108</f>
        <v>0</v>
      </c>
      <c r="R31" s="99">
        <f>'3. Back Up Non Aspal'!AB108</f>
        <v>1</v>
      </c>
      <c r="S31" s="101">
        <f>'3. Back Up Non Aspal'!AE108</f>
        <v>0</v>
      </c>
      <c r="T31" s="99">
        <f>'3. Back Up Non Aspal'!AH108</f>
        <v>0</v>
      </c>
      <c r="U31" s="101">
        <f>'3. Back Up Non Aspal'!AI108</f>
        <v>1</v>
      </c>
      <c r="V31" s="106"/>
    </row>
    <row r="32" spans="1:22" s="35" customFormat="1" ht="17.100000000000001" customHeight="1">
      <c r="B32" s="105"/>
      <c r="C32" s="54">
        <f t="shared" si="6"/>
        <v>2100</v>
      </c>
      <c r="D32" s="96">
        <f t="shared" si="7"/>
        <v>2200</v>
      </c>
      <c r="E32" s="111">
        <v>3</v>
      </c>
      <c r="F32" s="112">
        <f t="shared" si="4"/>
        <v>93.333333333333329</v>
      </c>
      <c r="G32" s="113" t="str">
        <f t="shared" si="5"/>
        <v>RB</v>
      </c>
      <c r="H32" s="183">
        <f>'3. Back Up Non Aspal'!H116</f>
        <v>1</v>
      </c>
      <c r="I32" s="101">
        <f>'3. Back Up Non Aspal'!K116</f>
        <v>0</v>
      </c>
      <c r="J32" s="101">
        <f>'3. Back Up Non Aspal'!N116</f>
        <v>0</v>
      </c>
      <c r="K32" s="101">
        <f>'3. Back Up Non Aspal'!Q116</f>
        <v>0</v>
      </c>
      <c r="L32" s="101">
        <f>'3. Back Up Non Aspal'!T116</f>
        <v>30</v>
      </c>
      <c r="M32" s="183">
        <f>'3. Back Up Non Aspal'!U116</f>
        <v>2</v>
      </c>
      <c r="N32" s="99">
        <f>'3. Back Up Non Aspal'!V116</f>
        <v>2</v>
      </c>
      <c r="O32" s="101">
        <f>'3. Back Up Non Aspal'!Y116</f>
        <v>250</v>
      </c>
      <c r="P32" s="101">
        <f>'3. Back Up Non Aspal'!Z116</f>
        <v>1</v>
      </c>
      <c r="Q32" s="183">
        <f>'3. Back Up Non Aspal'!AA116</f>
        <v>0</v>
      </c>
      <c r="R32" s="99">
        <f>'3. Back Up Non Aspal'!AB116</f>
        <v>1</v>
      </c>
      <c r="S32" s="101">
        <f>'3. Back Up Non Aspal'!AE116</f>
        <v>0</v>
      </c>
      <c r="T32" s="99">
        <f>'3. Back Up Non Aspal'!AH116</f>
        <v>0</v>
      </c>
      <c r="U32" s="101">
        <f>'3. Back Up Non Aspal'!AI116</f>
        <v>1</v>
      </c>
      <c r="V32" s="106"/>
    </row>
    <row r="33" spans="2:22" s="35" customFormat="1" ht="17.100000000000001" customHeight="1">
      <c r="B33" s="105"/>
      <c r="C33" s="54">
        <f t="shared" si="6"/>
        <v>2200</v>
      </c>
      <c r="D33" s="96">
        <f t="shared" si="7"/>
        <v>2300</v>
      </c>
      <c r="E33" s="111">
        <v>3</v>
      </c>
      <c r="F33" s="112">
        <f t="shared" si="4"/>
        <v>66.666666666666657</v>
      </c>
      <c r="G33" s="113" t="str">
        <f t="shared" si="5"/>
        <v>RB</v>
      </c>
      <c r="H33" s="183">
        <f>'3. Back Up Non Aspal'!H124</f>
        <v>1</v>
      </c>
      <c r="I33" s="101">
        <f>'3. Back Up Non Aspal'!K124</f>
        <v>0</v>
      </c>
      <c r="J33" s="101">
        <f>'3. Back Up Non Aspal'!N124</f>
        <v>0</v>
      </c>
      <c r="K33" s="101">
        <f>'3. Back Up Non Aspal'!Q124</f>
        <v>0</v>
      </c>
      <c r="L33" s="101">
        <f>'3. Back Up Non Aspal'!T124</f>
        <v>0</v>
      </c>
      <c r="M33" s="183">
        <f>'3. Back Up Non Aspal'!U124</f>
        <v>3</v>
      </c>
      <c r="N33" s="99">
        <f>'3. Back Up Non Aspal'!V124</f>
        <v>2</v>
      </c>
      <c r="O33" s="101">
        <f>'3. Back Up Non Aspal'!Y124</f>
        <v>200</v>
      </c>
      <c r="P33" s="101">
        <f>'3. Back Up Non Aspal'!Z124</f>
        <v>1</v>
      </c>
      <c r="Q33" s="183">
        <f>'3. Back Up Non Aspal'!AA124</f>
        <v>0</v>
      </c>
      <c r="R33" s="99">
        <f>'3. Back Up Non Aspal'!AB124</f>
        <v>1</v>
      </c>
      <c r="S33" s="101">
        <f>'3. Back Up Non Aspal'!AE124</f>
        <v>0</v>
      </c>
      <c r="T33" s="99">
        <f>'3. Back Up Non Aspal'!AH124</f>
        <v>0</v>
      </c>
      <c r="U33" s="101">
        <f>'3. Back Up Non Aspal'!AI124</f>
        <v>1</v>
      </c>
      <c r="V33" s="106"/>
    </row>
    <row r="34" spans="2:22" s="35" customFormat="1" ht="17.100000000000001" customHeight="1">
      <c r="B34" s="105"/>
      <c r="C34" s="54">
        <f t="shared" si="6"/>
        <v>2300</v>
      </c>
      <c r="D34" s="96">
        <f t="shared" si="7"/>
        <v>2400</v>
      </c>
      <c r="E34" s="111">
        <v>3</v>
      </c>
      <c r="F34" s="112">
        <f t="shared" si="4"/>
        <v>83.333333333333329</v>
      </c>
      <c r="G34" s="113" t="str">
        <f t="shared" si="5"/>
        <v>RB</v>
      </c>
      <c r="H34" s="183">
        <f>'3. Back Up Non Aspal'!H132</f>
        <v>1</v>
      </c>
      <c r="I34" s="101">
        <f>'3. Back Up Non Aspal'!K132</f>
        <v>0</v>
      </c>
      <c r="J34" s="101">
        <f>'3. Back Up Non Aspal'!N132</f>
        <v>0</v>
      </c>
      <c r="K34" s="101">
        <f>'3. Back Up Non Aspal'!Q132</f>
        <v>0</v>
      </c>
      <c r="L34" s="101">
        <f>'3. Back Up Non Aspal'!T132</f>
        <v>0</v>
      </c>
      <c r="M34" s="183">
        <f>'3. Back Up Non Aspal'!U132</f>
        <v>2</v>
      </c>
      <c r="N34" s="99">
        <f>'3. Back Up Non Aspal'!V132</f>
        <v>4</v>
      </c>
      <c r="O34" s="101">
        <f>'3. Back Up Non Aspal'!Y132</f>
        <v>250</v>
      </c>
      <c r="P34" s="101">
        <f>'3. Back Up Non Aspal'!Z132</f>
        <v>1</v>
      </c>
      <c r="Q34" s="183">
        <f>'3. Back Up Non Aspal'!AA132</f>
        <v>0</v>
      </c>
      <c r="R34" s="99">
        <f>'3. Back Up Non Aspal'!AB132</f>
        <v>1</v>
      </c>
      <c r="S34" s="101">
        <f>'3. Back Up Non Aspal'!AE132</f>
        <v>0</v>
      </c>
      <c r="T34" s="99">
        <f>'3. Back Up Non Aspal'!AH132</f>
        <v>0</v>
      </c>
      <c r="U34" s="101">
        <f>'3. Back Up Non Aspal'!AI132</f>
        <v>1</v>
      </c>
      <c r="V34" s="106"/>
    </row>
    <row r="35" spans="2:22" s="35" customFormat="1" ht="17.100000000000001" customHeight="1">
      <c r="B35" s="105"/>
      <c r="C35" s="54">
        <f t="shared" si="6"/>
        <v>2400</v>
      </c>
      <c r="D35" s="96">
        <f t="shared" si="7"/>
        <v>2500</v>
      </c>
      <c r="E35" s="111">
        <v>3</v>
      </c>
      <c r="F35" s="112">
        <f t="shared" si="4"/>
        <v>83.333333333333329</v>
      </c>
      <c r="G35" s="113" t="str">
        <f t="shared" si="5"/>
        <v>RB</v>
      </c>
      <c r="H35" s="183">
        <f>'3. Back Up Non Aspal'!H140</f>
        <v>1</v>
      </c>
      <c r="I35" s="101">
        <f>'3. Back Up Non Aspal'!K140</f>
        <v>0</v>
      </c>
      <c r="J35" s="101">
        <f>'3. Back Up Non Aspal'!N140</f>
        <v>0</v>
      </c>
      <c r="K35" s="101">
        <f>'3. Back Up Non Aspal'!Q140</f>
        <v>0</v>
      </c>
      <c r="L35" s="101">
        <f>'3. Back Up Non Aspal'!T140</f>
        <v>0</v>
      </c>
      <c r="M35" s="183">
        <f>'3. Back Up Non Aspal'!U140</f>
        <v>2</v>
      </c>
      <c r="N35" s="99">
        <f>'3. Back Up Non Aspal'!V140</f>
        <v>3</v>
      </c>
      <c r="O35" s="101">
        <f>'3. Back Up Non Aspal'!Y140</f>
        <v>250</v>
      </c>
      <c r="P35" s="101">
        <f>'3. Back Up Non Aspal'!Z140</f>
        <v>1</v>
      </c>
      <c r="Q35" s="183">
        <f>'3. Back Up Non Aspal'!AA140</f>
        <v>0</v>
      </c>
      <c r="R35" s="99">
        <f>'3. Back Up Non Aspal'!AB140</f>
        <v>1</v>
      </c>
      <c r="S35" s="101">
        <f>'3. Back Up Non Aspal'!AE140</f>
        <v>0</v>
      </c>
      <c r="T35" s="99">
        <f>'3. Back Up Non Aspal'!AH140</f>
        <v>0</v>
      </c>
      <c r="U35" s="101">
        <f>'3. Back Up Non Aspal'!AI140</f>
        <v>1</v>
      </c>
      <c r="V35" s="106"/>
    </row>
    <row r="36" spans="2:22" s="35" customFormat="1" ht="17.100000000000001" customHeight="1">
      <c r="B36" s="105"/>
      <c r="C36" s="54">
        <f t="shared" si="6"/>
        <v>2500</v>
      </c>
      <c r="D36" s="96">
        <f t="shared" si="7"/>
        <v>2600</v>
      </c>
      <c r="E36" s="111">
        <v>3</v>
      </c>
      <c r="F36" s="112">
        <f t="shared" si="4"/>
        <v>91.666666666666657</v>
      </c>
      <c r="G36" s="113" t="str">
        <f t="shared" si="5"/>
        <v>RB</v>
      </c>
      <c r="H36" s="183">
        <f>'3. Back Up Non Aspal'!H148</f>
        <v>1</v>
      </c>
      <c r="I36" s="101">
        <f>'3. Back Up Non Aspal'!K148</f>
        <v>0</v>
      </c>
      <c r="J36" s="101">
        <f>'3. Back Up Non Aspal'!N148</f>
        <v>0</v>
      </c>
      <c r="K36" s="101">
        <f>'3. Back Up Non Aspal'!Q148</f>
        <v>0</v>
      </c>
      <c r="L36" s="101">
        <f>'3. Back Up Non Aspal'!T148</f>
        <v>75</v>
      </c>
      <c r="M36" s="183">
        <f>'3. Back Up Non Aspal'!U148</f>
        <v>3</v>
      </c>
      <c r="N36" s="99">
        <f>'3. Back Up Non Aspal'!V148</f>
        <v>3</v>
      </c>
      <c r="O36" s="101">
        <f>'3. Back Up Non Aspal'!Y148</f>
        <v>200</v>
      </c>
      <c r="P36" s="101">
        <f>'3. Back Up Non Aspal'!Z148</f>
        <v>1</v>
      </c>
      <c r="Q36" s="183">
        <f>'3. Back Up Non Aspal'!AA148</f>
        <v>0</v>
      </c>
      <c r="R36" s="99">
        <f>'3. Back Up Non Aspal'!AB148</f>
        <v>1</v>
      </c>
      <c r="S36" s="101">
        <f>'3. Back Up Non Aspal'!AE148</f>
        <v>0</v>
      </c>
      <c r="T36" s="99">
        <f>'3. Back Up Non Aspal'!AH148</f>
        <v>0</v>
      </c>
      <c r="U36" s="101">
        <f>'3. Back Up Non Aspal'!AI148</f>
        <v>1</v>
      </c>
      <c r="V36" s="106"/>
    </row>
    <row r="37" spans="2:22" s="35" customFormat="1" ht="17.100000000000001" customHeight="1">
      <c r="B37" s="105"/>
      <c r="C37" s="54">
        <f t="shared" si="6"/>
        <v>2600</v>
      </c>
      <c r="D37" s="96">
        <f t="shared" si="7"/>
        <v>2700</v>
      </c>
      <c r="E37" s="111">
        <v>3</v>
      </c>
      <c r="F37" s="112">
        <f t="shared" si="4"/>
        <v>83.333333333333329</v>
      </c>
      <c r="G37" s="113" t="str">
        <f t="shared" si="5"/>
        <v>RB</v>
      </c>
      <c r="H37" s="183">
        <f>'3. Back Up Non Aspal'!H156</f>
        <v>1</v>
      </c>
      <c r="I37" s="101">
        <f>'3. Back Up Non Aspal'!K156</f>
        <v>0</v>
      </c>
      <c r="J37" s="101">
        <f>'3. Back Up Non Aspal'!N156</f>
        <v>0</v>
      </c>
      <c r="K37" s="101">
        <f>'3. Back Up Non Aspal'!Q156</f>
        <v>0</v>
      </c>
      <c r="L37" s="101">
        <f>'3. Back Up Non Aspal'!T156</f>
        <v>0</v>
      </c>
      <c r="M37" s="183">
        <f>'3. Back Up Non Aspal'!U156</f>
        <v>3</v>
      </c>
      <c r="N37" s="99">
        <f>'3. Back Up Non Aspal'!V156</f>
        <v>3</v>
      </c>
      <c r="O37" s="101">
        <f>'3. Back Up Non Aspal'!Y156</f>
        <v>250</v>
      </c>
      <c r="P37" s="101">
        <f>'3. Back Up Non Aspal'!Z156</f>
        <v>1</v>
      </c>
      <c r="Q37" s="183">
        <f>'3. Back Up Non Aspal'!AA156</f>
        <v>0</v>
      </c>
      <c r="R37" s="99">
        <f>'3. Back Up Non Aspal'!AB156</f>
        <v>1</v>
      </c>
      <c r="S37" s="101">
        <f>'3. Back Up Non Aspal'!AE156</f>
        <v>0</v>
      </c>
      <c r="T37" s="99">
        <f>'3. Back Up Non Aspal'!AH156</f>
        <v>0</v>
      </c>
      <c r="U37" s="101">
        <f>'3. Back Up Non Aspal'!AI156</f>
        <v>1</v>
      </c>
      <c r="V37" s="106"/>
    </row>
    <row r="38" spans="2:22" s="35" customFormat="1" ht="17.100000000000001" customHeight="1">
      <c r="B38" s="105"/>
      <c r="C38" s="54">
        <f t="shared" si="6"/>
        <v>2700</v>
      </c>
      <c r="D38" s="96">
        <f t="shared" si="7"/>
        <v>2800</v>
      </c>
      <c r="E38" s="111">
        <v>3</v>
      </c>
      <c r="F38" s="112">
        <f t="shared" si="4"/>
        <v>83.333333333333329</v>
      </c>
      <c r="G38" s="113" t="str">
        <f t="shared" si="5"/>
        <v>RB</v>
      </c>
      <c r="H38" s="183">
        <f>'3. Back Up Non Aspal'!H164</f>
        <v>1</v>
      </c>
      <c r="I38" s="101">
        <f>'3. Back Up Non Aspal'!K164</f>
        <v>0</v>
      </c>
      <c r="J38" s="101">
        <f>'3. Back Up Non Aspal'!N164</f>
        <v>0</v>
      </c>
      <c r="K38" s="101">
        <f>'3. Back Up Non Aspal'!Q164</f>
        <v>0</v>
      </c>
      <c r="L38" s="101">
        <f>'3. Back Up Non Aspal'!T164</f>
        <v>0</v>
      </c>
      <c r="M38" s="183">
        <f>'3. Back Up Non Aspal'!U164</f>
        <v>4</v>
      </c>
      <c r="N38" s="99">
        <f>'3. Back Up Non Aspal'!V164</f>
        <v>3</v>
      </c>
      <c r="O38" s="101">
        <f>'3. Back Up Non Aspal'!Y164</f>
        <v>250</v>
      </c>
      <c r="P38" s="101">
        <f>'3. Back Up Non Aspal'!Z164</f>
        <v>1</v>
      </c>
      <c r="Q38" s="183">
        <f>'3. Back Up Non Aspal'!AA164</f>
        <v>0</v>
      </c>
      <c r="R38" s="99">
        <f>'3. Back Up Non Aspal'!AB164</f>
        <v>1</v>
      </c>
      <c r="S38" s="101">
        <f>'3. Back Up Non Aspal'!AE164</f>
        <v>0</v>
      </c>
      <c r="T38" s="99">
        <f>'3. Back Up Non Aspal'!AH164</f>
        <v>0</v>
      </c>
      <c r="U38" s="101">
        <f>'3. Back Up Non Aspal'!AI164</f>
        <v>1</v>
      </c>
      <c r="V38" s="106"/>
    </row>
    <row r="39" spans="2:22" s="35" customFormat="1" ht="17.100000000000001" customHeight="1">
      <c r="B39" s="105"/>
      <c r="C39" s="54">
        <f t="shared" si="6"/>
        <v>2800</v>
      </c>
      <c r="D39" s="96">
        <f t="shared" si="7"/>
        <v>2900</v>
      </c>
      <c r="E39" s="111">
        <v>3</v>
      </c>
      <c r="F39" s="112">
        <f t="shared" si="4"/>
        <v>95.833333333333329</v>
      </c>
      <c r="G39" s="113" t="str">
        <f t="shared" si="5"/>
        <v>RB</v>
      </c>
      <c r="H39" s="183">
        <f>'3. Back Up Non Aspal'!H172</f>
        <v>1</v>
      </c>
      <c r="I39" s="101">
        <f>'3. Back Up Non Aspal'!K172</f>
        <v>0</v>
      </c>
      <c r="J39" s="101">
        <f>'3. Back Up Non Aspal'!N172</f>
        <v>0</v>
      </c>
      <c r="K39" s="101">
        <f>'3. Back Up Non Aspal'!Q172</f>
        <v>0</v>
      </c>
      <c r="L39" s="101">
        <f>'3. Back Up Non Aspal'!T172</f>
        <v>37.5</v>
      </c>
      <c r="M39" s="183">
        <f>'3. Back Up Non Aspal'!U172</f>
        <v>2</v>
      </c>
      <c r="N39" s="99">
        <f>'3. Back Up Non Aspal'!V172</f>
        <v>3</v>
      </c>
      <c r="O39" s="101">
        <f>'3. Back Up Non Aspal'!Y172</f>
        <v>250</v>
      </c>
      <c r="P39" s="101">
        <f>'3. Back Up Non Aspal'!Z172</f>
        <v>1</v>
      </c>
      <c r="Q39" s="183">
        <f>'3. Back Up Non Aspal'!AA172</f>
        <v>0</v>
      </c>
      <c r="R39" s="99">
        <f>'3. Back Up Non Aspal'!AB172</f>
        <v>1</v>
      </c>
      <c r="S39" s="101">
        <f>'3. Back Up Non Aspal'!AE172</f>
        <v>0</v>
      </c>
      <c r="T39" s="99">
        <f>'3. Back Up Non Aspal'!AH172</f>
        <v>0</v>
      </c>
      <c r="U39" s="101">
        <f>'3. Back Up Non Aspal'!AI172</f>
        <v>1</v>
      </c>
      <c r="V39" s="106"/>
    </row>
    <row r="40" spans="2:22" s="35" customFormat="1" ht="17.100000000000001" customHeight="1">
      <c r="B40" s="105"/>
      <c r="C40" s="54">
        <f t="shared" si="6"/>
        <v>2900</v>
      </c>
      <c r="D40" s="96">
        <f t="shared" si="7"/>
        <v>3000</v>
      </c>
      <c r="E40" s="111">
        <v>3</v>
      </c>
      <c r="F40" s="112">
        <f t="shared" si="4"/>
        <v>33.333333333333329</v>
      </c>
      <c r="G40" s="113" t="str">
        <f t="shared" si="5"/>
        <v>RB</v>
      </c>
      <c r="H40" s="183">
        <f>'3. Back Up Non Aspal'!H180</f>
        <v>1</v>
      </c>
      <c r="I40" s="101">
        <f>'3. Back Up Non Aspal'!K180</f>
        <v>0</v>
      </c>
      <c r="J40" s="101">
        <f>'3. Back Up Non Aspal'!N180</f>
        <v>0</v>
      </c>
      <c r="K40" s="101">
        <f>'3. Back Up Non Aspal'!Q180</f>
        <v>0</v>
      </c>
      <c r="L40" s="101">
        <f>'3. Back Up Non Aspal'!T180</f>
        <v>50</v>
      </c>
      <c r="M40" s="183">
        <f>'3. Back Up Non Aspal'!U180</f>
        <v>4</v>
      </c>
      <c r="N40" s="99">
        <f>'3. Back Up Non Aspal'!V180</f>
        <v>3</v>
      </c>
      <c r="O40" s="101">
        <f>'3. Back Up Non Aspal'!Y180</f>
        <v>50</v>
      </c>
      <c r="P40" s="101">
        <f>'3. Back Up Non Aspal'!Z180</f>
        <v>1</v>
      </c>
      <c r="Q40" s="183">
        <f>'3. Back Up Non Aspal'!AA180</f>
        <v>0</v>
      </c>
      <c r="R40" s="99">
        <f>'3. Back Up Non Aspal'!AB180</f>
        <v>1</v>
      </c>
      <c r="S40" s="101">
        <f>'3. Back Up Non Aspal'!AE180</f>
        <v>0</v>
      </c>
      <c r="T40" s="99">
        <f>'3. Back Up Non Aspal'!AH180</f>
        <v>0</v>
      </c>
      <c r="U40" s="101">
        <f>'3. Back Up Non Aspal'!AI180</f>
        <v>1</v>
      </c>
      <c r="V40" s="106"/>
    </row>
    <row r="41" spans="2:22" s="35" customFormat="1" ht="17.100000000000001" customHeight="1">
      <c r="B41" s="105"/>
      <c r="C41" s="54">
        <f t="shared" si="6"/>
        <v>3000</v>
      </c>
      <c r="D41" s="96">
        <f t="shared" si="7"/>
        <v>3100</v>
      </c>
      <c r="E41" s="111">
        <v>3</v>
      </c>
      <c r="F41" s="112">
        <f t="shared" si="4"/>
        <v>83.333333333333329</v>
      </c>
      <c r="G41" s="113" t="str">
        <f t="shared" si="5"/>
        <v>RB</v>
      </c>
      <c r="H41" s="183">
        <f>'3. Back Up Non Aspal'!H188</f>
        <v>1</v>
      </c>
      <c r="I41" s="101">
        <f>'3. Back Up Non Aspal'!K188</f>
        <v>0</v>
      </c>
      <c r="J41" s="101">
        <f>'3. Back Up Non Aspal'!N188</f>
        <v>0</v>
      </c>
      <c r="K41" s="101">
        <f>'3. Back Up Non Aspal'!Q188</f>
        <v>0</v>
      </c>
      <c r="L41" s="101">
        <f>'3. Back Up Non Aspal'!T188</f>
        <v>0</v>
      </c>
      <c r="M41" s="183">
        <f>'3. Back Up Non Aspal'!U188</f>
        <v>4</v>
      </c>
      <c r="N41" s="99">
        <f>'3. Back Up Non Aspal'!V188</f>
        <v>4</v>
      </c>
      <c r="O41" s="101">
        <f>'3. Back Up Non Aspal'!Y188</f>
        <v>250</v>
      </c>
      <c r="P41" s="101">
        <f>'3. Back Up Non Aspal'!Z188</f>
        <v>1</v>
      </c>
      <c r="Q41" s="183">
        <f>'3. Back Up Non Aspal'!AA188</f>
        <v>0</v>
      </c>
      <c r="R41" s="99">
        <f>'3. Back Up Non Aspal'!AB188</f>
        <v>1</v>
      </c>
      <c r="S41" s="101">
        <f>'3. Back Up Non Aspal'!AE188</f>
        <v>0</v>
      </c>
      <c r="T41" s="99">
        <f>'3. Back Up Non Aspal'!AH188</f>
        <v>0</v>
      </c>
      <c r="U41" s="101">
        <f>'3. Back Up Non Aspal'!AI188</f>
        <v>1</v>
      </c>
      <c r="V41" s="106"/>
    </row>
    <row r="42" spans="2:22" s="35" customFormat="1" ht="17.100000000000001" customHeight="1">
      <c r="B42" s="105"/>
      <c r="C42" s="54">
        <f t="shared" si="6"/>
        <v>3100</v>
      </c>
      <c r="D42" s="96">
        <f t="shared" si="7"/>
        <v>3200</v>
      </c>
      <c r="E42" s="111">
        <v>3</v>
      </c>
      <c r="F42" s="112">
        <f t="shared" si="4"/>
        <v>83.333333333333329</v>
      </c>
      <c r="G42" s="113" t="str">
        <f t="shared" si="5"/>
        <v>RB</v>
      </c>
      <c r="H42" s="183">
        <f>'3. Back Up Non Aspal'!H196</f>
        <v>1</v>
      </c>
      <c r="I42" s="101">
        <f>'3. Back Up Non Aspal'!K196</f>
        <v>0</v>
      </c>
      <c r="J42" s="101">
        <f>'3. Back Up Non Aspal'!N196</f>
        <v>0</v>
      </c>
      <c r="K42" s="101">
        <f>'3. Back Up Non Aspal'!Q196</f>
        <v>0</v>
      </c>
      <c r="L42" s="101">
        <f>'3. Back Up Non Aspal'!T196</f>
        <v>0</v>
      </c>
      <c r="M42" s="183">
        <f>'3. Back Up Non Aspal'!U196</f>
        <v>3</v>
      </c>
      <c r="N42" s="99">
        <f>'3. Back Up Non Aspal'!V196</f>
        <v>3</v>
      </c>
      <c r="O42" s="101">
        <f>'3. Back Up Non Aspal'!Y196</f>
        <v>250</v>
      </c>
      <c r="P42" s="101">
        <f>'3. Back Up Non Aspal'!Z196</f>
        <v>1</v>
      </c>
      <c r="Q42" s="183">
        <f>'3. Back Up Non Aspal'!AA196</f>
        <v>0</v>
      </c>
      <c r="R42" s="99">
        <f>'3. Back Up Non Aspal'!AB196</f>
        <v>1</v>
      </c>
      <c r="S42" s="101">
        <f>'3. Back Up Non Aspal'!AE196</f>
        <v>0</v>
      </c>
      <c r="T42" s="99">
        <f>'3. Back Up Non Aspal'!AH196</f>
        <v>0</v>
      </c>
      <c r="U42" s="101">
        <f>'3. Back Up Non Aspal'!AI196</f>
        <v>1</v>
      </c>
      <c r="V42" s="106"/>
    </row>
    <row r="43" spans="2:22" s="35" customFormat="1" ht="17.100000000000001" customHeight="1">
      <c r="B43" s="105"/>
      <c r="C43" s="54">
        <f t="shared" si="6"/>
        <v>3200</v>
      </c>
      <c r="D43" s="96">
        <f t="shared" si="7"/>
        <v>3300</v>
      </c>
      <c r="E43" s="111">
        <v>3</v>
      </c>
      <c r="F43" s="112">
        <f t="shared" si="4"/>
        <v>83.958333333333329</v>
      </c>
      <c r="G43" s="113" t="str">
        <f t="shared" si="5"/>
        <v>RB</v>
      </c>
      <c r="H43" s="183">
        <f>'3. Back Up Non Aspal'!H204</f>
        <v>1</v>
      </c>
      <c r="I43" s="101">
        <f>'3. Back Up Non Aspal'!K204</f>
        <v>0</v>
      </c>
      <c r="J43" s="101">
        <f>'3. Back Up Non Aspal'!N204</f>
        <v>0</v>
      </c>
      <c r="K43" s="101">
        <f>'3. Back Up Non Aspal'!Q204</f>
        <v>37.5</v>
      </c>
      <c r="L43" s="101">
        <f>'3. Back Up Non Aspal'!T204</f>
        <v>0</v>
      </c>
      <c r="M43" s="183">
        <f>'3. Back Up Non Aspal'!U204</f>
        <v>1</v>
      </c>
      <c r="N43" s="99">
        <f>'3. Back Up Non Aspal'!V204</f>
        <v>1</v>
      </c>
      <c r="O43" s="101">
        <f>'3. Back Up Non Aspal'!Y204</f>
        <v>250</v>
      </c>
      <c r="P43" s="101">
        <f>'3. Back Up Non Aspal'!Z204</f>
        <v>1</v>
      </c>
      <c r="Q43" s="183">
        <f>'3. Back Up Non Aspal'!AA204</f>
        <v>0</v>
      </c>
      <c r="R43" s="99">
        <f>'3. Back Up Non Aspal'!AB204</f>
        <v>1</v>
      </c>
      <c r="S43" s="101">
        <f>'3. Back Up Non Aspal'!AE204</f>
        <v>0</v>
      </c>
      <c r="T43" s="99">
        <f>'3. Back Up Non Aspal'!AH204</f>
        <v>0</v>
      </c>
      <c r="U43" s="101">
        <f>'3. Back Up Non Aspal'!AI204</f>
        <v>1</v>
      </c>
      <c r="V43" s="106"/>
    </row>
    <row r="44" spans="2:22" s="35" customFormat="1" ht="17.100000000000001" customHeight="1">
      <c r="B44" s="105"/>
      <c r="C44" s="54">
        <f t="shared" si="6"/>
        <v>3300</v>
      </c>
      <c r="D44" s="96">
        <f t="shared" si="7"/>
        <v>3400</v>
      </c>
      <c r="E44" s="111">
        <v>3</v>
      </c>
      <c r="F44" s="112">
        <f t="shared" si="4"/>
        <v>83.333333333333329</v>
      </c>
      <c r="G44" s="113" t="str">
        <f t="shared" si="5"/>
        <v>RB</v>
      </c>
      <c r="H44" s="183">
        <f>'3. Back Up Non Aspal'!H212</f>
        <v>1</v>
      </c>
      <c r="I44" s="101">
        <f>'3. Back Up Non Aspal'!K212</f>
        <v>0</v>
      </c>
      <c r="J44" s="101">
        <f>'3. Back Up Non Aspal'!N212</f>
        <v>0</v>
      </c>
      <c r="K44" s="101">
        <f>'3. Back Up Non Aspal'!Q212</f>
        <v>0</v>
      </c>
      <c r="L44" s="101">
        <f>'3. Back Up Non Aspal'!T212</f>
        <v>0</v>
      </c>
      <c r="M44" s="183">
        <f>'3. Back Up Non Aspal'!U212</f>
        <v>1</v>
      </c>
      <c r="N44" s="99">
        <f>'3. Back Up Non Aspal'!V212</f>
        <v>1</v>
      </c>
      <c r="O44" s="101">
        <f>'3. Back Up Non Aspal'!Y212</f>
        <v>250</v>
      </c>
      <c r="P44" s="101">
        <f>'3. Back Up Non Aspal'!Z212</f>
        <v>1</v>
      </c>
      <c r="Q44" s="183">
        <f>'3. Back Up Non Aspal'!AA212</f>
        <v>0</v>
      </c>
      <c r="R44" s="99">
        <f>'3. Back Up Non Aspal'!AB212</f>
        <v>1</v>
      </c>
      <c r="S44" s="101">
        <f>'3. Back Up Non Aspal'!AE212</f>
        <v>0</v>
      </c>
      <c r="T44" s="99">
        <f>'3. Back Up Non Aspal'!AH212</f>
        <v>0</v>
      </c>
      <c r="U44" s="101">
        <f>'3. Back Up Non Aspal'!AI212</f>
        <v>1</v>
      </c>
      <c r="V44" s="106"/>
    </row>
    <row r="45" spans="2:22" s="35" customFormat="1" ht="17.100000000000001" customHeight="1">
      <c r="B45" s="105"/>
      <c r="C45" s="54">
        <f t="shared" si="6"/>
        <v>3400</v>
      </c>
      <c r="D45" s="96">
        <f t="shared" si="7"/>
        <v>3500</v>
      </c>
      <c r="E45" s="111">
        <v>3</v>
      </c>
      <c r="F45" s="112">
        <f t="shared" si="4"/>
        <v>100</v>
      </c>
      <c r="G45" s="113" t="str">
        <f t="shared" si="5"/>
        <v>RB</v>
      </c>
      <c r="H45" s="183">
        <f>'3. Back Up Non Aspal'!H220</f>
        <v>1</v>
      </c>
      <c r="I45" s="101">
        <f>'3. Back Up Non Aspal'!K220</f>
        <v>0</v>
      </c>
      <c r="J45" s="101">
        <f>'3. Back Up Non Aspal'!N220</f>
        <v>0</v>
      </c>
      <c r="K45" s="101">
        <f>'3. Back Up Non Aspal'!Q220</f>
        <v>0</v>
      </c>
      <c r="L45" s="101">
        <f>'3. Back Up Non Aspal'!T220</f>
        <v>0</v>
      </c>
      <c r="M45" s="183">
        <f>'3. Back Up Non Aspal'!U220</f>
        <v>1</v>
      </c>
      <c r="N45" s="99">
        <f>'3. Back Up Non Aspal'!V220</f>
        <v>1</v>
      </c>
      <c r="O45" s="101">
        <f>'3. Back Up Non Aspal'!Y220</f>
        <v>300</v>
      </c>
      <c r="P45" s="101">
        <f>'3. Back Up Non Aspal'!Z220</f>
        <v>1</v>
      </c>
      <c r="Q45" s="183">
        <f>'3. Back Up Non Aspal'!AA220</f>
        <v>0</v>
      </c>
      <c r="R45" s="99">
        <f>'3. Back Up Non Aspal'!AB220</f>
        <v>1</v>
      </c>
      <c r="S45" s="101">
        <f>'3. Back Up Non Aspal'!AE220</f>
        <v>0</v>
      </c>
      <c r="T45" s="99">
        <f>'3. Back Up Non Aspal'!AH220</f>
        <v>0</v>
      </c>
      <c r="U45" s="101">
        <f>'3. Back Up Non Aspal'!AI220</f>
        <v>1</v>
      </c>
      <c r="V45" s="106"/>
    </row>
    <row r="46" spans="2:22" s="35" customFormat="1" ht="17.100000000000001" customHeight="1">
      <c r="B46" s="105"/>
      <c r="C46" s="54">
        <f t="shared" si="6"/>
        <v>3500</v>
      </c>
      <c r="D46" s="96">
        <f t="shared" si="7"/>
        <v>3600</v>
      </c>
      <c r="E46" s="111">
        <v>3</v>
      </c>
      <c r="F46" s="112">
        <f t="shared" si="4"/>
        <v>100</v>
      </c>
      <c r="G46" s="113" t="str">
        <f t="shared" si="5"/>
        <v>RB</v>
      </c>
      <c r="H46" s="183">
        <f>'3. Back Up Non Aspal'!H228</f>
        <v>1</v>
      </c>
      <c r="I46" s="101">
        <f>'3. Back Up Non Aspal'!K228</f>
        <v>0</v>
      </c>
      <c r="J46" s="101">
        <f>'3. Back Up Non Aspal'!N228</f>
        <v>0</v>
      </c>
      <c r="K46" s="101">
        <f>'3. Back Up Non Aspal'!Q228</f>
        <v>0</v>
      </c>
      <c r="L46" s="101">
        <f>'3. Back Up Non Aspal'!T228</f>
        <v>0</v>
      </c>
      <c r="M46" s="183">
        <f>'3. Back Up Non Aspal'!U228</f>
        <v>1</v>
      </c>
      <c r="N46" s="99">
        <f>'3. Back Up Non Aspal'!V228</f>
        <v>1</v>
      </c>
      <c r="O46" s="101">
        <f>'3. Back Up Non Aspal'!Y228</f>
        <v>300</v>
      </c>
      <c r="P46" s="101">
        <f>'3. Back Up Non Aspal'!Z228</f>
        <v>1</v>
      </c>
      <c r="Q46" s="183">
        <f>'3. Back Up Non Aspal'!AA228</f>
        <v>0</v>
      </c>
      <c r="R46" s="99">
        <f>'3. Back Up Non Aspal'!AB228</f>
        <v>1</v>
      </c>
      <c r="S46" s="101">
        <f>'3. Back Up Non Aspal'!AE228</f>
        <v>0</v>
      </c>
      <c r="T46" s="99">
        <f>'3. Back Up Non Aspal'!AH228</f>
        <v>0</v>
      </c>
      <c r="U46" s="101">
        <f>'3. Back Up Non Aspal'!AI228</f>
        <v>1</v>
      </c>
      <c r="V46" s="106"/>
    </row>
    <row r="47" spans="2:22" s="35" customFormat="1" ht="17.100000000000001" customHeight="1">
      <c r="B47" s="248"/>
      <c r="C47" s="249">
        <f>D46</f>
        <v>3600</v>
      </c>
      <c r="D47" s="250">
        <f>NOTE!L10</f>
        <v>3650</v>
      </c>
      <c r="E47" s="251">
        <v>3</v>
      </c>
      <c r="F47" s="112">
        <f t="shared" si="4"/>
        <v>0</v>
      </c>
      <c r="G47" s="113" t="str">
        <f t="shared" si="5"/>
        <v>RB</v>
      </c>
      <c r="H47" s="183">
        <f>'3. Back Up Non Aspal'!H236</f>
        <v>1</v>
      </c>
      <c r="I47" s="101">
        <f>'3. Back Up Non Aspal'!K236</f>
        <v>0</v>
      </c>
      <c r="J47" s="101">
        <f>'3. Back Up Non Aspal'!N236</f>
        <v>0</v>
      </c>
      <c r="K47" s="101">
        <f>'3. Back Up Non Aspal'!Q236</f>
        <v>0</v>
      </c>
      <c r="L47" s="101">
        <f>'3. Back Up Non Aspal'!T236</f>
        <v>0</v>
      </c>
      <c r="M47" s="183">
        <f>'3. Back Up Non Aspal'!U236</f>
        <v>1</v>
      </c>
      <c r="N47" s="99">
        <f>'3. Back Up Non Aspal'!V236</f>
        <v>1</v>
      </c>
      <c r="O47" s="101">
        <f>'3. Back Up Non Aspal'!Y236</f>
        <v>0</v>
      </c>
      <c r="P47" s="101">
        <f>'3. Back Up Non Aspal'!Z236</f>
        <v>1</v>
      </c>
      <c r="Q47" s="183">
        <f>'3. Back Up Non Aspal'!AA236</f>
        <v>0</v>
      </c>
      <c r="R47" s="99">
        <f>'3. Back Up Non Aspal'!AB236</f>
        <v>1</v>
      </c>
      <c r="S47" s="101">
        <f>'3. Back Up Non Aspal'!AE236</f>
        <v>0</v>
      </c>
      <c r="T47" s="99">
        <f>'3. Back Up Non Aspal'!AH236</f>
        <v>0</v>
      </c>
      <c r="U47" s="101">
        <f>'3. Back Up Non Aspal'!AI236</f>
        <v>1</v>
      </c>
      <c r="V47" s="106"/>
    </row>
    <row r="48" spans="2:22" s="35" customFormat="1" ht="17.100000000000001" customHeight="1">
      <c r="B48" s="105"/>
      <c r="C48" s="54">
        <f>NOTE!J12</f>
        <v>5200</v>
      </c>
      <c r="D48" s="96">
        <f t="shared" ref="D48:D49" si="8">C48+100</f>
        <v>5300</v>
      </c>
      <c r="E48" s="111">
        <v>4</v>
      </c>
      <c r="F48" s="112">
        <f t="shared" ref="F48:F49" si="9">(100/((D48-C48)*E48))*((I48*0.05)+(J48*0.05)+(K48*0.05)+(L48)+(O48)+(S48*1.5)+(T48*1))</f>
        <v>0</v>
      </c>
      <c r="G48" s="113" t="str">
        <f t="shared" ref="G48:G49" si="10">IF(F48&lt;=25,"RB",IF(F48&lt;=75,"RB",IF(F48&lt;=100,"RB","RB")))</f>
        <v>RB</v>
      </c>
      <c r="H48" s="183">
        <f>'3. Back Up Non Aspal'!H242</f>
        <v>1</v>
      </c>
      <c r="I48" s="101">
        <f>'3. Back Up Non Aspal'!K242</f>
        <v>0</v>
      </c>
      <c r="J48" s="101">
        <f>'3. Back Up Non Aspal'!N242</f>
        <v>0</v>
      </c>
      <c r="K48" s="101">
        <f>'3. Back Up Non Aspal'!Q242</f>
        <v>0</v>
      </c>
      <c r="L48" s="101">
        <f>'3. Back Up Non Aspal'!T242</f>
        <v>0</v>
      </c>
      <c r="M48" s="183">
        <f>'3. Back Up Non Aspal'!U242</f>
        <v>1</v>
      </c>
      <c r="N48" s="99">
        <f>'3. Back Up Non Aspal'!V242</f>
        <v>1</v>
      </c>
      <c r="O48" s="101">
        <f>'3. Back Up Non Aspal'!Y242</f>
        <v>0</v>
      </c>
      <c r="P48" s="101">
        <f>'3. Back Up Non Aspal'!Z242</f>
        <v>1</v>
      </c>
      <c r="Q48" s="183">
        <f>'3. Back Up Non Aspal'!AA242</f>
        <v>0</v>
      </c>
      <c r="R48" s="99">
        <f>'3. Back Up Non Aspal'!AB242</f>
        <v>1</v>
      </c>
      <c r="S48" s="101">
        <f>'3. Back Up Non Aspal'!AE242</f>
        <v>0</v>
      </c>
      <c r="T48" s="99">
        <f>'3. Back Up Non Aspal'!AH242</f>
        <v>0</v>
      </c>
      <c r="U48" s="101">
        <f>'3. Back Up Non Aspal'!AI242</f>
        <v>1</v>
      </c>
      <c r="V48" s="106"/>
    </row>
    <row r="49" spans="2:22" s="35" customFormat="1" ht="17.100000000000001" customHeight="1">
      <c r="B49" s="105"/>
      <c r="C49" s="54">
        <f t="shared" ref="C49" si="11">D48</f>
        <v>5300</v>
      </c>
      <c r="D49" s="96">
        <f t="shared" si="8"/>
        <v>5400</v>
      </c>
      <c r="E49" s="111">
        <v>4</v>
      </c>
      <c r="F49" s="112">
        <f t="shared" si="9"/>
        <v>0</v>
      </c>
      <c r="G49" s="113" t="str">
        <f t="shared" si="10"/>
        <v>RB</v>
      </c>
      <c r="H49" s="183">
        <f>'3. Back Up Non Aspal'!H250</f>
        <v>1</v>
      </c>
      <c r="I49" s="101">
        <f>'3. Back Up Non Aspal'!K250</f>
        <v>0</v>
      </c>
      <c r="J49" s="101">
        <f>'3. Back Up Non Aspal'!N250</f>
        <v>0</v>
      </c>
      <c r="K49" s="101">
        <f>'3. Back Up Non Aspal'!Q250</f>
        <v>0</v>
      </c>
      <c r="L49" s="101">
        <f>'3. Back Up Non Aspal'!T250</f>
        <v>0</v>
      </c>
      <c r="M49" s="183">
        <f>'3. Back Up Non Aspal'!U250</f>
        <v>1</v>
      </c>
      <c r="N49" s="99">
        <f>'3. Back Up Non Aspal'!V250</f>
        <v>1</v>
      </c>
      <c r="O49" s="101">
        <f>'3. Back Up Non Aspal'!Y250</f>
        <v>0</v>
      </c>
      <c r="P49" s="101">
        <f>'3. Back Up Non Aspal'!Z250</f>
        <v>1</v>
      </c>
      <c r="Q49" s="183">
        <f>'3. Back Up Non Aspal'!AA250</f>
        <v>0</v>
      </c>
      <c r="R49" s="99">
        <f>'3. Back Up Non Aspal'!AB250</f>
        <v>1</v>
      </c>
      <c r="S49" s="101">
        <f>'3. Back Up Non Aspal'!AE250</f>
        <v>0</v>
      </c>
      <c r="T49" s="99">
        <f>'3. Back Up Non Aspal'!AH250</f>
        <v>0</v>
      </c>
      <c r="U49" s="101">
        <f>'3. Back Up Non Aspal'!AI250</f>
        <v>1</v>
      </c>
      <c r="V49" s="106"/>
    </row>
    <row r="50" spans="2:22" s="35" customFormat="1" ht="17.100000000000001" customHeight="1">
      <c r="B50" s="105"/>
      <c r="C50" s="54">
        <f>D49</f>
        <v>5400</v>
      </c>
      <c r="D50" s="96">
        <f t="shared" si="7"/>
        <v>5500</v>
      </c>
      <c r="E50" s="111">
        <v>4</v>
      </c>
      <c r="F50" s="112">
        <f t="shared" si="4"/>
        <v>75</v>
      </c>
      <c r="G50" s="113" t="str">
        <f t="shared" si="5"/>
        <v>RB</v>
      </c>
      <c r="H50" s="183">
        <f>'3. Back Up Non Aspal'!H244</f>
        <v>1</v>
      </c>
      <c r="I50" s="101">
        <f>'3. Back Up Non Aspal'!K244</f>
        <v>0</v>
      </c>
      <c r="J50" s="101">
        <f>'3. Back Up Non Aspal'!N244</f>
        <v>0</v>
      </c>
      <c r="K50" s="101">
        <f>'3. Back Up Non Aspal'!Q244</f>
        <v>0</v>
      </c>
      <c r="L50" s="101">
        <f>'3. Back Up Non Aspal'!T244</f>
        <v>0</v>
      </c>
      <c r="M50" s="183">
        <f>'3. Back Up Non Aspal'!U244</f>
        <v>1</v>
      </c>
      <c r="N50" s="99">
        <f>'3. Back Up Non Aspal'!V244</f>
        <v>1</v>
      </c>
      <c r="O50" s="101">
        <f>'3. Back Up Non Aspal'!Y244</f>
        <v>300</v>
      </c>
      <c r="P50" s="101">
        <f>'3. Back Up Non Aspal'!Z244</f>
        <v>1</v>
      </c>
      <c r="Q50" s="183">
        <f>'3. Back Up Non Aspal'!AA244</f>
        <v>0</v>
      </c>
      <c r="R50" s="99">
        <f>'3. Back Up Non Aspal'!AB244</f>
        <v>1</v>
      </c>
      <c r="S50" s="101">
        <f>'3. Back Up Non Aspal'!AE244</f>
        <v>0</v>
      </c>
      <c r="T50" s="99">
        <f>'3. Back Up Non Aspal'!AH244</f>
        <v>0</v>
      </c>
      <c r="U50" s="101">
        <f>'3. Back Up Non Aspal'!AI244</f>
        <v>1</v>
      </c>
      <c r="V50" s="106"/>
    </row>
    <row r="51" spans="2:22" s="35" customFormat="1" ht="17.100000000000001" customHeight="1">
      <c r="B51" s="105"/>
      <c r="C51" s="54">
        <f t="shared" si="6"/>
        <v>5500</v>
      </c>
      <c r="D51" s="96">
        <f t="shared" si="7"/>
        <v>5600</v>
      </c>
      <c r="E51" s="111">
        <v>4</v>
      </c>
      <c r="F51" s="112">
        <f t="shared" si="4"/>
        <v>75</v>
      </c>
      <c r="G51" s="113" t="str">
        <f t="shared" si="5"/>
        <v>RB</v>
      </c>
      <c r="H51" s="183">
        <f>'3. Back Up Non Aspal'!H252</f>
        <v>1</v>
      </c>
      <c r="I51" s="101">
        <f>'3. Back Up Non Aspal'!K252</f>
        <v>0</v>
      </c>
      <c r="J51" s="101">
        <f>'3. Back Up Non Aspal'!N252</f>
        <v>0</v>
      </c>
      <c r="K51" s="101">
        <f>'3. Back Up Non Aspal'!Q252</f>
        <v>0</v>
      </c>
      <c r="L51" s="101">
        <f>'3. Back Up Non Aspal'!T252</f>
        <v>0</v>
      </c>
      <c r="M51" s="183">
        <f>'3. Back Up Non Aspal'!U252</f>
        <v>1</v>
      </c>
      <c r="N51" s="99">
        <f>'3. Back Up Non Aspal'!V252</f>
        <v>1</v>
      </c>
      <c r="O51" s="101">
        <f>'3. Back Up Non Aspal'!Y252</f>
        <v>300</v>
      </c>
      <c r="P51" s="101">
        <f>'3. Back Up Non Aspal'!Z252</f>
        <v>1</v>
      </c>
      <c r="Q51" s="183">
        <f>'3. Back Up Non Aspal'!AA252</f>
        <v>0</v>
      </c>
      <c r="R51" s="99">
        <f>'3. Back Up Non Aspal'!AB252</f>
        <v>1</v>
      </c>
      <c r="S51" s="101">
        <f>'3. Back Up Non Aspal'!AE252</f>
        <v>0</v>
      </c>
      <c r="T51" s="99">
        <f>'3. Back Up Non Aspal'!AH252</f>
        <v>0</v>
      </c>
      <c r="U51" s="101">
        <f>'3. Back Up Non Aspal'!AI252</f>
        <v>1</v>
      </c>
      <c r="V51" s="106"/>
    </row>
    <row r="52" spans="2:22" s="35" customFormat="1" ht="17.100000000000001" customHeight="1">
      <c r="B52" s="105"/>
      <c r="C52" s="54">
        <f t="shared" si="6"/>
        <v>5600</v>
      </c>
      <c r="D52" s="96">
        <f t="shared" si="7"/>
        <v>5700</v>
      </c>
      <c r="E52" s="111">
        <v>4</v>
      </c>
      <c r="F52" s="112">
        <f t="shared" si="4"/>
        <v>75</v>
      </c>
      <c r="G52" s="113" t="str">
        <f t="shared" si="5"/>
        <v>RB</v>
      </c>
      <c r="H52" s="183">
        <f>'3. Back Up Non Aspal'!H260</f>
        <v>1</v>
      </c>
      <c r="I52" s="101">
        <f>'3. Back Up Non Aspal'!K260</f>
        <v>0</v>
      </c>
      <c r="J52" s="101">
        <f>'3. Back Up Non Aspal'!N260</f>
        <v>0</v>
      </c>
      <c r="K52" s="101">
        <f>'3. Back Up Non Aspal'!Q260</f>
        <v>0</v>
      </c>
      <c r="L52" s="101">
        <f>'3. Back Up Non Aspal'!T260</f>
        <v>0</v>
      </c>
      <c r="M52" s="183">
        <f>'3. Back Up Non Aspal'!U260</f>
        <v>1</v>
      </c>
      <c r="N52" s="99">
        <f>'3. Back Up Non Aspal'!V260</f>
        <v>1</v>
      </c>
      <c r="O52" s="101">
        <f>'3. Back Up Non Aspal'!Y260</f>
        <v>300</v>
      </c>
      <c r="P52" s="101">
        <f>'3. Back Up Non Aspal'!Z260</f>
        <v>1</v>
      </c>
      <c r="Q52" s="183">
        <f>'3. Back Up Non Aspal'!AA260</f>
        <v>0</v>
      </c>
      <c r="R52" s="99">
        <f>'3. Back Up Non Aspal'!AB260</f>
        <v>1</v>
      </c>
      <c r="S52" s="101">
        <f>'3. Back Up Non Aspal'!AE260</f>
        <v>0</v>
      </c>
      <c r="T52" s="99">
        <f>'3. Back Up Non Aspal'!AH260</f>
        <v>0</v>
      </c>
      <c r="U52" s="101">
        <f>'3. Back Up Non Aspal'!AI260</f>
        <v>1</v>
      </c>
      <c r="V52" s="106"/>
    </row>
    <row r="53" spans="2:22" s="35" customFormat="1" ht="17.100000000000001" customHeight="1">
      <c r="B53" s="105"/>
      <c r="C53" s="54">
        <f t="shared" si="6"/>
        <v>5700</v>
      </c>
      <c r="D53" s="96">
        <f t="shared" si="7"/>
        <v>5800</v>
      </c>
      <c r="E53" s="111">
        <v>4</v>
      </c>
      <c r="F53" s="112">
        <f t="shared" si="4"/>
        <v>75</v>
      </c>
      <c r="G53" s="113" t="str">
        <f t="shared" si="5"/>
        <v>RB</v>
      </c>
      <c r="H53" s="183">
        <f>'3. Back Up Non Aspal'!H268</f>
        <v>1</v>
      </c>
      <c r="I53" s="101">
        <f>'3. Back Up Non Aspal'!K268</f>
        <v>0</v>
      </c>
      <c r="J53" s="101">
        <f>'3. Back Up Non Aspal'!N268</f>
        <v>0</v>
      </c>
      <c r="K53" s="101">
        <f>'3. Back Up Non Aspal'!Q268</f>
        <v>0</v>
      </c>
      <c r="L53" s="101">
        <f>'3. Back Up Non Aspal'!T268</f>
        <v>0</v>
      </c>
      <c r="M53" s="183">
        <f>'3. Back Up Non Aspal'!U268</f>
        <v>1</v>
      </c>
      <c r="N53" s="99">
        <f>'3. Back Up Non Aspal'!V268</f>
        <v>1</v>
      </c>
      <c r="O53" s="101">
        <f>'3. Back Up Non Aspal'!Y268</f>
        <v>300</v>
      </c>
      <c r="P53" s="101">
        <f>'3. Back Up Non Aspal'!Z268</f>
        <v>1</v>
      </c>
      <c r="Q53" s="183">
        <f>'3. Back Up Non Aspal'!AA268</f>
        <v>0</v>
      </c>
      <c r="R53" s="99">
        <f>'3. Back Up Non Aspal'!AB268</f>
        <v>1</v>
      </c>
      <c r="S53" s="101">
        <f>'3. Back Up Non Aspal'!AE268</f>
        <v>0</v>
      </c>
      <c r="T53" s="99">
        <f>'3. Back Up Non Aspal'!AH268</f>
        <v>0</v>
      </c>
      <c r="U53" s="101">
        <f>'3. Back Up Non Aspal'!AI268</f>
        <v>1</v>
      </c>
      <c r="V53" s="106"/>
    </row>
    <row r="54" spans="2:22" s="35" customFormat="1" ht="17.100000000000001" customHeight="1">
      <c r="B54" s="105"/>
      <c r="C54" s="54">
        <f t="shared" si="6"/>
        <v>5800</v>
      </c>
      <c r="D54" s="96">
        <f t="shared" si="7"/>
        <v>5900</v>
      </c>
      <c r="E54" s="111">
        <v>4</v>
      </c>
      <c r="F54" s="112">
        <f t="shared" si="4"/>
        <v>75</v>
      </c>
      <c r="G54" s="113" t="str">
        <f t="shared" si="5"/>
        <v>RB</v>
      </c>
      <c r="H54" s="183">
        <f>'3. Back Up Non Aspal'!H276</f>
        <v>1</v>
      </c>
      <c r="I54" s="101">
        <f>'3. Back Up Non Aspal'!K276</f>
        <v>0</v>
      </c>
      <c r="J54" s="101">
        <f>'3. Back Up Non Aspal'!N276</f>
        <v>0</v>
      </c>
      <c r="K54" s="101">
        <f>'3. Back Up Non Aspal'!Q276</f>
        <v>0</v>
      </c>
      <c r="L54" s="101">
        <f>'3. Back Up Non Aspal'!T276</f>
        <v>0</v>
      </c>
      <c r="M54" s="183">
        <f>'3. Back Up Non Aspal'!U276</f>
        <v>1</v>
      </c>
      <c r="N54" s="99">
        <f>'3. Back Up Non Aspal'!V276</f>
        <v>1</v>
      </c>
      <c r="O54" s="101">
        <f>'3. Back Up Non Aspal'!Y276</f>
        <v>300</v>
      </c>
      <c r="P54" s="101">
        <f>'3. Back Up Non Aspal'!Z276</f>
        <v>1</v>
      </c>
      <c r="Q54" s="183">
        <f>'3. Back Up Non Aspal'!AA276</f>
        <v>0</v>
      </c>
      <c r="R54" s="99">
        <f>'3. Back Up Non Aspal'!AB276</f>
        <v>1</v>
      </c>
      <c r="S54" s="101">
        <f>'3. Back Up Non Aspal'!AE276</f>
        <v>0</v>
      </c>
      <c r="T54" s="99">
        <f>'3. Back Up Non Aspal'!AH276</f>
        <v>0</v>
      </c>
      <c r="U54" s="101">
        <f>'3. Back Up Non Aspal'!AI276</f>
        <v>1</v>
      </c>
      <c r="V54" s="106"/>
    </row>
    <row r="55" spans="2:22" s="35" customFormat="1" ht="17.100000000000001" customHeight="1">
      <c r="B55" s="105"/>
      <c r="C55" s="54">
        <f t="shared" si="6"/>
        <v>5900</v>
      </c>
      <c r="D55" s="96">
        <f t="shared" si="7"/>
        <v>6000</v>
      </c>
      <c r="E55" s="111">
        <v>4</v>
      </c>
      <c r="F55" s="112">
        <f t="shared" si="4"/>
        <v>75</v>
      </c>
      <c r="G55" s="113" t="str">
        <f t="shared" si="5"/>
        <v>RB</v>
      </c>
      <c r="H55" s="183">
        <f>'3. Back Up Non Aspal'!H284</f>
        <v>1</v>
      </c>
      <c r="I55" s="101">
        <f>'3. Back Up Non Aspal'!K284</f>
        <v>0</v>
      </c>
      <c r="J55" s="101">
        <f>'3. Back Up Non Aspal'!N284</f>
        <v>0</v>
      </c>
      <c r="K55" s="101">
        <f>'3. Back Up Non Aspal'!Q284</f>
        <v>0</v>
      </c>
      <c r="L55" s="101">
        <f>'3. Back Up Non Aspal'!T284</f>
        <v>0</v>
      </c>
      <c r="M55" s="183">
        <f>'3. Back Up Non Aspal'!U284</f>
        <v>1</v>
      </c>
      <c r="N55" s="99">
        <f>'3. Back Up Non Aspal'!V284</f>
        <v>1</v>
      </c>
      <c r="O55" s="101">
        <f>'3. Back Up Non Aspal'!Y284</f>
        <v>300</v>
      </c>
      <c r="P55" s="101">
        <f>'3. Back Up Non Aspal'!Z284</f>
        <v>1</v>
      </c>
      <c r="Q55" s="183">
        <f>'3. Back Up Non Aspal'!AA284</f>
        <v>0</v>
      </c>
      <c r="R55" s="99">
        <f>'3. Back Up Non Aspal'!AB284</f>
        <v>1</v>
      </c>
      <c r="S55" s="101">
        <f>'3. Back Up Non Aspal'!AE284</f>
        <v>0</v>
      </c>
      <c r="T55" s="99">
        <f>'3. Back Up Non Aspal'!AH284</f>
        <v>0</v>
      </c>
      <c r="U55" s="101">
        <f>'3. Back Up Non Aspal'!AI284</f>
        <v>1</v>
      </c>
      <c r="V55" s="106"/>
    </row>
    <row r="56" spans="2:22" s="35" customFormat="1" ht="17.100000000000001" customHeight="1">
      <c r="B56" s="105"/>
      <c r="C56" s="54">
        <f t="shared" si="6"/>
        <v>6000</v>
      </c>
      <c r="D56" s="96">
        <f t="shared" si="7"/>
        <v>6100</v>
      </c>
      <c r="E56" s="111">
        <v>4</v>
      </c>
      <c r="F56" s="112">
        <f t="shared" si="4"/>
        <v>75</v>
      </c>
      <c r="G56" s="113" t="str">
        <f t="shared" si="5"/>
        <v>RB</v>
      </c>
      <c r="H56" s="183">
        <f>'3. Back Up Non Aspal'!H292</f>
        <v>1</v>
      </c>
      <c r="I56" s="101">
        <f>'3. Back Up Non Aspal'!K292</f>
        <v>0</v>
      </c>
      <c r="J56" s="101">
        <f>'3. Back Up Non Aspal'!N292</f>
        <v>0</v>
      </c>
      <c r="K56" s="101">
        <f>'3. Back Up Non Aspal'!Q292</f>
        <v>0</v>
      </c>
      <c r="L56" s="101">
        <f>'3. Back Up Non Aspal'!T292</f>
        <v>0</v>
      </c>
      <c r="M56" s="183">
        <f>'3. Back Up Non Aspal'!U292</f>
        <v>1</v>
      </c>
      <c r="N56" s="99">
        <f>'3. Back Up Non Aspal'!V292</f>
        <v>1</v>
      </c>
      <c r="O56" s="101">
        <f>'3. Back Up Non Aspal'!Y292</f>
        <v>300</v>
      </c>
      <c r="P56" s="101">
        <f>'3. Back Up Non Aspal'!Z292</f>
        <v>1</v>
      </c>
      <c r="Q56" s="183">
        <f>'3. Back Up Non Aspal'!AA292</f>
        <v>0</v>
      </c>
      <c r="R56" s="99">
        <f>'3. Back Up Non Aspal'!AB292</f>
        <v>1</v>
      </c>
      <c r="S56" s="101">
        <f>'3. Back Up Non Aspal'!AE292</f>
        <v>0</v>
      </c>
      <c r="T56" s="99">
        <f>'3. Back Up Non Aspal'!AH292</f>
        <v>0</v>
      </c>
      <c r="U56" s="101">
        <f>'3. Back Up Non Aspal'!AI292</f>
        <v>1</v>
      </c>
      <c r="V56" s="106"/>
    </row>
    <row r="57" spans="2:22" s="35" customFormat="1" ht="17.100000000000001" customHeight="1">
      <c r="B57" s="105"/>
      <c r="C57" s="54">
        <f t="shared" si="6"/>
        <v>6100</v>
      </c>
      <c r="D57" s="96">
        <f t="shared" si="7"/>
        <v>6200</v>
      </c>
      <c r="E57" s="111">
        <v>4</v>
      </c>
      <c r="F57" s="112">
        <f t="shared" si="4"/>
        <v>75</v>
      </c>
      <c r="G57" s="113" t="str">
        <f t="shared" si="5"/>
        <v>RB</v>
      </c>
      <c r="H57" s="183">
        <f>'3. Back Up Non Aspal'!H300</f>
        <v>1</v>
      </c>
      <c r="I57" s="101">
        <f>'3. Back Up Non Aspal'!K300</f>
        <v>0</v>
      </c>
      <c r="J57" s="101">
        <f>'3. Back Up Non Aspal'!N300</f>
        <v>0</v>
      </c>
      <c r="K57" s="101">
        <f>'3. Back Up Non Aspal'!Q300</f>
        <v>0</v>
      </c>
      <c r="L57" s="101">
        <f>'3. Back Up Non Aspal'!T300</f>
        <v>0</v>
      </c>
      <c r="M57" s="183">
        <f>'3. Back Up Non Aspal'!U300</f>
        <v>1</v>
      </c>
      <c r="N57" s="99">
        <f>'3. Back Up Non Aspal'!V300</f>
        <v>1</v>
      </c>
      <c r="O57" s="101">
        <f>'3. Back Up Non Aspal'!Y300</f>
        <v>300</v>
      </c>
      <c r="P57" s="101">
        <f>'3. Back Up Non Aspal'!Z300</f>
        <v>1</v>
      </c>
      <c r="Q57" s="183">
        <f>'3. Back Up Non Aspal'!AA300</f>
        <v>0</v>
      </c>
      <c r="R57" s="99">
        <f>'3. Back Up Non Aspal'!AB300</f>
        <v>1</v>
      </c>
      <c r="S57" s="101">
        <f>'3. Back Up Non Aspal'!AE300</f>
        <v>0</v>
      </c>
      <c r="T57" s="99">
        <f>'3. Back Up Non Aspal'!AH300</f>
        <v>0</v>
      </c>
      <c r="U57" s="101">
        <f>'3. Back Up Non Aspal'!AI300</f>
        <v>1</v>
      </c>
      <c r="V57" s="106"/>
    </row>
    <row r="58" spans="2:22" s="35" customFormat="1" ht="17.100000000000001" customHeight="1">
      <c r="B58" s="105"/>
      <c r="C58" s="54">
        <f t="shared" si="6"/>
        <v>6200</v>
      </c>
      <c r="D58" s="96">
        <f t="shared" si="7"/>
        <v>6300</v>
      </c>
      <c r="E58" s="111">
        <v>4</v>
      </c>
      <c r="F58" s="112">
        <f t="shared" si="4"/>
        <v>75</v>
      </c>
      <c r="G58" s="113" t="str">
        <f t="shared" si="5"/>
        <v>RB</v>
      </c>
      <c r="H58" s="183">
        <f>'3. Back Up Non Aspal'!H308</f>
        <v>1</v>
      </c>
      <c r="I58" s="101">
        <f>'3. Back Up Non Aspal'!K308</f>
        <v>0</v>
      </c>
      <c r="J58" s="101">
        <f>'3. Back Up Non Aspal'!N308</f>
        <v>0</v>
      </c>
      <c r="K58" s="101">
        <f>'3. Back Up Non Aspal'!Q308</f>
        <v>0</v>
      </c>
      <c r="L58" s="101">
        <f>'3. Back Up Non Aspal'!T308</f>
        <v>0</v>
      </c>
      <c r="M58" s="183">
        <f>'3. Back Up Non Aspal'!U308</f>
        <v>1</v>
      </c>
      <c r="N58" s="99">
        <f>'3. Back Up Non Aspal'!V308</f>
        <v>1</v>
      </c>
      <c r="O58" s="101">
        <f>'3. Back Up Non Aspal'!Y308</f>
        <v>300</v>
      </c>
      <c r="P58" s="101">
        <f>'3. Back Up Non Aspal'!Z308</f>
        <v>1</v>
      </c>
      <c r="Q58" s="183">
        <f>'3. Back Up Non Aspal'!AA308</f>
        <v>0</v>
      </c>
      <c r="R58" s="99">
        <f>'3. Back Up Non Aspal'!AB308</f>
        <v>1</v>
      </c>
      <c r="S58" s="101">
        <f>'3. Back Up Non Aspal'!AE308</f>
        <v>0</v>
      </c>
      <c r="T58" s="99">
        <f>'3. Back Up Non Aspal'!AH308</f>
        <v>0</v>
      </c>
      <c r="U58" s="101">
        <f>'3. Back Up Non Aspal'!AI308</f>
        <v>1</v>
      </c>
      <c r="V58" s="106"/>
    </row>
    <row r="59" spans="2:22" s="35" customFormat="1" ht="17.100000000000001" customHeight="1">
      <c r="B59" s="105"/>
      <c r="C59" s="54">
        <f t="shared" si="6"/>
        <v>6300</v>
      </c>
      <c r="D59" s="96">
        <f t="shared" si="7"/>
        <v>6400</v>
      </c>
      <c r="E59" s="111">
        <v>4</v>
      </c>
      <c r="F59" s="112">
        <f t="shared" si="4"/>
        <v>75</v>
      </c>
      <c r="G59" s="113" t="str">
        <f t="shared" si="5"/>
        <v>RB</v>
      </c>
      <c r="H59" s="183">
        <f>'3. Back Up Non Aspal'!H316</f>
        <v>1</v>
      </c>
      <c r="I59" s="101">
        <f>'3. Back Up Non Aspal'!K316</f>
        <v>0</v>
      </c>
      <c r="J59" s="101">
        <f>'3. Back Up Non Aspal'!N316</f>
        <v>0</v>
      </c>
      <c r="K59" s="101">
        <f>'3. Back Up Non Aspal'!Q316</f>
        <v>0</v>
      </c>
      <c r="L59" s="101">
        <f>'3. Back Up Non Aspal'!T316</f>
        <v>0</v>
      </c>
      <c r="M59" s="183">
        <f>'3. Back Up Non Aspal'!U316</f>
        <v>1</v>
      </c>
      <c r="N59" s="99">
        <f>'3. Back Up Non Aspal'!V316</f>
        <v>1</v>
      </c>
      <c r="O59" s="101">
        <f>'3. Back Up Non Aspal'!Y316</f>
        <v>300</v>
      </c>
      <c r="P59" s="101">
        <f>'3. Back Up Non Aspal'!Z316</f>
        <v>1</v>
      </c>
      <c r="Q59" s="183">
        <f>'3. Back Up Non Aspal'!AA316</f>
        <v>0</v>
      </c>
      <c r="R59" s="99">
        <f>'3. Back Up Non Aspal'!AB316</f>
        <v>1</v>
      </c>
      <c r="S59" s="101">
        <f>'3. Back Up Non Aspal'!AE316</f>
        <v>0</v>
      </c>
      <c r="T59" s="99">
        <f>'3. Back Up Non Aspal'!AH316</f>
        <v>0</v>
      </c>
      <c r="U59" s="101">
        <f>'3. Back Up Non Aspal'!AI316</f>
        <v>1</v>
      </c>
      <c r="V59" s="106"/>
    </row>
    <row r="60" spans="2:22" s="35" customFormat="1" ht="17.100000000000001" customHeight="1">
      <c r="B60" s="105"/>
      <c r="C60" s="54">
        <f t="shared" si="6"/>
        <v>6400</v>
      </c>
      <c r="D60" s="96">
        <f t="shared" si="7"/>
        <v>6500</v>
      </c>
      <c r="E60" s="111">
        <v>4</v>
      </c>
      <c r="F60" s="112">
        <f t="shared" si="4"/>
        <v>75</v>
      </c>
      <c r="G60" s="113" t="str">
        <f t="shared" si="5"/>
        <v>RB</v>
      </c>
      <c r="H60" s="183">
        <f>'3. Back Up Non Aspal'!H324</f>
        <v>1</v>
      </c>
      <c r="I60" s="101">
        <f>'3. Back Up Non Aspal'!K324</f>
        <v>0</v>
      </c>
      <c r="J60" s="101">
        <f>'3. Back Up Non Aspal'!N324</f>
        <v>0</v>
      </c>
      <c r="K60" s="101">
        <f>'3. Back Up Non Aspal'!Q324</f>
        <v>0</v>
      </c>
      <c r="L60" s="101">
        <f>'3. Back Up Non Aspal'!T324</f>
        <v>0</v>
      </c>
      <c r="M60" s="183">
        <f>'3. Back Up Non Aspal'!U324</f>
        <v>1</v>
      </c>
      <c r="N60" s="99">
        <f>'3. Back Up Non Aspal'!V324</f>
        <v>1</v>
      </c>
      <c r="O60" s="101">
        <f>'3. Back Up Non Aspal'!Y324</f>
        <v>300</v>
      </c>
      <c r="P60" s="101">
        <f>'3. Back Up Non Aspal'!Z324</f>
        <v>1</v>
      </c>
      <c r="Q60" s="183">
        <f>'3. Back Up Non Aspal'!AA324</f>
        <v>0</v>
      </c>
      <c r="R60" s="99">
        <f>'3. Back Up Non Aspal'!AB324</f>
        <v>1</v>
      </c>
      <c r="S60" s="101">
        <f>'3. Back Up Non Aspal'!AE324</f>
        <v>0</v>
      </c>
      <c r="T60" s="99">
        <f>'3. Back Up Non Aspal'!AH324</f>
        <v>0</v>
      </c>
      <c r="U60" s="101">
        <f>'3. Back Up Non Aspal'!AI324</f>
        <v>1</v>
      </c>
      <c r="V60" s="106"/>
    </row>
    <row r="61" spans="2:22" s="35" customFormat="1" ht="17.100000000000001" customHeight="1">
      <c r="B61" s="105"/>
      <c r="C61" s="54">
        <f t="shared" si="6"/>
        <v>6500</v>
      </c>
      <c r="D61" s="96">
        <f t="shared" si="7"/>
        <v>6600</v>
      </c>
      <c r="E61" s="111">
        <v>4</v>
      </c>
      <c r="F61" s="112">
        <f t="shared" si="4"/>
        <v>75</v>
      </c>
      <c r="G61" s="113" t="str">
        <f t="shared" si="5"/>
        <v>RB</v>
      </c>
      <c r="H61" s="183">
        <f>'3. Back Up Non Aspal'!H332</f>
        <v>1</v>
      </c>
      <c r="I61" s="101">
        <f>'3. Back Up Non Aspal'!K332</f>
        <v>0</v>
      </c>
      <c r="J61" s="101">
        <f>'3. Back Up Non Aspal'!N332</f>
        <v>0</v>
      </c>
      <c r="K61" s="101">
        <f>'3. Back Up Non Aspal'!Q332</f>
        <v>0</v>
      </c>
      <c r="L61" s="101">
        <f>'3. Back Up Non Aspal'!T332</f>
        <v>0</v>
      </c>
      <c r="M61" s="183">
        <f>'3. Back Up Non Aspal'!U332</f>
        <v>1</v>
      </c>
      <c r="N61" s="99">
        <f>'3. Back Up Non Aspal'!V332</f>
        <v>1</v>
      </c>
      <c r="O61" s="101">
        <f>'3. Back Up Non Aspal'!Y332</f>
        <v>300</v>
      </c>
      <c r="P61" s="101">
        <f>'3. Back Up Non Aspal'!Z332</f>
        <v>1</v>
      </c>
      <c r="Q61" s="183">
        <f>'3. Back Up Non Aspal'!AA332</f>
        <v>0</v>
      </c>
      <c r="R61" s="99">
        <f>'3. Back Up Non Aspal'!AB332</f>
        <v>1</v>
      </c>
      <c r="S61" s="101">
        <f>'3. Back Up Non Aspal'!AE332</f>
        <v>0</v>
      </c>
      <c r="T61" s="99">
        <f>'3. Back Up Non Aspal'!AH332</f>
        <v>0</v>
      </c>
      <c r="U61" s="101">
        <f>'3. Back Up Non Aspal'!AI332</f>
        <v>1</v>
      </c>
      <c r="V61" s="106"/>
    </row>
    <row r="62" spans="2:22" s="35" customFormat="1" ht="17.100000000000001" customHeight="1">
      <c r="B62" s="105"/>
      <c r="C62" s="54">
        <f t="shared" si="6"/>
        <v>6600</v>
      </c>
      <c r="D62" s="96">
        <f t="shared" si="7"/>
        <v>6700</v>
      </c>
      <c r="E62" s="111">
        <v>4</v>
      </c>
      <c r="F62" s="112">
        <f t="shared" si="4"/>
        <v>52.5</v>
      </c>
      <c r="G62" s="113" t="str">
        <f t="shared" si="5"/>
        <v>RB</v>
      </c>
      <c r="H62" s="183">
        <f>'3. Back Up Non Aspal'!H340</f>
        <v>1</v>
      </c>
      <c r="I62" s="101">
        <f>'3. Back Up Non Aspal'!K340</f>
        <v>0</v>
      </c>
      <c r="J62" s="101">
        <f>'3. Back Up Non Aspal'!N340</f>
        <v>0</v>
      </c>
      <c r="K62" s="101">
        <f>'3. Back Up Non Aspal'!Q340</f>
        <v>0</v>
      </c>
      <c r="L62" s="101">
        <f>'3. Back Up Non Aspal'!T340</f>
        <v>0</v>
      </c>
      <c r="M62" s="183">
        <f>'3. Back Up Non Aspal'!U340</f>
        <v>1</v>
      </c>
      <c r="N62" s="99">
        <f>'3. Back Up Non Aspal'!V340</f>
        <v>1</v>
      </c>
      <c r="O62" s="101">
        <f>'3. Back Up Non Aspal'!Y340</f>
        <v>210</v>
      </c>
      <c r="P62" s="101">
        <f>'3. Back Up Non Aspal'!Z340</f>
        <v>1</v>
      </c>
      <c r="Q62" s="183">
        <f>'3. Back Up Non Aspal'!AA340</f>
        <v>0</v>
      </c>
      <c r="R62" s="99">
        <f>'3. Back Up Non Aspal'!AB340</f>
        <v>1</v>
      </c>
      <c r="S62" s="101">
        <f>'3. Back Up Non Aspal'!AE340</f>
        <v>0</v>
      </c>
      <c r="T62" s="99">
        <f>'3. Back Up Non Aspal'!AH340</f>
        <v>0</v>
      </c>
      <c r="U62" s="101">
        <f>'3. Back Up Non Aspal'!AI340</f>
        <v>1</v>
      </c>
      <c r="V62" s="106"/>
    </row>
    <row r="63" spans="2:22" s="35" customFormat="1" ht="17.100000000000001" customHeight="1">
      <c r="B63" s="105"/>
      <c r="C63" s="54">
        <f t="shared" si="6"/>
        <v>6700</v>
      </c>
      <c r="D63" s="96">
        <f t="shared" si="7"/>
        <v>6800</v>
      </c>
      <c r="E63" s="111">
        <v>3</v>
      </c>
      <c r="F63" s="112">
        <f t="shared" si="4"/>
        <v>100</v>
      </c>
      <c r="G63" s="113" t="str">
        <f t="shared" si="5"/>
        <v>RB</v>
      </c>
      <c r="H63" s="183">
        <f>'3. Back Up Non Aspal'!H348</f>
        <v>1</v>
      </c>
      <c r="I63" s="101">
        <f>'3. Back Up Non Aspal'!K348</f>
        <v>0</v>
      </c>
      <c r="J63" s="101">
        <f>'3. Back Up Non Aspal'!N348</f>
        <v>0</v>
      </c>
      <c r="K63" s="101">
        <f>'3. Back Up Non Aspal'!Q348</f>
        <v>0</v>
      </c>
      <c r="L63" s="101">
        <f>'3. Back Up Non Aspal'!T348</f>
        <v>0</v>
      </c>
      <c r="M63" s="183">
        <f>'3. Back Up Non Aspal'!U348</f>
        <v>1</v>
      </c>
      <c r="N63" s="99">
        <f>'3. Back Up Non Aspal'!V348</f>
        <v>1</v>
      </c>
      <c r="O63" s="101">
        <f>'3. Back Up Non Aspal'!Y348</f>
        <v>300</v>
      </c>
      <c r="P63" s="101">
        <f>'3. Back Up Non Aspal'!Z348</f>
        <v>1</v>
      </c>
      <c r="Q63" s="183">
        <f>'3. Back Up Non Aspal'!AA348</f>
        <v>0</v>
      </c>
      <c r="R63" s="99">
        <f>'3. Back Up Non Aspal'!AB348</f>
        <v>1</v>
      </c>
      <c r="S63" s="101">
        <f>'3. Back Up Non Aspal'!AE348</f>
        <v>0</v>
      </c>
      <c r="T63" s="99">
        <f>'3. Back Up Non Aspal'!AH348</f>
        <v>0</v>
      </c>
      <c r="U63" s="101">
        <f>'3. Back Up Non Aspal'!AI348</f>
        <v>1</v>
      </c>
      <c r="V63" s="106"/>
    </row>
    <row r="64" spans="2:22" s="35" customFormat="1" ht="17.100000000000001" customHeight="1">
      <c r="B64" s="105"/>
      <c r="C64" s="54">
        <f t="shared" si="6"/>
        <v>6800</v>
      </c>
      <c r="D64" s="96">
        <f t="shared" si="7"/>
        <v>6900</v>
      </c>
      <c r="E64" s="111">
        <v>3</v>
      </c>
      <c r="F64" s="112">
        <f t="shared" si="4"/>
        <v>100</v>
      </c>
      <c r="G64" s="113" t="str">
        <f t="shared" si="5"/>
        <v>RB</v>
      </c>
      <c r="H64" s="183">
        <f>'3. Back Up Non Aspal'!H356</f>
        <v>1</v>
      </c>
      <c r="I64" s="101">
        <f>'3. Back Up Non Aspal'!K356</f>
        <v>0</v>
      </c>
      <c r="J64" s="101">
        <f>'3. Back Up Non Aspal'!N356</f>
        <v>0</v>
      </c>
      <c r="K64" s="101">
        <f>'3. Back Up Non Aspal'!Q356</f>
        <v>0</v>
      </c>
      <c r="L64" s="101">
        <f>'3. Back Up Non Aspal'!T356</f>
        <v>0</v>
      </c>
      <c r="M64" s="183">
        <f>'3. Back Up Non Aspal'!U356</f>
        <v>1</v>
      </c>
      <c r="N64" s="99">
        <f>'3. Back Up Non Aspal'!V356</f>
        <v>1</v>
      </c>
      <c r="O64" s="101">
        <f>'3. Back Up Non Aspal'!Y356</f>
        <v>300</v>
      </c>
      <c r="P64" s="101">
        <f>'3. Back Up Non Aspal'!Z356</f>
        <v>1</v>
      </c>
      <c r="Q64" s="183">
        <f>'3. Back Up Non Aspal'!AA356</f>
        <v>0</v>
      </c>
      <c r="R64" s="99">
        <f>'3. Back Up Non Aspal'!AB356</f>
        <v>1</v>
      </c>
      <c r="S64" s="101">
        <f>'3. Back Up Non Aspal'!AE356</f>
        <v>0</v>
      </c>
      <c r="T64" s="99">
        <f>'3. Back Up Non Aspal'!AH356</f>
        <v>0</v>
      </c>
      <c r="U64" s="101">
        <f>'3. Back Up Non Aspal'!AI356</f>
        <v>1</v>
      </c>
      <c r="V64" s="106"/>
    </row>
    <row r="65" spans="2:22" s="35" customFormat="1" ht="17.100000000000001" customHeight="1">
      <c r="B65" s="105"/>
      <c r="C65" s="54">
        <f t="shared" si="6"/>
        <v>6900</v>
      </c>
      <c r="D65" s="96">
        <f t="shared" si="7"/>
        <v>7000</v>
      </c>
      <c r="E65" s="111">
        <v>3</v>
      </c>
      <c r="F65" s="112">
        <f t="shared" si="4"/>
        <v>100</v>
      </c>
      <c r="G65" s="113" t="str">
        <f t="shared" si="5"/>
        <v>RB</v>
      </c>
      <c r="H65" s="183">
        <f>'3. Back Up Non Aspal'!H364</f>
        <v>1</v>
      </c>
      <c r="I65" s="101">
        <f>'3. Back Up Non Aspal'!K364</f>
        <v>0</v>
      </c>
      <c r="J65" s="101">
        <f>'3. Back Up Non Aspal'!N364</f>
        <v>0</v>
      </c>
      <c r="K65" s="101">
        <f>'3. Back Up Non Aspal'!Q364</f>
        <v>0</v>
      </c>
      <c r="L65" s="101">
        <f>'3. Back Up Non Aspal'!T364</f>
        <v>0</v>
      </c>
      <c r="M65" s="183">
        <f>'3. Back Up Non Aspal'!U364</f>
        <v>1</v>
      </c>
      <c r="N65" s="99">
        <f>'3. Back Up Non Aspal'!V364</f>
        <v>1</v>
      </c>
      <c r="O65" s="101">
        <f>'3. Back Up Non Aspal'!Y364</f>
        <v>300</v>
      </c>
      <c r="P65" s="101">
        <f>'3. Back Up Non Aspal'!Z364</f>
        <v>1</v>
      </c>
      <c r="Q65" s="183">
        <f>'3. Back Up Non Aspal'!AA364</f>
        <v>0</v>
      </c>
      <c r="R65" s="99">
        <f>'3. Back Up Non Aspal'!AB364</f>
        <v>1</v>
      </c>
      <c r="S65" s="101">
        <f>'3. Back Up Non Aspal'!AE364</f>
        <v>0</v>
      </c>
      <c r="T65" s="99">
        <f>'3. Back Up Non Aspal'!AH364</f>
        <v>0</v>
      </c>
      <c r="U65" s="101">
        <f>'3. Back Up Non Aspal'!AI364</f>
        <v>1</v>
      </c>
      <c r="V65" s="106"/>
    </row>
    <row r="66" spans="2:22" s="35" customFormat="1" ht="17.100000000000001" customHeight="1">
      <c r="B66" s="298"/>
      <c r="C66" s="299">
        <f t="shared" si="6"/>
        <v>7000</v>
      </c>
      <c r="D66" s="300">
        <f t="shared" si="7"/>
        <v>7100</v>
      </c>
      <c r="E66" s="301">
        <v>4</v>
      </c>
      <c r="F66" s="112">
        <f t="shared" si="4"/>
        <v>45</v>
      </c>
      <c r="G66" s="113" t="str">
        <f t="shared" si="5"/>
        <v>RB</v>
      </c>
      <c r="H66" s="183">
        <f>'3. Back Up Non Aspal'!H372</f>
        <v>1</v>
      </c>
      <c r="I66" s="101">
        <f>'3. Back Up Non Aspal'!K372</f>
        <v>0</v>
      </c>
      <c r="J66" s="101">
        <f>'3. Back Up Non Aspal'!N372</f>
        <v>0</v>
      </c>
      <c r="K66" s="101">
        <f>'3. Back Up Non Aspal'!Q372</f>
        <v>0</v>
      </c>
      <c r="L66" s="101">
        <f>'3. Back Up Non Aspal'!T372</f>
        <v>0</v>
      </c>
      <c r="M66" s="183">
        <f>'3. Back Up Non Aspal'!U372</f>
        <v>1</v>
      </c>
      <c r="N66" s="99">
        <f>'3. Back Up Non Aspal'!V372</f>
        <v>1</v>
      </c>
      <c r="O66" s="101">
        <f>'3. Back Up Non Aspal'!Y372</f>
        <v>180</v>
      </c>
      <c r="P66" s="101">
        <f>'3. Back Up Non Aspal'!Z372</f>
        <v>1</v>
      </c>
      <c r="Q66" s="183">
        <f>'3. Back Up Non Aspal'!AA372</f>
        <v>0</v>
      </c>
      <c r="R66" s="99">
        <f>'3. Back Up Non Aspal'!AB372</f>
        <v>1</v>
      </c>
      <c r="S66" s="101">
        <f>'3. Back Up Non Aspal'!AE372</f>
        <v>0</v>
      </c>
      <c r="T66" s="99">
        <f>'3. Back Up Non Aspal'!AH372</f>
        <v>0</v>
      </c>
      <c r="U66" s="101">
        <f>'3. Back Up Non Aspal'!AI372</f>
        <v>1</v>
      </c>
      <c r="V66" s="106"/>
    </row>
    <row r="67" spans="2:22" s="35" customFormat="1" ht="17.100000000000001" customHeight="1">
      <c r="B67" s="105"/>
      <c r="C67" s="54">
        <f t="shared" si="6"/>
        <v>7100</v>
      </c>
      <c r="D67" s="96">
        <f t="shared" si="7"/>
        <v>7200</v>
      </c>
      <c r="E67" s="111">
        <v>4</v>
      </c>
      <c r="F67" s="112">
        <f t="shared" si="4"/>
        <v>75</v>
      </c>
      <c r="G67" s="113" t="str">
        <f t="shared" si="5"/>
        <v>RB</v>
      </c>
      <c r="H67" s="183">
        <f>'3. Back Up Non Aspal'!H380</f>
        <v>1</v>
      </c>
      <c r="I67" s="101">
        <f>'3. Back Up Non Aspal'!K380</f>
        <v>0</v>
      </c>
      <c r="J67" s="101">
        <f>'3. Back Up Non Aspal'!N380</f>
        <v>0</v>
      </c>
      <c r="K67" s="101">
        <f>'3. Back Up Non Aspal'!Q380</f>
        <v>0</v>
      </c>
      <c r="L67" s="101">
        <f>'3. Back Up Non Aspal'!T380</f>
        <v>0</v>
      </c>
      <c r="M67" s="183">
        <f>'3. Back Up Non Aspal'!U380</f>
        <v>1</v>
      </c>
      <c r="N67" s="99">
        <f>'3. Back Up Non Aspal'!V380</f>
        <v>1</v>
      </c>
      <c r="O67" s="101">
        <f>'3. Back Up Non Aspal'!Y380</f>
        <v>300</v>
      </c>
      <c r="P67" s="101">
        <f>'3. Back Up Non Aspal'!Z380</f>
        <v>1</v>
      </c>
      <c r="Q67" s="183">
        <f>'3. Back Up Non Aspal'!AA380</f>
        <v>0</v>
      </c>
      <c r="R67" s="99">
        <f>'3. Back Up Non Aspal'!AB380</f>
        <v>1</v>
      </c>
      <c r="S67" s="101">
        <f>'3. Back Up Non Aspal'!AE380</f>
        <v>0</v>
      </c>
      <c r="T67" s="99">
        <f>'3. Back Up Non Aspal'!AH380</f>
        <v>0</v>
      </c>
      <c r="U67" s="101">
        <f>'3. Back Up Non Aspal'!AI380</f>
        <v>1</v>
      </c>
      <c r="V67" s="106"/>
    </row>
    <row r="68" spans="2:22" s="35" customFormat="1" ht="17.100000000000001" customHeight="1">
      <c r="B68" s="105"/>
      <c r="C68" s="54">
        <f t="shared" si="6"/>
        <v>7200</v>
      </c>
      <c r="D68" s="96">
        <f t="shared" si="7"/>
        <v>7300</v>
      </c>
      <c r="E68" s="111">
        <v>4</v>
      </c>
      <c r="F68" s="112">
        <f t="shared" si="4"/>
        <v>75</v>
      </c>
      <c r="G68" s="113" t="str">
        <f t="shared" si="5"/>
        <v>RB</v>
      </c>
      <c r="H68" s="183">
        <f>'3. Back Up Non Aspal'!H388</f>
        <v>1</v>
      </c>
      <c r="I68" s="101">
        <f>'3. Back Up Non Aspal'!K388</f>
        <v>0</v>
      </c>
      <c r="J68" s="101">
        <f>'3. Back Up Non Aspal'!N388</f>
        <v>0</v>
      </c>
      <c r="K68" s="101">
        <f>'3. Back Up Non Aspal'!Q388</f>
        <v>0</v>
      </c>
      <c r="L68" s="101">
        <f>'3. Back Up Non Aspal'!T388</f>
        <v>0</v>
      </c>
      <c r="M68" s="183">
        <f>'3. Back Up Non Aspal'!U388</f>
        <v>1</v>
      </c>
      <c r="N68" s="99">
        <f>'3. Back Up Non Aspal'!V388</f>
        <v>1</v>
      </c>
      <c r="O68" s="101">
        <f>'3. Back Up Non Aspal'!Y388</f>
        <v>300</v>
      </c>
      <c r="P68" s="101">
        <f>'3. Back Up Non Aspal'!Z388</f>
        <v>1</v>
      </c>
      <c r="Q68" s="183">
        <f>'3. Back Up Non Aspal'!AA388</f>
        <v>0</v>
      </c>
      <c r="R68" s="99">
        <f>'3. Back Up Non Aspal'!AB388</f>
        <v>1</v>
      </c>
      <c r="S68" s="101">
        <f>'3. Back Up Non Aspal'!AE388</f>
        <v>0</v>
      </c>
      <c r="T68" s="99">
        <f>'3. Back Up Non Aspal'!AH388</f>
        <v>0</v>
      </c>
      <c r="U68" s="101">
        <f>'3. Back Up Non Aspal'!AI388</f>
        <v>1</v>
      </c>
      <c r="V68" s="106"/>
    </row>
    <row r="69" spans="2:22" s="35" customFormat="1" ht="17.100000000000001" customHeight="1">
      <c r="B69" s="105"/>
      <c r="C69" s="54">
        <f t="shared" si="6"/>
        <v>7300</v>
      </c>
      <c r="D69" s="96">
        <f t="shared" si="7"/>
        <v>7400</v>
      </c>
      <c r="E69" s="111">
        <v>4</v>
      </c>
      <c r="F69" s="112">
        <f t="shared" si="4"/>
        <v>0</v>
      </c>
      <c r="G69" s="113" t="str">
        <f t="shared" si="5"/>
        <v>RB</v>
      </c>
      <c r="H69" s="183">
        <f>'3. Back Up Non Aspal'!H396</f>
        <v>1</v>
      </c>
      <c r="I69" s="101">
        <f>'3. Back Up Non Aspal'!K396</f>
        <v>0</v>
      </c>
      <c r="J69" s="101">
        <f>'3. Back Up Non Aspal'!N396</f>
        <v>0</v>
      </c>
      <c r="K69" s="101">
        <f>'3. Back Up Non Aspal'!Q396</f>
        <v>0</v>
      </c>
      <c r="L69" s="101">
        <f>'3. Back Up Non Aspal'!T396</f>
        <v>0</v>
      </c>
      <c r="M69" s="183">
        <f>'3. Back Up Non Aspal'!U396</f>
        <v>1</v>
      </c>
      <c r="N69" s="99">
        <f>'3. Back Up Non Aspal'!V396</f>
        <v>1</v>
      </c>
      <c r="O69" s="101">
        <f>'3. Back Up Non Aspal'!Y396</f>
        <v>0</v>
      </c>
      <c r="P69" s="101">
        <f>'3. Back Up Non Aspal'!Z396</f>
        <v>1</v>
      </c>
      <c r="Q69" s="183">
        <f>'3. Back Up Non Aspal'!AA396</f>
        <v>0</v>
      </c>
      <c r="R69" s="99">
        <f>'3. Back Up Non Aspal'!AB396</f>
        <v>1</v>
      </c>
      <c r="S69" s="101">
        <f>'3. Back Up Non Aspal'!AE396</f>
        <v>0</v>
      </c>
      <c r="T69" s="99">
        <f>'3. Back Up Non Aspal'!AH396</f>
        <v>0</v>
      </c>
      <c r="U69" s="101">
        <f>'3. Back Up Non Aspal'!AI396</f>
        <v>1</v>
      </c>
      <c r="V69" s="106"/>
    </row>
    <row r="70" spans="2:22" s="35" customFormat="1" ht="17.100000000000001" customHeight="1">
      <c r="B70" s="105"/>
      <c r="C70" s="54">
        <f t="shared" si="6"/>
        <v>7400</v>
      </c>
      <c r="D70" s="96">
        <f t="shared" si="7"/>
        <v>7500</v>
      </c>
      <c r="E70" s="111">
        <v>4</v>
      </c>
      <c r="F70" s="112">
        <f t="shared" si="4"/>
        <v>75</v>
      </c>
      <c r="G70" s="113" t="str">
        <f t="shared" si="5"/>
        <v>RB</v>
      </c>
      <c r="H70" s="183">
        <f>'3. Back Up Non Aspal'!H404</f>
        <v>1</v>
      </c>
      <c r="I70" s="101">
        <f>'3. Back Up Non Aspal'!K404</f>
        <v>0</v>
      </c>
      <c r="J70" s="101">
        <f>'3. Back Up Non Aspal'!N404</f>
        <v>0</v>
      </c>
      <c r="K70" s="101">
        <f>'3. Back Up Non Aspal'!Q404</f>
        <v>0</v>
      </c>
      <c r="L70" s="101">
        <f>'3. Back Up Non Aspal'!T404</f>
        <v>0</v>
      </c>
      <c r="M70" s="183">
        <f>'3. Back Up Non Aspal'!U404</f>
        <v>1</v>
      </c>
      <c r="N70" s="99">
        <f>'3. Back Up Non Aspal'!V404</f>
        <v>1</v>
      </c>
      <c r="O70" s="101">
        <f>'3. Back Up Non Aspal'!Y404</f>
        <v>300</v>
      </c>
      <c r="P70" s="101">
        <f>'3. Back Up Non Aspal'!Z404</f>
        <v>1</v>
      </c>
      <c r="Q70" s="183">
        <f>'3. Back Up Non Aspal'!AA404</f>
        <v>0</v>
      </c>
      <c r="R70" s="99">
        <f>'3. Back Up Non Aspal'!AB404</f>
        <v>1</v>
      </c>
      <c r="S70" s="101">
        <f>'3. Back Up Non Aspal'!AE404</f>
        <v>0</v>
      </c>
      <c r="T70" s="99">
        <f>'3. Back Up Non Aspal'!AH404</f>
        <v>0</v>
      </c>
      <c r="U70" s="101">
        <f>'3. Back Up Non Aspal'!AI404</f>
        <v>1</v>
      </c>
      <c r="V70" s="106"/>
    </row>
    <row r="71" spans="2:22" s="35" customFormat="1" ht="17.100000000000001" customHeight="1">
      <c r="B71" s="105"/>
      <c r="C71" s="54">
        <f t="shared" si="6"/>
        <v>7500</v>
      </c>
      <c r="D71" s="96">
        <f t="shared" si="7"/>
        <v>7600</v>
      </c>
      <c r="E71" s="111">
        <v>4</v>
      </c>
      <c r="F71" s="112">
        <f t="shared" si="4"/>
        <v>75</v>
      </c>
      <c r="G71" s="113" t="str">
        <f t="shared" si="5"/>
        <v>RB</v>
      </c>
      <c r="H71" s="183">
        <f>'3. Back Up Non Aspal'!H412</f>
        <v>1</v>
      </c>
      <c r="I71" s="101">
        <f>'3. Back Up Non Aspal'!K412</f>
        <v>0</v>
      </c>
      <c r="J71" s="101">
        <f>'3. Back Up Non Aspal'!N412</f>
        <v>0</v>
      </c>
      <c r="K71" s="101">
        <f>'3. Back Up Non Aspal'!Q412</f>
        <v>0</v>
      </c>
      <c r="L71" s="101">
        <f>'3. Back Up Non Aspal'!T412</f>
        <v>0</v>
      </c>
      <c r="M71" s="183">
        <f>'3. Back Up Non Aspal'!U412</f>
        <v>1</v>
      </c>
      <c r="N71" s="99">
        <f>'3. Back Up Non Aspal'!V412</f>
        <v>1</v>
      </c>
      <c r="O71" s="101">
        <f>'3. Back Up Non Aspal'!Y412</f>
        <v>300</v>
      </c>
      <c r="P71" s="101">
        <f>'3. Back Up Non Aspal'!Z412</f>
        <v>1</v>
      </c>
      <c r="Q71" s="183">
        <f>'3. Back Up Non Aspal'!AA412</f>
        <v>0</v>
      </c>
      <c r="R71" s="99">
        <f>'3. Back Up Non Aspal'!AB412</f>
        <v>1</v>
      </c>
      <c r="S71" s="101">
        <f>'3. Back Up Non Aspal'!AE412</f>
        <v>0</v>
      </c>
      <c r="T71" s="99">
        <f>'3. Back Up Non Aspal'!AH412</f>
        <v>0</v>
      </c>
      <c r="U71" s="101">
        <f>'3. Back Up Non Aspal'!AI412</f>
        <v>1</v>
      </c>
      <c r="V71" s="106"/>
    </row>
    <row r="72" spans="2:22" s="35" customFormat="1" ht="17.100000000000001" customHeight="1">
      <c r="B72" s="105"/>
      <c r="C72" s="54">
        <f t="shared" si="6"/>
        <v>7600</v>
      </c>
      <c r="D72" s="96">
        <f t="shared" si="7"/>
        <v>7700</v>
      </c>
      <c r="E72" s="111">
        <v>4</v>
      </c>
      <c r="F72" s="112">
        <f t="shared" si="4"/>
        <v>75</v>
      </c>
      <c r="G72" s="113" t="str">
        <f t="shared" si="5"/>
        <v>RB</v>
      </c>
      <c r="H72" s="183">
        <f>'3. Back Up Non Aspal'!H420</f>
        <v>1</v>
      </c>
      <c r="I72" s="101">
        <f>'3. Back Up Non Aspal'!K420</f>
        <v>0</v>
      </c>
      <c r="J72" s="101">
        <f>'3. Back Up Non Aspal'!N420</f>
        <v>0</v>
      </c>
      <c r="K72" s="101">
        <f>'3. Back Up Non Aspal'!Q420</f>
        <v>0</v>
      </c>
      <c r="L72" s="101">
        <f>'3. Back Up Non Aspal'!T420</f>
        <v>0</v>
      </c>
      <c r="M72" s="183">
        <f>'3. Back Up Non Aspal'!U420</f>
        <v>1</v>
      </c>
      <c r="N72" s="99">
        <f>'3. Back Up Non Aspal'!V420</f>
        <v>1</v>
      </c>
      <c r="O72" s="101">
        <f>'3. Back Up Non Aspal'!Y420</f>
        <v>300</v>
      </c>
      <c r="P72" s="101">
        <f>'3. Back Up Non Aspal'!Z420</f>
        <v>1</v>
      </c>
      <c r="Q72" s="183">
        <f>'3. Back Up Non Aspal'!AA420</f>
        <v>0</v>
      </c>
      <c r="R72" s="99">
        <f>'3. Back Up Non Aspal'!AB420</f>
        <v>1</v>
      </c>
      <c r="S72" s="101">
        <f>'3. Back Up Non Aspal'!AE420</f>
        <v>0</v>
      </c>
      <c r="T72" s="99">
        <f>'3. Back Up Non Aspal'!AH420</f>
        <v>0</v>
      </c>
      <c r="U72" s="101">
        <f>'3. Back Up Non Aspal'!AI420</f>
        <v>1</v>
      </c>
      <c r="V72" s="106"/>
    </row>
    <row r="73" spans="2:22" s="35" customFormat="1" ht="17.100000000000001" customHeight="1">
      <c r="B73" s="105"/>
      <c r="C73" s="54">
        <f t="shared" si="6"/>
        <v>7700</v>
      </c>
      <c r="D73" s="96">
        <f t="shared" si="7"/>
        <v>7800</v>
      </c>
      <c r="E73" s="111">
        <v>4</v>
      </c>
      <c r="F73" s="112">
        <f t="shared" si="4"/>
        <v>75</v>
      </c>
      <c r="G73" s="113" t="str">
        <f t="shared" si="5"/>
        <v>RB</v>
      </c>
      <c r="H73" s="183">
        <f>'3. Back Up Non Aspal'!H428</f>
        <v>1</v>
      </c>
      <c r="I73" s="101">
        <f>'3. Back Up Non Aspal'!K428</f>
        <v>0</v>
      </c>
      <c r="J73" s="101">
        <f>'3. Back Up Non Aspal'!N428</f>
        <v>0</v>
      </c>
      <c r="K73" s="101">
        <f>'3. Back Up Non Aspal'!Q428</f>
        <v>0</v>
      </c>
      <c r="L73" s="101">
        <f>'3. Back Up Non Aspal'!T428</f>
        <v>0</v>
      </c>
      <c r="M73" s="183">
        <f>'3. Back Up Non Aspal'!U428</f>
        <v>1</v>
      </c>
      <c r="N73" s="99">
        <f>'3. Back Up Non Aspal'!V428</f>
        <v>1</v>
      </c>
      <c r="O73" s="101">
        <f>'3. Back Up Non Aspal'!Y428</f>
        <v>300</v>
      </c>
      <c r="P73" s="101">
        <f>'3. Back Up Non Aspal'!Z428</f>
        <v>1</v>
      </c>
      <c r="Q73" s="183">
        <f>'3. Back Up Non Aspal'!AA428</f>
        <v>0</v>
      </c>
      <c r="R73" s="99">
        <f>'3. Back Up Non Aspal'!AB428</f>
        <v>1</v>
      </c>
      <c r="S73" s="101">
        <f>'3. Back Up Non Aspal'!AE428</f>
        <v>0</v>
      </c>
      <c r="T73" s="99">
        <f>'3. Back Up Non Aspal'!AH428</f>
        <v>0</v>
      </c>
      <c r="U73" s="101">
        <f>'3. Back Up Non Aspal'!AI428</f>
        <v>1</v>
      </c>
      <c r="V73" s="106"/>
    </row>
    <row r="74" spans="2:22" s="35" customFormat="1" ht="16.95" customHeight="1">
      <c r="B74" s="105"/>
      <c r="C74" s="54">
        <f t="shared" si="6"/>
        <v>7800</v>
      </c>
      <c r="D74" s="96">
        <f t="shared" si="7"/>
        <v>7900</v>
      </c>
      <c r="E74" s="111">
        <v>4</v>
      </c>
      <c r="F74" s="112">
        <f t="shared" si="4"/>
        <v>75</v>
      </c>
      <c r="G74" s="113" t="str">
        <f t="shared" si="5"/>
        <v>RB</v>
      </c>
      <c r="H74" s="183">
        <f>'3. Back Up Non Aspal'!H436</f>
        <v>1</v>
      </c>
      <c r="I74" s="101">
        <f>'3. Back Up Non Aspal'!K436</f>
        <v>0</v>
      </c>
      <c r="J74" s="101">
        <f>'3. Back Up Non Aspal'!N436</f>
        <v>0</v>
      </c>
      <c r="K74" s="101">
        <f>'3. Back Up Non Aspal'!Q436</f>
        <v>0</v>
      </c>
      <c r="L74" s="101">
        <f>'3. Back Up Non Aspal'!T436</f>
        <v>0</v>
      </c>
      <c r="M74" s="183">
        <f>'3. Back Up Non Aspal'!U436</f>
        <v>1</v>
      </c>
      <c r="N74" s="99">
        <f>'3. Back Up Non Aspal'!V436</f>
        <v>1</v>
      </c>
      <c r="O74" s="101">
        <f>'3. Back Up Non Aspal'!Y436</f>
        <v>300</v>
      </c>
      <c r="P74" s="101">
        <f>'3. Back Up Non Aspal'!Z436</f>
        <v>1</v>
      </c>
      <c r="Q74" s="183">
        <f>'3. Back Up Non Aspal'!AA436</f>
        <v>0</v>
      </c>
      <c r="R74" s="99">
        <f>'3. Back Up Non Aspal'!AB436</f>
        <v>1</v>
      </c>
      <c r="S74" s="101">
        <f>'3. Back Up Non Aspal'!AE436</f>
        <v>0</v>
      </c>
      <c r="T74" s="99">
        <f>'3. Back Up Non Aspal'!AH436</f>
        <v>0</v>
      </c>
      <c r="U74" s="101">
        <f>'3. Back Up Non Aspal'!AI436</f>
        <v>1</v>
      </c>
      <c r="V74" s="106"/>
    </row>
    <row r="75" spans="2:22" s="35" customFormat="1" ht="17.100000000000001" customHeight="1">
      <c r="B75" s="105"/>
      <c r="C75" s="54">
        <f t="shared" si="6"/>
        <v>7900</v>
      </c>
      <c r="D75" s="96">
        <f t="shared" si="7"/>
        <v>8000</v>
      </c>
      <c r="E75" s="111">
        <v>4</v>
      </c>
      <c r="F75" s="112">
        <f t="shared" si="4"/>
        <v>75</v>
      </c>
      <c r="G75" s="113" t="str">
        <f t="shared" si="5"/>
        <v>RB</v>
      </c>
      <c r="H75" s="183">
        <f>'3. Back Up Non Aspal'!H444</f>
        <v>1</v>
      </c>
      <c r="I75" s="101">
        <f>'3. Back Up Non Aspal'!K444</f>
        <v>0</v>
      </c>
      <c r="J75" s="101">
        <f>'3. Back Up Non Aspal'!N444</f>
        <v>0</v>
      </c>
      <c r="K75" s="101">
        <f>'3. Back Up Non Aspal'!Q444</f>
        <v>0</v>
      </c>
      <c r="L75" s="101">
        <f>'3. Back Up Non Aspal'!T444</f>
        <v>0</v>
      </c>
      <c r="M75" s="183">
        <f>'3. Back Up Non Aspal'!U444</f>
        <v>1</v>
      </c>
      <c r="N75" s="99">
        <f>'3. Back Up Non Aspal'!V444</f>
        <v>1</v>
      </c>
      <c r="O75" s="101">
        <f>'3. Back Up Non Aspal'!Y444</f>
        <v>300</v>
      </c>
      <c r="P75" s="101">
        <f>'3. Back Up Non Aspal'!Z444</f>
        <v>1</v>
      </c>
      <c r="Q75" s="183">
        <f>'3. Back Up Non Aspal'!AA444</f>
        <v>0</v>
      </c>
      <c r="R75" s="99">
        <f>'3. Back Up Non Aspal'!AB444</f>
        <v>1</v>
      </c>
      <c r="S75" s="101">
        <f>'3. Back Up Non Aspal'!AE444</f>
        <v>0</v>
      </c>
      <c r="T75" s="99">
        <f>'3. Back Up Non Aspal'!AH444</f>
        <v>0</v>
      </c>
      <c r="U75" s="101">
        <f>'3. Back Up Non Aspal'!AI444</f>
        <v>1</v>
      </c>
      <c r="V75" s="106"/>
    </row>
    <row r="76" spans="2:22" s="35" customFormat="1" ht="17.100000000000001" customHeight="1">
      <c r="B76" s="105"/>
      <c r="C76" s="54">
        <f t="shared" si="6"/>
        <v>8000</v>
      </c>
      <c r="D76" s="96">
        <f t="shared" si="7"/>
        <v>8100</v>
      </c>
      <c r="E76" s="111">
        <v>4</v>
      </c>
      <c r="F76" s="112">
        <f t="shared" si="4"/>
        <v>78.75</v>
      </c>
      <c r="G76" s="113" t="str">
        <f t="shared" si="5"/>
        <v>RB</v>
      </c>
      <c r="H76" s="183">
        <f>'3. Back Up Non Aspal'!H452</f>
        <v>1</v>
      </c>
      <c r="I76" s="101">
        <f>'3. Back Up Non Aspal'!K452</f>
        <v>0</v>
      </c>
      <c r="J76" s="101">
        <f>'3. Back Up Non Aspal'!N452</f>
        <v>0</v>
      </c>
      <c r="K76" s="101">
        <f>'3. Back Up Non Aspal'!Q452</f>
        <v>0</v>
      </c>
      <c r="L76" s="101">
        <f>'3. Back Up Non Aspal'!T452</f>
        <v>15</v>
      </c>
      <c r="M76" s="183">
        <f>'3. Back Up Non Aspal'!U452</f>
        <v>1</v>
      </c>
      <c r="N76" s="99">
        <f>'3. Back Up Non Aspal'!V452</f>
        <v>1</v>
      </c>
      <c r="O76" s="101">
        <f>'3. Back Up Non Aspal'!Y452</f>
        <v>300</v>
      </c>
      <c r="P76" s="101">
        <f>'3. Back Up Non Aspal'!Z452</f>
        <v>1</v>
      </c>
      <c r="Q76" s="183">
        <f>'3. Back Up Non Aspal'!AA452</f>
        <v>0</v>
      </c>
      <c r="R76" s="99">
        <f>'3. Back Up Non Aspal'!AB452</f>
        <v>1</v>
      </c>
      <c r="S76" s="101">
        <f>'3. Back Up Non Aspal'!AE452</f>
        <v>0</v>
      </c>
      <c r="T76" s="99">
        <f>'3. Back Up Non Aspal'!AH452</f>
        <v>0</v>
      </c>
      <c r="U76" s="101">
        <f>'3. Back Up Non Aspal'!AI452</f>
        <v>1</v>
      </c>
      <c r="V76" s="106"/>
    </row>
    <row r="77" spans="2:22" s="35" customFormat="1" ht="17.100000000000001" customHeight="1">
      <c r="B77" s="248"/>
      <c r="C77" s="249">
        <f>D76</f>
        <v>8100</v>
      </c>
      <c r="D77" s="250">
        <f>NOTE!L12</f>
        <v>8150</v>
      </c>
      <c r="E77" s="251">
        <v>4</v>
      </c>
      <c r="F77" s="112">
        <f t="shared" si="4"/>
        <v>0</v>
      </c>
      <c r="G77" s="113" t="str">
        <f t="shared" si="5"/>
        <v>RB</v>
      </c>
      <c r="H77" s="183">
        <f>'3. Back Up Non Aspal'!H460</f>
        <v>1</v>
      </c>
      <c r="I77" s="101">
        <f>'3. Back Up Non Aspal'!K460</f>
        <v>0</v>
      </c>
      <c r="J77" s="101">
        <f>'3. Back Up Non Aspal'!N460</f>
        <v>0</v>
      </c>
      <c r="K77" s="101">
        <f>'3. Back Up Non Aspal'!Q460</f>
        <v>0</v>
      </c>
      <c r="L77" s="101">
        <f>'3. Back Up Non Aspal'!T460</f>
        <v>0</v>
      </c>
      <c r="M77" s="183">
        <f>'3. Back Up Non Aspal'!U460</f>
        <v>1</v>
      </c>
      <c r="N77" s="99">
        <f>'3. Back Up Non Aspal'!V460</f>
        <v>1</v>
      </c>
      <c r="O77" s="101">
        <f>'3. Back Up Non Aspal'!Y460</f>
        <v>0</v>
      </c>
      <c r="P77" s="101">
        <f>'3. Back Up Non Aspal'!Z460</f>
        <v>1</v>
      </c>
      <c r="Q77" s="183">
        <f>'3. Back Up Non Aspal'!AA460</f>
        <v>0</v>
      </c>
      <c r="R77" s="99">
        <f>'3. Back Up Non Aspal'!AB460</f>
        <v>1</v>
      </c>
      <c r="S77" s="101">
        <f>'3. Back Up Non Aspal'!AE460</f>
        <v>0</v>
      </c>
      <c r="T77" s="99">
        <f>'3. Back Up Non Aspal'!AH460</f>
        <v>0</v>
      </c>
      <c r="U77" s="101">
        <f>'3. Back Up Non Aspal'!AI460</f>
        <v>1</v>
      </c>
      <c r="V77" s="106"/>
    </row>
    <row r="78" spans="2:22" s="35" customFormat="1" ht="17.100000000000001" customHeight="1">
      <c r="B78" s="105"/>
      <c r="C78" s="54">
        <f>NOTE!J14</f>
        <v>8960</v>
      </c>
      <c r="D78" s="96">
        <v>9000</v>
      </c>
      <c r="E78" s="111">
        <v>3</v>
      </c>
      <c r="F78" s="112">
        <f t="shared" si="4"/>
        <v>50</v>
      </c>
      <c r="G78" s="113" t="str">
        <f t="shared" si="5"/>
        <v>RB</v>
      </c>
      <c r="H78" s="183">
        <f>'3. Back Up Non Aspal'!H468</f>
        <v>1</v>
      </c>
      <c r="I78" s="101">
        <f>'3. Back Up Non Aspal'!K468</f>
        <v>0</v>
      </c>
      <c r="J78" s="101">
        <f>'3. Back Up Non Aspal'!N468</f>
        <v>0</v>
      </c>
      <c r="K78" s="101">
        <f>'3. Back Up Non Aspal'!Q468</f>
        <v>0</v>
      </c>
      <c r="L78" s="101">
        <f>'3. Back Up Non Aspal'!T468</f>
        <v>0</v>
      </c>
      <c r="M78" s="183">
        <f>'3. Back Up Non Aspal'!U468</f>
        <v>1</v>
      </c>
      <c r="N78" s="99">
        <f>'3. Back Up Non Aspal'!V468</f>
        <v>1</v>
      </c>
      <c r="O78" s="101">
        <f>'3. Back Up Non Aspal'!Y468</f>
        <v>60</v>
      </c>
      <c r="P78" s="101">
        <f>'3. Back Up Non Aspal'!Z468</f>
        <v>1</v>
      </c>
      <c r="Q78" s="183">
        <f>'3. Back Up Non Aspal'!AA468</f>
        <v>0</v>
      </c>
      <c r="R78" s="99">
        <f>'3. Back Up Non Aspal'!AB468</f>
        <v>1</v>
      </c>
      <c r="S78" s="101">
        <f>'3. Back Up Non Aspal'!AE468</f>
        <v>0</v>
      </c>
      <c r="T78" s="99">
        <f>'3. Back Up Non Aspal'!AH468</f>
        <v>0</v>
      </c>
      <c r="U78" s="101">
        <f>'3. Back Up Non Aspal'!AI468</f>
        <v>1</v>
      </c>
      <c r="V78" s="106"/>
    </row>
    <row r="79" spans="2:22" s="35" customFormat="1" ht="17.100000000000001" customHeight="1">
      <c r="B79" s="105"/>
      <c r="C79" s="54">
        <f t="shared" si="6"/>
        <v>9000</v>
      </c>
      <c r="D79" s="96">
        <f t="shared" si="7"/>
        <v>9100</v>
      </c>
      <c r="E79" s="111">
        <v>3</v>
      </c>
      <c r="F79" s="112">
        <f t="shared" si="4"/>
        <v>100</v>
      </c>
      <c r="G79" s="113" t="str">
        <f t="shared" si="5"/>
        <v>RB</v>
      </c>
      <c r="H79" s="183">
        <f>'3. Back Up Non Aspal'!H476</f>
        <v>1</v>
      </c>
      <c r="I79" s="101">
        <f>'3. Back Up Non Aspal'!K476</f>
        <v>0</v>
      </c>
      <c r="J79" s="101">
        <f>'3. Back Up Non Aspal'!N476</f>
        <v>0</v>
      </c>
      <c r="K79" s="101">
        <f>'3. Back Up Non Aspal'!Q476</f>
        <v>0</v>
      </c>
      <c r="L79" s="101">
        <f>'3. Back Up Non Aspal'!T476</f>
        <v>0</v>
      </c>
      <c r="M79" s="183">
        <f>'3. Back Up Non Aspal'!U476</f>
        <v>1</v>
      </c>
      <c r="N79" s="99">
        <f>'3. Back Up Non Aspal'!V476</f>
        <v>1</v>
      </c>
      <c r="O79" s="101">
        <f>'3. Back Up Non Aspal'!Y476</f>
        <v>300</v>
      </c>
      <c r="P79" s="101">
        <f>'3. Back Up Non Aspal'!Z476</f>
        <v>1</v>
      </c>
      <c r="Q79" s="183">
        <f>'3. Back Up Non Aspal'!AA476</f>
        <v>0</v>
      </c>
      <c r="R79" s="99">
        <f>'3. Back Up Non Aspal'!AB476</f>
        <v>1</v>
      </c>
      <c r="S79" s="101">
        <f>'3. Back Up Non Aspal'!AE476</f>
        <v>0</v>
      </c>
      <c r="T79" s="99">
        <f>'3. Back Up Non Aspal'!AH476</f>
        <v>0</v>
      </c>
      <c r="U79" s="101">
        <f>'3. Back Up Non Aspal'!AI476</f>
        <v>1</v>
      </c>
      <c r="V79" s="106"/>
    </row>
    <row r="80" spans="2:22" s="35" customFormat="1" ht="17.100000000000001" customHeight="1">
      <c r="B80" s="105"/>
      <c r="C80" s="54">
        <f t="shared" si="6"/>
        <v>9100</v>
      </c>
      <c r="D80" s="96">
        <f t="shared" si="7"/>
        <v>9200</v>
      </c>
      <c r="E80" s="111">
        <v>3</v>
      </c>
      <c r="F80" s="112">
        <f t="shared" si="4"/>
        <v>66.666666666666657</v>
      </c>
      <c r="G80" s="113" t="str">
        <f t="shared" si="5"/>
        <v>RB</v>
      </c>
      <c r="H80" s="183">
        <f>'3. Back Up Non Aspal'!H484</f>
        <v>1</v>
      </c>
      <c r="I80" s="101">
        <f>'3. Back Up Non Aspal'!K484</f>
        <v>0</v>
      </c>
      <c r="J80" s="101">
        <f>'3. Back Up Non Aspal'!N484</f>
        <v>0</v>
      </c>
      <c r="K80" s="101">
        <f>'3. Back Up Non Aspal'!Q484</f>
        <v>0</v>
      </c>
      <c r="L80" s="101">
        <f>'3. Back Up Non Aspal'!T484</f>
        <v>0</v>
      </c>
      <c r="M80" s="183">
        <f>'3. Back Up Non Aspal'!U484</f>
        <v>1</v>
      </c>
      <c r="N80" s="99">
        <f>'3. Back Up Non Aspal'!V484</f>
        <v>1</v>
      </c>
      <c r="O80" s="101">
        <f>'3. Back Up Non Aspal'!Y484</f>
        <v>200</v>
      </c>
      <c r="P80" s="101">
        <f>'3. Back Up Non Aspal'!Z484</f>
        <v>1</v>
      </c>
      <c r="Q80" s="183">
        <f>'3. Back Up Non Aspal'!AA484</f>
        <v>0</v>
      </c>
      <c r="R80" s="99">
        <f>'3. Back Up Non Aspal'!AB484</f>
        <v>1</v>
      </c>
      <c r="S80" s="101">
        <f>'3. Back Up Non Aspal'!AE484</f>
        <v>0</v>
      </c>
      <c r="T80" s="99">
        <f>'3. Back Up Non Aspal'!AH484</f>
        <v>0</v>
      </c>
      <c r="U80" s="101">
        <f>'3. Back Up Non Aspal'!AI484</f>
        <v>1</v>
      </c>
      <c r="V80" s="106"/>
    </row>
    <row r="81" spans="2:22" s="35" customFormat="1" ht="17.100000000000001" customHeight="1">
      <c r="B81" s="248"/>
      <c r="C81" s="249">
        <f t="shared" si="6"/>
        <v>9200</v>
      </c>
      <c r="D81" s="250">
        <f>NOTE!L14</f>
        <v>9280</v>
      </c>
      <c r="E81" s="251">
        <v>3</v>
      </c>
      <c r="F81" s="112">
        <f t="shared" ref="F81:F124" si="12">(100/((D81-C81)*E81))*((I81*0.05)+(J81*0.05)+(K81*0.05)+(L81)+(O81)+(S81*1.5)+(T81*1))</f>
        <v>50</v>
      </c>
      <c r="G81" s="113" t="str">
        <f t="shared" ref="G81:G124" si="13">IF(F81&lt;=25,"RB",IF(F81&lt;=75,"RB",IF(F81&lt;=100,"RB","RB")))</f>
        <v>RB</v>
      </c>
      <c r="H81" s="183">
        <f>'3. Back Up Non Aspal'!H492</f>
        <v>1</v>
      </c>
      <c r="I81" s="101">
        <f>'3. Back Up Non Aspal'!K492</f>
        <v>0</v>
      </c>
      <c r="J81" s="101">
        <f>'3. Back Up Non Aspal'!N492</f>
        <v>0</v>
      </c>
      <c r="K81" s="101">
        <f>'3. Back Up Non Aspal'!Q492</f>
        <v>0</v>
      </c>
      <c r="L81" s="101">
        <f>'3. Back Up Non Aspal'!T492</f>
        <v>60</v>
      </c>
      <c r="M81" s="183">
        <f>'3. Back Up Non Aspal'!U492</f>
        <v>1</v>
      </c>
      <c r="N81" s="99">
        <f>'3. Back Up Non Aspal'!V492</f>
        <v>1</v>
      </c>
      <c r="O81" s="101">
        <f>'3. Back Up Non Aspal'!Y492</f>
        <v>60</v>
      </c>
      <c r="P81" s="101">
        <f>'3. Back Up Non Aspal'!Z492</f>
        <v>1</v>
      </c>
      <c r="Q81" s="183">
        <f>'3. Back Up Non Aspal'!AA492</f>
        <v>0</v>
      </c>
      <c r="R81" s="99">
        <f>'3. Back Up Non Aspal'!AB492</f>
        <v>1</v>
      </c>
      <c r="S81" s="101">
        <f>'3. Back Up Non Aspal'!AE492</f>
        <v>0</v>
      </c>
      <c r="T81" s="99">
        <f>'3. Back Up Non Aspal'!AH492</f>
        <v>0</v>
      </c>
      <c r="U81" s="101">
        <f>'3. Back Up Non Aspal'!AI492</f>
        <v>1</v>
      </c>
      <c r="V81" s="106"/>
    </row>
    <row r="82" spans="2:22" s="35" customFormat="1" ht="17.100000000000001" customHeight="1">
      <c r="B82" s="105"/>
      <c r="C82" s="54">
        <f>NOTE!J16</f>
        <v>9960</v>
      </c>
      <c r="D82" s="96">
        <v>10000</v>
      </c>
      <c r="E82" s="111">
        <v>3</v>
      </c>
      <c r="F82" s="112">
        <f t="shared" si="12"/>
        <v>225</v>
      </c>
      <c r="G82" s="113" t="str">
        <f t="shared" si="13"/>
        <v>RB</v>
      </c>
      <c r="H82" s="183">
        <f>'3. Back Up Non Aspal'!H500</f>
        <v>1</v>
      </c>
      <c r="I82" s="101">
        <f>'3. Back Up Non Aspal'!K500</f>
        <v>0</v>
      </c>
      <c r="J82" s="101">
        <f>'3. Back Up Non Aspal'!N500</f>
        <v>0</v>
      </c>
      <c r="K82" s="101">
        <f>'3. Back Up Non Aspal'!Q500</f>
        <v>0</v>
      </c>
      <c r="L82" s="101">
        <f>'3. Back Up Non Aspal'!T500</f>
        <v>30</v>
      </c>
      <c r="M82" s="183">
        <f>'3. Back Up Non Aspal'!U500</f>
        <v>1</v>
      </c>
      <c r="N82" s="99">
        <f>'3. Back Up Non Aspal'!V500</f>
        <v>1</v>
      </c>
      <c r="O82" s="101">
        <f>'3. Back Up Non Aspal'!Y500</f>
        <v>240</v>
      </c>
      <c r="P82" s="101">
        <f>'3. Back Up Non Aspal'!Z500</f>
        <v>1</v>
      </c>
      <c r="Q82" s="183">
        <f>'3. Back Up Non Aspal'!AA500</f>
        <v>0</v>
      </c>
      <c r="R82" s="99">
        <f>'3. Back Up Non Aspal'!AB500</f>
        <v>1</v>
      </c>
      <c r="S82" s="101">
        <f>'3. Back Up Non Aspal'!AE500</f>
        <v>0</v>
      </c>
      <c r="T82" s="99">
        <f>'3. Back Up Non Aspal'!AH500</f>
        <v>0</v>
      </c>
      <c r="U82" s="101">
        <f>'3. Back Up Non Aspal'!AI500</f>
        <v>1</v>
      </c>
      <c r="V82" s="106"/>
    </row>
    <row r="83" spans="2:22" s="35" customFormat="1" ht="17.100000000000001" customHeight="1">
      <c r="B83" s="105"/>
      <c r="C83" s="54">
        <f t="shared" ref="C83:C124" si="14">D82</f>
        <v>10000</v>
      </c>
      <c r="D83" s="96">
        <f t="shared" si="7"/>
        <v>10100</v>
      </c>
      <c r="E83" s="111">
        <v>3</v>
      </c>
      <c r="F83" s="112">
        <f t="shared" si="12"/>
        <v>66.666666666666657</v>
      </c>
      <c r="G83" s="113" t="str">
        <f t="shared" si="13"/>
        <v>RB</v>
      </c>
      <c r="H83" s="183">
        <f>'3. Back Up Non Aspal'!H508</f>
        <v>1</v>
      </c>
      <c r="I83" s="101">
        <f>'3. Back Up Non Aspal'!K508</f>
        <v>0</v>
      </c>
      <c r="J83" s="101">
        <f>'3. Back Up Non Aspal'!N508</f>
        <v>0</v>
      </c>
      <c r="K83" s="101">
        <f>'3. Back Up Non Aspal'!Q508</f>
        <v>0</v>
      </c>
      <c r="L83" s="101">
        <f>'3. Back Up Non Aspal'!T508</f>
        <v>0</v>
      </c>
      <c r="M83" s="183">
        <f>'3. Back Up Non Aspal'!U508</f>
        <v>1</v>
      </c>
      <c r="N83" s="99">
        <f>'3. Back Up Non Aspal'!V508</f>
        <v>1</v>
      </c>
      <c r="O83" s="101">
        <f>'3. Back Up Non Aspal'!Y508</f>
        <v>200</v>
      </c>
      <c r="P83" s="101">
        <f>'3. Back Up Non Aspal'!Z508</f>
        <v>1</v>
      </c>
      <c r="Q83" s="183">
        <f>'3. Back Up Non Aspal'!AA508</f>
        <v>0</v>
      </c>
      <c r="R83" s="99">
        <f>'3. Back Up Non Aspal'!AB508</f>
        <v>1</v>
      </c>
      <c r="S83" s="101">
        <f>'3. Back Up Non Aspal'!AE508</f>
        <v>0</v>
      </c>
      <c r="T83" s="99">
        <f>'3. Back Up Non Aspal'!AH508</f>
        <v>0</v>
      </c>
      <c r="U83" s="101">
        <f>'3. Back Up Non Aspal'!AI508</f>
        <v>1</v>
      </c>
      <c r="V83" s="106"/>
    </row>
    <row r="84" spans="2:22" s="35" customFormat="1" ht="17.100000000000001" customHeight="1">
      <c r="B84" s="105"/>
      <c r="C84" s="54">
        <f t="shared" si="14"/>
        <v>10100</v>
      </c>
      <c r="D84" s="96">
        <f t="shared" ref="D84:D91" si="15">C84+100</f>
        <v>10200</v>
      </c>
      <c r="E84" s="111">
        <v>3</v>
      </c>
      <c r="F84" s="112">
        <f t="shared" si="12"/>
        <v>66.666666666666657</v>
      </c>
      <c r="G84" s="113" t="str">
        <f t="shared" si="13"/>
        <v>RB</v>
      </c>
      <c r="H84" s="183">
        <f>'3. Back Up Non Aspal'!H516</f>
        <v>1</v>
      </c>
      <c r="I84" s="101">
        <f>'3. Back Up Non Aspal'!K516</f>
        <v>0</v>
      </c>
      <c r="J84" s="101">
        <f>'3. Back Up Non Aspal'!N516</f>
        <v>0</v>
      </c>
      <c r="K84" s="101">
        <f>'3. Back Up Non Aspal'!Q516</f>
        <v>0</v>
      </c>
      <c r="L84" s="101">
        <f>'3. Back Up Non Aspal'!T516</f>
        <v>0</v>
      </c>
      <c r="M84" s="183">
        <f>'3. Back Up Non Aspal'!U516</f>
        <v>1</v>
      </c>
      <c r="N84" s="99">
        <f>'3. Back Up Non Aspal'!V516</f>
        <v>1</v>
      </c>
      <c r="O84" s="101">
        <f>'3. Back Up Non Aspal'!Y516</f>
        <v>200</v>
      </c>
      <c r="P84" s="101">
        <f>'3. Back Up Non Aspal'!Z516</f>
        <v>1</v>
      </c>
      <c r="Q84" s="183">
        <f>'3. Back Up Non Aspal'!AA516</f>
        <v>0</v>
      </c>
      <c r="R84" s="99">
        <f>'3. Back Up Non Aspal'!AB516</f>
        <v>1</v>
      </c>
      <c r="S84" s="101">
        <f>'3. Back Up Non Aspal'!AE516</f>
        <v>0</v>
      </c>
      <c r="T84" s="99">
        <f>'3. Back Up Non Aspal'!AH516</f>
        <v>0</v>
      </c>
      <c r="U84" s="101">
        <f>'3. Back Up Non Aspal'!AI516</f>
        <v>1</v>
      </c>
      <c r="V84" s="106"/>
    </row>
    <row r="85" spans="2:22" s="35" customFormat="1" ht="17.100000000000001" customHeight="1">
      <c r="B85" s="105"/>
      <c r="C85" s="54">
        <f t="shared" si="14"/>
        <v>10200</v>
      </c>
      <c r="D85" s="96">
        <f t="shared" si="15"/>
        <v>10300</v>
      </c>
      <c r="E85" s="111">
        <v>3</v>
      </c>
      <c r="F85" s="112">
        <f t="shared" si="12"/>
        <v>83.333333333333329</v>
      </c>
      <c r="G85" s="113" t="str">
        <f t="shared" si="13"/>
        <v>RB</v>
      </c>
      <c r="H85" s="183">
        <f>'3. Back Up Non Aspal'!H524</f>
        <v>1</v>
      </c>
      <c r="I85" s="101">
        <f>'3. Back Up Non Aspal'!K524</f>
        <v>0</v>
      </c>
      <c r="J85" s="101">
        <f>'3. Back Up Non Aspal'!N524</f>
        <v>0</v>
      </c>
      <c r="K85" s="101">
        <f>'3. Back Up Non Aspal'!Q524</f>
        <v>0</v>
      </c>
      <c r="L85" s="101">
        <f>'3. Back Up Non Aspal'!T524</f>
        <v>0</v>
      </c>
      <c r="M85" s="183">
        <f>'3. Back Up Non Aspal'!U524</f>
        <v>1</v>
      </c>
      <c r="N85" s="99">
        <f>'3. Back Up Non Aspal'!V524</f>
        <v>1</v>
      </c>
      <c r="O85" s="101">
        <f>'3. Back Up Non Aspal'!Y524</f>
        <v>250</v>
      </c>
      <c r="P85" s="101">
        <f>'3. Back Up Non Aspal'!Z524</f>
        <v>1</v>
      </c>
      <c r="Q85" s="183">
        <f>'3. Back Up Non Aspal'!AA524</f>
        <v>0</v>
      </c>
      <c r="R85" s="99">
        <f>'3. Back Up Non Aspal'!AB524</f>
        <v>1</v>
      </c>
      <c r="S85" s="101">
        <f>'3. Back Up Non Aspal'!AE524</f>
        <v>0</v>
      </c>
      <c r="T85" s="99">
        <f>'3. Back Up Non Aspal'!AH524</f>
        <v>0</v>
      </c>
      <c r="U85" s="101">
        <f>'3. Back Up Non Aspal'!AI524</f>
        <v>1</v>
      </c>
      <c r="V85" s="106"/>
    </row>
    <row r="86" spans="2:22" s="35" customFormat="1" ht="17.100000000000001" customHeight="1">
      <c r="B86" s="105"/>
      <c r="C86" s="54">
        <f t="shared" si="14"/>
        <v>10300</v>
      </c>
      <c r="D86" s="96">
        <f t="shared" si="15"/>
        <v>10400</v>
      </c>
      <c r="E86" s="111">
        <v>3</v>
      </c>
      <c r="F86" s="112">
        <f t="shared" si="12"/>
        <v>83.333333333333329</v>
      </c>
      <c r="G86" s="113" t="str">
        <f t="shared" si="13"/>
        <v>RB</v>
      </c>
      <c r="H86" s="183">
        <f>'3. Back Up Non Aspal'!H532</f>
        <v>1</v>
      </c>
      <c r="I86" s="101">
        <f>'3. Back Up Non Aspal'!K532</f>
        <v>0</v>
      </c>
      <c r="J86" s="101">
        <f>'3. Back Up Non Aspal'!N532</f>
        <v>0</v>
      </c>
      <c r="K86" s="101">
        <f>'3. Back Up Non Aspal'!Q532</f>
        <v>0</v>
      </c>
      <c r="L86" s="101">
        <f>'3. Back Up Non Aspal'!T532</f>
        <v>0</v>
      </c>
      <c r="M86" s="183">
        <f>'3. Back Up Non Aspal'!U532</f>
        <v>1</v>
      </c>
      <c r="N86" s="99">
        <f>'3. Back Up Non Aspal'!V532</f>
        <v>1</v>
      </c>
      <c r="O86" s="101">
        <f>'3. Back Up Non Aspal'!Y532</f>
        <v>250</v>
      </c>
      <c r="P86" s="101">
        <f>'3. Back Up Non Aspal'!Z532</f>
        <v>1</v>
      </c>
      <c r="Q86" s="183">
        <f>'3. Back Up Non Aspal'!AA532</f>
        <v>0</v>
      </c>
      <c r="R86" s="99">
        <f>'3. Back Up Non Aspal'!AB532</f>
        <v>1</v>
      </c>
      <c r="S86" s="101">
        <f>'3. Back Up Non Aspal'!AE532</f>
        <v>0</v>
      </c>
      <c r="T86" s="99">
        <f>'3. Back Up Non Aspal'!AH532</f>
        <v>0</v>
      </c>
      <c r="U86" s="101">
        <f>'3. Back Up Non Aspal'!AI532</f>
        <v>1</v>
      </c>
      <c r="V86" s="106"/>
    </row>
    <row r="87" spans="2:22" s="35" customFormat="1" ht="17.100000000000001" customHeight="1">
      <c r="B87" s="105"/>
      <c r="C87" s="54">
        <f t="shared" si="14"/>
        <v>10400</v>
      </c>
      <c r="D87" s="96">
        <f t="shared" si="15"/>
        <v>10500</v>
      </c>
      <c r="E87" s="111">
        <v>3</v>
      </c>
      <c r="F87" s="112">
        <f t="shared" si="12"/>
        <v>83.333333333333329</v>
      </c>
      <c r="G87" s="113" t="str">
        <f t="shared" si="13"/>
        <v>RB</v>
      </c>
      <c r="H87" s="183">
        <f>'3. Back Up Non Aspal'!H540</f>
        <v>1</v>
      </c>
      <c r="I87" s="101">
        <f>'3. Back Up Non Aspal'!K540</f>
        <v>0</v>
      </c>
      <c r="J87" s="101">
        <f>'3. Back Up Non Aspal'!N540</f>
        <v>0</v>
      </c>
      <c r="K87" s="101">
        <f>'3. Back Up Non Aspal'!Q540</f>
        <v>0</v>
      </c>
      <c r="L87" s="101">
        <f>'3. Back Up Non Aspal'!T540</f>
        <v>0</v>
      </c>
      <c r="M87" s="183">
        <f>'3. Back Up Non Aspal'!U540</f>
        <v>1</v>
      </c>
      <c r="N87" s="99">
        <f>'3. Back Up Non Aspal'!V540</f>
        <v>1</v>
      </c>
      <c r="O87" s="101">
        <f>'3. Back Up Non Aspal'!Y540</f>
        <v>250</v>
      </c>
      <c r="P87" s="101">
        <f>'3. Back Up Non Aspal'!Z540</f>
        <v>1</v>
      </c>
      <c r="Q87" s="183">
        <f>'3. Back Up Non Aspal'!AA540</f>
        <v>0</v>
      </c>
      <c r="R87" s="99">
        <f>'3. Back Up Non Aspal'!AB540</f>
        <v>1</v>
      </c>
      <c r="S87" s="101">
        <f>'3. Back Up Non Aspal'!AE540</f>
        <v>0</v>
      </c>
      <c r="T87" s="99">
        <f>'3. Back Up Non Aspal'!AH540</f>
        <v>0</v>
      </c>
      <c r="U87" s="101">
        <f>'3. Back Up Non Aspal'!AI540</f>
        <v>1</v>
      </c>
      <c r="V87" s="106"/>
    </row>
    <row r="88" spans="2:22" s="35" customFormat="1" ht="17.100000000000001" customHeight="1">
      <c r="B88" s="105"/>
      <c r="C88" s="54">
        <f t="shared" si="14"/>
        <v>10500</v>
      </c>
      <c r="D88" s="96">
        <f t="shared" si="15"/>
        <v>10600</v>
      </c>
      <c r="E88" s="111">
        <v>3</v>
      </c>
      <c r="F88" s="112">
        <f t="shared" si="12"/>
        <v>66.666666666666657</v>
      </c>
      <c r="G88" s="113" t="str">
        <f t="shared" si="13"/>
        <v>RB</v>
      </c>
      <c r="H88" s="183">
        <f>'3. Back Up Non Aspal'!H548</f>
        <v>1</v>
      </c>
      <c r="I88" s="101">
        <f>'3. Back Up Non Aspal'!K548</f>
        <v>0</v>
      </c>
      <c r="J88" s="101">
        <f>'3. Back Up Non Aspal'!N548</f>
        <v>0</v>
      </c>
      <c r="K88" s="101">
        <f>'3. Back Up Non Aspal'!Q548</f>
        <v>0</v>
      </c>
      <c r="L88" s="101">
        <f>'3. Back Up Non Aspal'!T548</f>
        <v>0</v>
      </c>
      <c r="M88" s="183">
        <f>'3. Back Up Non Aspal'!U548</f>
        <v>1</v>
      </c>
      <c r="N88" s="99">
        <f>'3. Back Up Non Aspal'!V548</f>
        <v>1</v>
      </c>
      <c r="O88" s="101">
        <f>'3. Back Up Non Aspal'!Y548</f>
        <v>200</v>
      </c>
      <c r="P88" s="101">
        <f>'3. Back Up Non Aspal'!Z548</f>
        <v>1</v>
      </c>
      <c r="Q88" s="183">
        <f>'3. Back Up Non Aspal'!AA548</f>
        <v>0</v>
      </c>
      <c r="R88" s="99">
        <f>'3. Back Up Non Aspal'!AB548</f>
        <v>1</v>
      </c>
      <c r="S88" s="101">
        <f>'3. Back Up Non Aspal'!AE548</f>
        <v>0</v>
      </c>
      <c r="T88" s="99">
        <f>'3. Back Up Non Aspal'!AH548</f>
        <v>0</v>
      </c>
      <c r="U88" s="101">
        <f>'3. Back Up Non Aspal'!AI548</f>
        <v>1</v>
      </c>
      <c r="V88" s="106"/>
    </row>
    <row r="89" spans="2:22" s="35" customFormat="1" ht="17.100000000000001" customHeight="1">
      <c r="B89" s="105"/>
      <c r="C89" s="54">
        <f t="shared" si="14"/>
        <v>10600</v>
      </c>
      <c r="D89" s="96">
        <f t="shared" si="15"/>
        <v>10700</v>
      </c>
      <c r="E89" s="111">
        <v>3</v>
      </c>
      <c r="F89" s="112">
        <f t="shared" si="12"/>
        <v>8.3333333333333321</v>
      </c>
      <c r="G89" s="113" t="str">
        <f t="shared" si="13"/>
        <v>RB</v>
      </c>
      <c r="H89" s="183">
        <f>'3. Back Up Non Aspal'!H556</f>
        <v>1</v>
      </c>
      <c r="I89" s="101">
        <f>'3. Back Up Non Aspal'!K556</f>
        <v>0</v>
      </c>
      <c r="J89" s="101">
        <f>'3. Back Up Non Aspal'!N556</f>
        <v>0</v>
      </c>
      <c r="K89" s="101">
        <f>'3. Back Up Non Aspal'!Q556</f>
        <v>0</v>
      </c>
      <c r="L89" s="101">
        <f>'3. Back Up Non Aspal'!T556</f>
        <v>25</v>
      </c>
      <c r="M89" s="183">
        <f>'3. Back Up Non Aspal'!U556</f>
        <v>1</v>
      </c>
      <c r="N89" s="99">
        <f>'3. Back Up Non Aspal'!V556</f>
        <v>1</v>
      </c>
      <c r="O89" s="101">
        <f>'3. Back Up Non Aspal'!Y556</f>
        <v>0</v>
      </c>
      <c r="P89" s="101">
        <f>'3. Back Up Non Aspal'!Z556</f>
        <v>1</v>
      </c>
      <c r="Q89" s="183">
        <f>'3. Back Up Non Aspal'!AA556</f>
        <v>0</v>
      </c>
      <c r="R89" s="99">
        <f>'3. Back Up Non Aspal'!AB556</f>
        <v>1</v>
      </c>
      <c r="S89" s="101">
        <f>'3. Back Up Non Aspal'!AE556</f>
        <v>0</v>
      </c>
      <c r="T89" s="99">
        <f>'3. Back Up Non Aspal'!AH556</f>
        <v>0</v>
      </c>
      <c r="U89" s="101">
        <f>'3. Back Up Non Aspal'!AI556</f>
        <v>1</v>
      </c>
      <c r="V89" s="106"/>
    </row>
    <row r="90" spans="2:22" s="35" customFormat="1" ht="17.100000000000001" customHeight="1">
      <c r="B90" s="105"/>
      <c r="C90" s="54">
        <f t="shared" si="14"/>
        <v>10700</v>
      </c>
      <c r="D90" s="96">
        <f t="shared" si="15"/>
        <v>10800</v>
      </c>
      <c r="E90" s="111">
        <v>3</v>
      </c>
      <c r="F90" s="112">
        <f t="shared" si="12"/>
        <v>66.666666666666657</v>
      </c>
      <c r="G90" s="113" t="str">
        <f t="shared" si="13"/>
        <v>RB</v>
      </c>
      <c r="H90" s="183">
        <f>'3. Back Up Non Aspal'!H564</f>
        <v>1</v>
      </c>
      <c r="I90" s="101">
        <f>'3. Back Up Non Aspal'!K564</f>
        <v>0</v>
      </c>
      <c r="J90" s="101">
        <f>'3. Back Up Non Aspal'!N564</f>
        <v>0</v>
      </c>
      <c r="K90" s="101">
        <f>'3. Back Up Non Aspal'!Q564</f>
        <v>0</v>
      </c>
      <c r="L90" s="101">
        <f>'3. Back Up Non Aspal'!T564</f>
        <v>0</v>
      </c>
      <c r="M90" s="183">
        <f>'3. Back Up Non Aspal'!U564</f>
        <v>1</v>
      </c>
      <c r="N90" s="99">
        <f>'3. Back Up Non Aspal'!V564</f>
        <v>1</v>
      </c>
      <c r="O90" s="101">
        <f>'3. Back Up Non Aspal'!Y564</f>
        <v>200</v>
      </c>
      <c r="P90" s="101">
        <f>'3. Back Up Non Aspal'!Z564</f>
        <v>1</v>
      </c>
      <c r="Q90" s="183">
        <f>'3. Back Up Non Aspal'!AA564</f>
        <v>0</v>
      </c>
      <c r="R90" s="99">
        <f>'3. Back Up Non Aspal'!AB564</f>
        <v>1</v>
      </c>
      <c r="S90" s="101">
        <f>'3. Back Up Non Aspal'!AE564</f>
        <v>0</v>
      </c>
      <c r="T90" s="99">
        <f>'3. Back Up Non Aspal'!AH564</f>
        <v>0</v>
      </c>
      <c r="U90" s="101">
        <f>'3. Back Up Non Aspal'!AI564</f>
        <v>1</v>
      </c>
      <c r="V90" s="106"/>
    </row>
    <row r="91" spans="2:22" s="35" customFormat="1" ht="17.100000000000001" customHeight="1">
      <c r="B91" s="105"/>
      <c r="C91" s="54">
        <f t="shared" si="14"/>
        <v>10800</v>
      </c>
      <c r="D91" s="96">
        <f t="shared" si="15"/>
        <v>10900</v>
      </c>
      <c r="E91" s="111">
        <v>3</v>
      </c>
      <c r="F91" s="112">
        <f t="shared" si="12"/>
        <v>66.666666666666657</v>
      </c>
      <c r="G91" s="113" t="str">
        <f t="shared" si="13"/>
        <v>RB</v>
      </c>
      <c r="H91" s="183">
        <f>'3. Back Up Non Aspal'!H572</f>
        <v>1</v>
      </c>
      <c r="I91" s="101">
        <f>'3. Back Up Non Aspal'!K572</f>
        <v>0</v>
      </c>
      <c r="J91" s="101">
        <f>'3. Back Up Non Aspal'!N572</f>
        <v>0</v>
      </c>
      <c r="K91" s="101">
        <f>'3. Back Up Non Aspal'!Q572</f>
        <v>0</v>
      </c>
      <c r="L91" s="101">
        <f>'3. Back Up Non Aspal'!T572</f>
        <v>0</v>
      </c>
      <c r="M91" s="183">
        <f>'3. Back Up Non Aspal'!U572</f>
        <v>1</v>
      </c>
      <c r="N91" s="99">
        <f>'3. Back Up Non Aspal'!V572</f>
        <v>1</v>
      </c>
      <c r="O91" s="101">
        <f>'3. Back Up Non Aspal'!Y572</f>
        <v>200</v>
      </c>
      <c r="P91" s="101">
        <f>'3. Back Up Non Aspal'!Z572</f>
        <v>1</v>
      </c>
      <c r="Q91" s="183">
        <f>'3. Back Up Non Aspal'!AA572</f>
        <v>0</v>
      </c>
      <c r="R91" s="99">
        <f>'3. Back Up Non Aspal'!AB572</f>
        <v>1</v>
      </c>
      <c r="S91" s="101">
        <f>'3. Back Up Non Aspal'!AE572</f>
        <v>0</v>
      </c>
      <c r="T91" s="99">
        <f>'3. Back Up Non Aspal'!AH572</f>
        <v>0</v>
      </c>
      <c r="U91" s="101">
        <f>'3. Back Up Non Aspal'!AI572</f>
        <v>1</v>
      </c>
      <c r="V91" s="106"/>
    </row>
    <row r="92" spans="2:22" s="35" customFormat="1" ht="17.100000000000001" customHeight="1">
      <c r="B92" s="248"/>
      <c r="C92" s="249">
        <f t="shared" si="14"/>
        <v>10900</v>
      </c>
      <c r="D92" s="250">
        <f>NOTE!L16</f>
        <v>11000</v>
      </c>
      <c r="E92" s="251">
        <v>3</v>
      </c>
      <c r="F92" s="112">
        <f t="shared" si="12"/>
        <v>26.666666666666664</v>
      </c>
      <c r="G92" s="113" t="str">
        <f t="shared" si="13"/>
        <v>RB</v>
      </c>
      <c r="H92" s="183">
        <f>'3. Back Up Non Aspal'!H580</f>
        <v>1</v>
      </c>
      <c r="I92" s="101">
        <f>'3. Back Up Non Aspal'!K580</f>
        <v>0</v>
      </c>
      <c r="J92" s="101">
        <f>'3. Back Up Non Aspal'!N580</f>
        <v>0</v>
      </c>
      <c r="K92" s="101">
        <f>'3. Back Up Non Aspal'!Q580</f>
        <v>0</v>
      </c>
      <c r="L92" s="101">
        <f>'3. Back Up Non Aspal'!T580</f>
        <v>0</v>
      </c>
      <c r="M92" s="183">
        <f>'3. Back Up Non Aspal'!U580</f>
        <v>1</v>
      </c>
      <c r="N92" s="99">
        <f>'3. Back Up Non Aspal'!V580</f>
        <v>1</v>
      </c>
      <c r="O92" s="101">
        <f>'3. Back Up Non Aspal'!Y580</f>
        <v>80</v>
      </c>
      <c r="P92" s="101">
        <f>'3. Back Up Non Aspal'!Z580</f>
        <v>1</v>
      </c>
      <c r="Q92" s="183">
        <f>'3. Back Up Non Aspal'!AA580</f>
        <v>0</v>
      </c>
      <c r="R92" s="99">
        <f>'3. Back Up Non Aspal'!AB580</f>
        <v>1</v>
      </c>
      <c r="S92" s="101">
        <f>'3. Back Up Non Aspal'!AE580</f>
        <v>0</v>
      </c>
      <c r="T92" s="99">
        <f>'3. Back Up Non Aspal'!AH580</f>
        <v>0</v>
      </c>
      <c r="U92" s="101">
        <f>'3. Back Up Non Aspal'!AI580</f>
        <v>1</v>
      </c>
      <c r="V92" s="106"/>
    </row>
    <row r="93" spans="2:22" s="35" customFormat="1" ht="17.100000000000001" customHeight="1">
      <c r="B93" s="105"/>
      <c r="C93" s="54">
        <f>NOTE!J18</f>
        <v>11310</v>
      </c>
      <c r="D93" s="96">
        <v>11400</v>
      </c>
      <c r="E93" s="111">
        <v>3</v>
      </c>
      <c r="F93" s="112">
        <f t="shared" si="12"/>
        <v>66.666666666666657</v>
      </c>
      <c r="G93" s="113" t="str">
        <f t="shared" si="13"/>
        <v>RB</v>
      </c>
      <c r="H93" s="183">
        <f>'3. Back Up Non Aspal'!H588</f>
        <v>1</v>
      </c>
      <c r="I93" s="101">
        <f>'3. Back Up Non Aspal'!K588</f>
        <v>0</v>
      </c>
      <c r="J93" s="101">
        <f>'3. Back Up Non Aspal'!N588</f>
        <v>0</v>
      </c>
      <c r="K93" s="101">
        <f>'3. Back Up Non Aspal'!Q588</f>
        <v>0</v>
      </c>
      <c r="L93" s="101">
        <f>'3. Back Up Non Aspal'!T588</f>
        <v>30</v>
      </c>
      <c r="M93" s="183">
        <f>'3. Back Up Non Aspal'!U588</f>
        <v>1</v>
      </c>
      <c r="N93" s="99">
        <f>'3. Back Up Non Aspal'!V588</f>
        <v>1</v>
      </c>
      <c r="O93" s="101">
        <f>'3. Back Up Non Aspal'!Y588</f>
        <v>150</v>
      </c>
      <c r="P93" s="101">
        <f>'3. Back Up Non Aspal'!Z588</f>
        <v>1</v>
      </c>
      <c r="Q93" s="183">
        <f>'3. Back Up Non Aspal'!AA588</f>
        <v>0</v>
      </c>
      <c r="R93" s="99">
        <f>'3. Back Up Non Aspal'!AB588</f>
        <v>1</v>
      </c>
      <c r="S93" s="101">
        <f>'3. Back Up Non Aspal'!AE588</f>
        <v>0</v>
      </c>
      <c r="T93" s="99">
        <f>'3. Back Up Non Aspal'!AH588</f>
        <v>0</v>
      </c>
      <c r="U93" s="101">
        <f>'3. Back Up Non Aspal'!AI588</f>
        <v>1</v>
      </c>
      <c r="V93" s="106"/>
    </row>
    <row r="94" spans="2:22" s="35" customFormat="1" ht="17.100000000000001" customHeight="1">
      <c r="B94" s="105"/>
      <c r="C94" s="54">
        <f t="shared" si="14"/>
        <v>11400</v>
      </c>
      <c r="D94" s="96">
        <f t="shared" ref="D94:D124" si="16">C94+100</f>
        <v>11500</v>
      </c>
      <c r="E94" s="111">
        <v>3</v>
      </c>
      <c r="F94" s="112">
        <f t="shared" si="12"/>
        <v>10</v>
      </c>
      <c r="G94" s="113" t="str">
        <f t="shared" si="13"/>
        <v>RB</v>
      </c>
      <c r="H94" s="183">
        <f>'3. Back Up Non Aspal'!H596</f>
        <v>1</v>
      </c>
      <c r="I94" s="101">
        <f>'3. Back Up Non Aspal'!K596</f>
        <v>0</v>
      </c>
      <c r="J94" s="101">
        <f>'3. Back Up Non Aspal'!N596</f>
        <v>0</v>
      </c>
      <c r="K94" s="101">
        <f>'3. Back Up Non Aspal'!Q596</f>
        <v>0</v>
      </c>
      <c r="L94" s="101">
        <f>'3. Back Up Non Aspal'!T596</f>
        <v>30</v>
      </c>
      <c r="M94" s="183">
        <f>'3. Back Up Non Aspal'!U596</f>
        <v>1</v>
      </c>
      <c r="N94" s="99">
        <f>'3. Back Up Non Aspal'!V596</f>
        <v>1</v>
      </c>
      <c r="O94" s="101">
        <f>'3. Back Up Non Aspal'!Y596</f>
        <v>0</v>
      </c>
      <c r="P94" s="101">
        <f>'3. Back Up Non Aspal'!Z596</f>
        <v>1</v>
      </c>
      <c r="Q94" s="183">
        <f>'3. Back Up Non Aspal'!AA596</f>
        <v>0</v>
      </c>
      <c r="R94" s="99">
        <f>'3. Back Up Non Aspal'!AB596</f>
        <v>1</v>
      </c>
      <c r="S94" s="101">
        <f>'3. Back Up Non Aspal'!AE596</f>
        <v>0</v>
      </c>
      <c r="T94" s="99">
        <f>'3. Back Up Non Aspal'!AH596</f>
        <v>0</v>
      </c>
      <c r="U94" s="101">
        <f>'3. Back Up Non Aspal'!AI596</f>
        <v>1</v>
      </c>
      <c r="V94" s="106"/>
    </row>
    <row r="95" spans="2:22" s="35" customFormat="1" ht="17.100000000000001" customHeight="1">
      <c r="B95" s="105"/>
      <c r="C95" s="54">
        <f t="shared" si="14"/>
        <v>11500</v>
      </c>
      <c r="D95" s="96">
        <f t="shared" si="16"/>
        <v>11600</v>
      </c>
      <c r="E95" s="111">
        <v>3</v>
      </c>
      <c r="F95" s="112">
        <f t="shared" si="12"/>
        <v>50</v>
      </c>
      <c r="G95" s="113" t="str">
        <f t="shared" si="13"/>
        <v>RB</v>
      </c>
      <c r="H95" s="183">
        <f>'3. Back Up Non Aspal'!H604</f>
        <v>1</v>
      </c>
      <c r="I95" s="101">
        <f>'3. Back Up Non Aspal'!K604</f>
        <v>0</v>
      </c>
      <c r="J95" s="101">
        <f>'3. Back Up Non Aspal'!N604</f>
        <v>0</v>
      </c>
      <c r="K95" s="101">
        <f>'3. Back Up Non Aspal'!Q604</f>
        <v>0</v>
      </c>
      <c r="L95" s="101">
        <f>'3. Back Up Non Aspal'!T604</f>
        <v>150</v>
      </c>
      <c r="M95" s="183">
        <f>'3. Back Up Non Aspal'!U604</f>
        <v>1</v>
      </c>
      <c r="N95" s="99">
        <f>'3. Back Up Non Aspal'!V604</f>
        <v>1</v>
      </c>
      <c r="O95" s="101">
        <f>'3. Back Up Non Aspal'!Y604</f>
        <v>0</v>
      </c>
      <c r="P95" s="101">
        <f>'3. Back Up Non Aspal'!Z604</f>
        <v>1</v>
      </c>
      <c r="Q95" s="183">
        <f>'3. Back Up Non Aspal'!AA604</f>
        <v>0</v>
      </c>
      <c r="R95" s="99">
        <f>'3. Back Up Non Aspal'!AB604</f>
        <v>1</v>
      </c>
      <c r="S95" s="101">
        <f>'3. Back Up Non Aspal'!AE604</f>
        <v>0</v>
      </c>
      <c r="T95" s="99">
        <f>'3. Back Up Non Aspal'!AH604</f>
        <v>0</v>
      </c>
      <c r="U95" s="101">
        <f>'3. Back Up Non Aspal'!AI604</f>
        <v>1</v>
      </c>
      <c r="V95" s="106"/>
    </row>
    <row r="96" spans="2:22" s="35" customFormat="1" ht="17.100000000000001" customHeight="1">
      <c r="B96" s="105"/>
      <c r="C96" s="54">
        <f t="shared" si="14"/>
        <v>11600</v>
      </c>
      <c r="D96" s="96">
        <f t="shared" si="16"/>
        <v>11700</v>
      </c>
      <c r="E96" s="111">
        <v>3</v>
      </c>
      <c r="F96" s="112">
        <f t="shared" si="12"/>
        <v>100</v>
      </c>
      <c r="G96" s="113" t="str">
        <f t="shared" si="13"/>
        <v>RB</v>
      </c>
      <c r="H96" s="183">
        <f>'3. Back Up Non Aspal'!H612</f>
        <v>1</v>
      </c>
      <c r="I96" s="101">
        <f>'3. Back Up Non Aspal'!K612</f>
        <v>0</v>
      </c>
      <c r="J96" s="101">
        <f>'3. Back Up Non Aspal'!N612</f>
        <v>0</v>
      </c>
      <c r="K96" s="101">
        <f>'3. Back Up Non Aspal'!Q612</f>
        <v>0</v>
      </c>
      <c r="L96" s="101">
        <f>'3. Back Up Non Aspal'!T612</f>
        <v>300</v>
      </c>
      <c r="M96" s="183">
        <f>'3. Back Up Non Aspal'!U612</f>
        <v>1</v>
      </c>
      <c r="N96" s="99">
        <f>'3. Back Up Non Aspal'!V612</f>
        <v>1</v>
      </c>
      <c r="O96" s="101">
        <f>'3. Back Up Non Aspal'!Y612</f>
        <v>0</v>
      </c>
      <c r="P96" s="101">
        <f>'3. Back Up Non Aspal'!Z612</f>
        <v>1</v>
      </c>
      <c r="Q96" s="183">
        <f>'3. Back Up Non Aspal'!AA612</f>
        <v>0</v>
      </c>
      <c r="R96" s="99">
        <f>'3. Back Up Non Aspal'!AB612</f>
        <v>1</v>
      </c>
      <c r="S96" s="101">
        <f>'3. Back Up Non Aspal'!AE612</f>
        <v>0</v>
      </c>
      <c r="T96" s="99">
        <f>'3. Back Up Non Aspal'!AH612</f>
        <v>0</v>
      </c>
      <c r="U96" s="101">
        <f>'3. Back Up Non Aspal'!AI612</f>
        <v>1</v>
      </c>
      <c r="V96" s="106"/>
    </row>
    <row r="97" spans="2:22" s="35" customFormat="1" ht="17.100000000000001" customHeight="1">
      <c r="B97" s="105"/>
      <c r="C97" s="54">
        <f t="shared" si="14"/>
        <v>11700</v>
      </c>
      <c r="D97" s="96">
        <f t="shared" si="16"/>
        <v>11800</v>
      </c>
      <c r="E97" s="111">
        <v>3</v>
      </c>
      <c r="F97" s="112">
        <f t="shared" si="12"/>
        <v>65</v>
      </c>
      <c r="G97" s="113" t="str">
        <f t="shared" si="13"/>
        <v>RB</v>
      </c>
      <c r="H97" s="183">
        <f>'3. Back Up Non Aspal'!H620</f>
        <v>1</v>
      </c>
      <c r="I97" s="101">
        <f>'3. Back Up Non Aspal'!K620</f>
        <v>0</v>
      </c>
      <c r="J97" s="101">
        <f>'3. Back Up Non Aspal'!N620</f>
        <v>0</v>
      </c>
      <c r="K97" s="101">
        <f>'3. Back Up Non Aspal'!Q620</f>
        <v>0</v>
      </c>
      <c r="L97" s="101">
        <f>'3. Back Up Non Aspal'!T620</f>
        <v>150</v>
      </c>
      <c r="M97" s="183">
        <f>'3. Back Up Non Aspal'!U620</f>
        <v>1</v>
      </c>
      <c r="N97" s="99">
        <f>'3. Back Up Non Aspal'!V620</f>
        <v>1</v>
      </c>
      <c r="O97" s="101">
        <f>'3. Back Up Non Aspal'!Y620</f>
        <v>45</v>
      </c>
      <c r="P97" s="101">
        <f>'3. Back Up Non Aspal'!Z620</f>
        <v>1</v>
      </c>
      <c r="Q97" s="183">
        <f>'3. Back Up Non Aspal'!AA620</f>
        <v>0</v>
      </c>
      <c r="R97" s="99">
        <f>'3. Back Up Non Aspal'!AB620</f>
        <v>1</v>
      </c>
      <c r="S97" s="101">
        <f>'3. Back Up Non Aspal'!AE620</f>
        <v>0</v>
      </c>
      <c r="T97" s="99">
        <f>'3. Back Up Non Aspal'!AH620</f>
        <v>0</v>
      </c>
      <c r="U97" s="101">
        <f>'3. Back Up Non Aspal'!AI620</f>
        <v>1</v>
      </c>
      <c r="V97" s="106"/>
    </row>
    <row r="98" spans="2:22" s="35" customFormat="1" ht="16.95" customHeight="1">
      <c r="B98" s="105"/>
      <c r="C98" s="54">
        <f t="shared" si="14"/>
        <v>11800</v>
      </c>
      <c r="D98" s="96">
        <f t="shared" si="16"/>
        <v>11900</v>
      </c>
      <c r="E98" s="111">
        <v>3</v>
      </c>
      <c r="F98" s="112">
        <f t="shared" si="12"/>
        <v>130</v>
      </c>
      <c r="G98" s="113" t="str">
        <f t="shared" si="13"/>
        <v>RB</v>
      </c>
      <c r="H98" s="183">
        <f>'3. Back Up Non Aspal'!H628</f>
        <v>1</v>
      </c>
      <c r="I98" s="101">
        <f>'3. Back Up Non Aspal'!K628</f>
        <v>0</v>
      </c>
      <c r="J98" s="101">
        <f>'3. Back Up Non Aspal'!N628</f>
        <v>0</v>
      </c>
      <c r="K98" s="101">
        <f>'3. Back Up Non Aspal'!Q628</f>
        <v>0</v>
      </c>
      <c r="L98" s="101">
        <f>'3. Back Up Non Aspal'!T628</f>
        <v>240</v>
      </c>
      <c r="M98" s="183">
        <f>'3. Back Up Non Aspal'!U628</f>
        <v>1</v>
      </c>
      <c r="N98" s="99">
        <f>'3. Back Up Non Aspal'!V628</f>
        <v>1</v>
      </c>
      <c r="O98" s="101">
        <f>'3. Back Up Non Aspal'!Y628</f>
        <v>150</v>
      </c>
      <c r="P98" s="101">
        <f>'3. Back Up Non Aspal'!Z628</f>
        <v>1</v>
      </c>
      <c r="Q98" s="183">
        <f>'3. Back Up Non Aspal'!AA628</f>
        <v>0</v>
      </c>
      <c r="R98" s="99">
        <f>'3. Back Up Non Aspal'!AB628</f>
        <v>1</v>
      </c>
      <c r="S98" s="101">
        <f>'3. Back Up Non Aspal'!AE628</f>
        <v>0</v>
      </c>
      <c r="T98" s="99">
        <f>'3. Back Up Non Aspal'!AH628</f>
        <v>0</v>
      </c>
      <c r="U98" s="101">
        <f>'3. Back Up Non Aspal'!AI628</f>
        <v>1</v>
      </c>
      <c r="V98" s="106"/>
    </row>
    <row r="99" spans="2:22" s="35" customFormat="1" ht="17.100000000000001" customHeight="1">
      <c r="B99" s="105"/>
      <c r="C99" s="54">
        <f t="shared" si="14"/>
        <v>11900</v>
      </c>
      <c r="D99" s="96">
        <f t="shared" si="16"/>
        <v>12000</v>
      </c>
      <c r="E99" s="111">
        <v>3</v>
      </c>
      <c r="F99" s="112">
        <f t="shared" si="12"/>
        <v>100</v>
      </c>
      <c r="G99" s="113" t="str">
        <f t="shared" si="13"/>
        <v>RB</v>
      </c>
      <c r="H99" s="183">
        <f>'3. Back Up Non Aspal'!H636</f>
        <v>1</v>
      </c>
      <c r="I99" s="101">
        <f>'3. Back Up Non Aspal'!K636</f>
        <v>0</v>
      </c>
      <c r="J99" s="101">
        <f>'3. Back Up Non Aspal'!N636</f>
        <v>0</v>
      </c>
      <c r="K99" s="101">
        <f>'3. Back Up Non Aspal'!Q636</f>
        <v>0</v>
      </c>
      <c r="L99" s="101">
        <f>'3. Back Up Non Aspal'!T636</f>
        <v>0</v>
      </c>
      <c r="M99" s="183">
        <f>'3. Back Up Non Aspal'!U636</f>
        <v>1</v>
      </c>
      <c r="N99" s="99">
        <f>'3. Back Up Non Aspal'!V636</f>
        <v>1</v>
      </c>
      <c r="O99" s="101">
        <f>'3. Back Up Non Aspal'!Y636</f>
        <v>300</v>
      </c>
      <c r="P99" s="101">
        <f>'3. Back Up Non Aspal'!Z636</f>
        <v>1</v>
      </c>
      <c r="Q99" s="183">
        <f>'3. Back Up Non Aspal'!AA636</f>
        <v>0</v>
      </c>
      <c r="R99" s="99">
        <f>'3. Back Up Non Aspal'!AB636</f>
        <v>1</v>
      </c>
      <c r="S99" s="101">
        <f>'3. Back Up Non Aspal'!AE636</f>
        <v>0</v>
      </c>
      <c r="T99" s="99">
        <f>'3. Back Up Non Aspal'!AH636</f>
        <v>0</v>
      </c>
      <c r="U99" s="101">
        <f>'3. Back Up Non Aspal'!AI636</f>
        <v>1</v>
      </c>
      <c r="V99" s="106"/>
    </row>
    <row r="100" spans="2:22" s="35" customFormat="1" ht="17.100000000000001" customHeight="1">
      <c r="B100" s="105"/>
      <c r="C100" s="54">
        <f t="shared" si="14"/>
        <v>12000</v>
      </c>
      <c r="D100" s="96">
        <f t="shared" si="16"/>
        <v>12100</v>
      </c>
      <c r="E100" s="111">
        <v>3</v>
      </c>
      <c r="F100" s="112">
        <f t="shared" si="12"/>
        <v>100</v>
      </c>
      <c r="G100" s="113" t="str">
        <f t="shared" si="13"/>
        <v>RB</v>
      </c>
      <c r="H100" s="183">
        <f>'3. Back Up Non Aspal'!H644</f>
        <v>1</v>
      </c>
      <c r="I100" s="101">
        <f>'3. Back Up Non Aspal'!K644</f>
        <v>0</v>
      </c>
      <c r="J100" s="101">
        <f>'3. Back Up Non Aspal'!N644</f>
        <v>0</v>
      </c>
      <c r="K100" s="101">
        <f>'3. Back Up Non Aspal'!Q644</f>
        <v>0</v>
      </c>
      <c r="L100" s="101">
        <f>'3. Back Up Non Aspal'!T644</f>
        <v>0</v>
      </c>
      <c r="M100" s="183">
        <f>'3. Back Up Non Aspal'!U644</f>
        <v>1</v>
      </c>
      <c r="N100" s="99">
        <f>'3. Back Up Non Aspal'!V644</f>
        <v>1</v>
      </c>
      <c r="O100" s="101">
        <f>'3. Back Up Non Aspal'!Y644</f>
        <v>300</v>
      </c>
      <c r="P100" s="101">
        <f>'3. Back Up Non Aspal'!Z644</f>
        <v>1</v>
      </c>
      <c r="Q100" s="183">
        <f>'3. Back Up Non Aspal'!AA644</f>
        <v>0</v>
      </c>
      <c r="R100" s="99">
        <f>'3. Back Up Non Aspal'!AB644</f>
        <v>1</v>
      </c>
      <c r="S100" s="101">
        <f>'3. Back Up Non Aspal'!AE644</f>
        <v>0</v>
      </c>
      <c r="T100" s="99">
        <f>'3. Back Up Non Aspal'!AH644</f>
        <v>0</v>
      </c>
      <c r="U100" s="101">
        <f>'3. Back Up Non Aspal'!AI644</f>
        <v>1</v>
      </c>
      <c r="V100" s="106"/>
    </row>
    <row r="101" spans="2:22" s="35" customFormat="1" ht="17.100000000000001" customHeight="1">
      <c r="B101" s="105"/>
      <c r="C101" s="54">
        <f t="shared" si="14"/>
        <v>12100</v>
      </c>
      <c r="D101" s="96">
        <f t="shared" si="16"/>
        <v>12200</v>
      </c>
      <c r="E101" s="111">
        <v>3</v>
      </c>
      <c r="F101" s="112">
        <f t="shared" si="12"/>
        <v>100</v>
      </c>
      <c r="G101" s="113" t="str">
        <f t="shared" si="13"/>
        <v>RB</v>
      </c>
      <c r="H101" s="183">
        <f>'3. Back Up Non Aspal'!H652</f>
        <v>1</v>
      </c>
      <c r="I101" s="101">
        <f>'3. Back Up Non Aspal'!K652</f>
        <v>0</v>
      </c>
      <c r="J101" s="101">
        <f>'3. Back Up Non Aspal'!N652</f>
        <v>0</v>
      </c>
      <c r="K101" s="101">
        <f>'3. Back Up Non Aspal'!Q652</f>
        <v>0</v>
      </c>
      <c r="L101" s="101">
        <f>'3. Back Up Non Aspal'!T652</f>
        <v>0</v>
      </c>
      <c r="M101" s="183">
        <f>'3. Back Up Non Aspal'!U652</f>
        <v>1</v>
      </c>
      <c r="N101" s="99">
        <f>'3. Back Up Non Aspal'!V652</f>
        <v>1</v>
      </c>
      <c r="O101" s="101">
        <f>'3. Back Up Non Aspal'!Y652</f>
        <v>300</v>
      </c>
      <c r="P101" s="101">
        <f>'3. Back Up Non Aspal'!Z652</f>
        <v>1</v>
      </c>
      <c r="Q101" s="183">
        <f>'3. Back Up Non Aspal'!AA652</f>
        <v>0</v>
      </c>
      <c r="R101" s="99">
        <f>'3. Back Up Non Aspal'!AB652</f>
        <v>1</v>
      </c>
      <c r="S101" s="101">
        <f>'3. Back Up Non Aspal'!AE652</f>
        <v>0</v>
      </c>
      <c r="T101" s="99">
        <f>'3. Back Up Non Aspal'!AH652</f>
        <v>0</v>
      </c>
      <c r="U101" s="101">
        <f>'3. Back Up Non Aspal'!AI652</f>
        <v>1</v>
      </c>
      <c r="V101" s="106"/>
    </row>
    <row r="102" spans="2:22" s="35" customFormat="1" ht="17.100000000000001" customHeight="1">
      <c r="B102" s="105"/>
      <c r="C102" s="54">
        <f t="shared" si="14"/>
        <v>12200</v>
      </c>
      <c r="D102" s="96">
        <f t="shared" si="16"/>
        <v>12300</v>
      </c>
      <c r="E102" s="111">
        <v>3</v>
      </c>
      <c r="F102" s="112">
        <f t="shared" si="12"/>
        <v>30</v>
      </c>
      <c r="G102" s="113" t="str">
        <f t="shared" si="13"/>
        <v>RB</v>
      </c>
      <c r="H102" s="183">
        <f>'3. Back Up Non Aspal'!H660</f>
        <v>1</v>
      </c>
      <c r="I102" s="101">
        <f>'3. Back Up Non Aspal'!K660</f>
        <v>0</v>
      </c>
      <c r="J102" s="101">
        <f>'3. Back Up Non Aspal'!N660</f>
        <v>0</v>
      </c>
      <c r="K102" s="101">
        <f>'3. Back Up Non Aspal'!Q660</f>
        <v>0</v>
      </c>
      <c r="L102" s="101">
        <f>'3. Back Up Non Aspal'!T660</f>
        <v>90</v>
      </c>
      <c r="M102" s="183">
        <f>'3. Back Up Non Aspal'!U660</f>
        <v>1</v>
      </c>
      <c r="N102" s="99">
        <f>'3. Back Up Non Aspal'!V660</f>
        <v>1</v>
      </c>
      <c r="O102" s="101">
        <f>'3. Back Up Non Aspal'!Y660</f>
        <v>0</v>
      </c>
      <c r="P102" s="101">
        <f>'3. Back Up Non Aspal'!Z660</f>
        <v>1</v>
      </c>
      <c r="Q102" s="183">
        <f>'3. Back Up Non Aspal'!AA660</f>
        <v>0</v>
      </c>
      <c r="R102" s="99">
        <f>'3. Back Up Non Aspal'!AB660</f>
        <v>1</v>
      </c>
      <c r="S102" s="101">
        <f>'3. Back Up Non Aspal'!AE660</f>
        <v>0</v>
      </c>
      <c r="T102" s="99">
        <f>'3. Back Up Non Aspal'!AH660</f>
        <v>0</v>
      </c>
      <c r="U102" s="101">
        <f>'3. Back Up Non Aspal'!AI660</f>
        <v>1</v>
      </c>
      <c r="V102" s="106"/>
    </row>
    <row r="103" spans="2:22" s="35" customFormat="1" ht="17.100000000000001" customHeight="1">
      <c r="B103" s="105"/>
      <c r="C103" s="54">
        <f t="shared" si="14"/>
        <v>12300</v>
      </c>
      <c r="D103" s="96">
        <f t="shared" si="16"/>
        <v>12400</v>
      </c>
      <c r="E103" s="111">
        <v>3</v>
      </c>
      <c r="F103" s="112">
        <f t="shared" si="12"/>
        <v>25</v>
      </c>
      <c r="G103" s="113" t="str">
        <f t="shared" si="13"/>
        <v>RB</v>
      </c>
      <c r="H103" s="183">
        <f>'3. Back Up Non Aspal'!H668</f>
        <v>1</v>
      </c>
      <c r="I103" s="101">
        <f>'3. Back Up Non Aspal'!K668</f>
        <v>0</v>
      </c>
      <c r="J103" s="101">
        <f>'3. Back Up Non Aspal'!N668</f>
        <v>0</v>
      </c>
      <c r="K103" s="101">
        <f>'3. Back Up Non Aspal'!Q668</f>
        <v>0</v>
      </c>
      <c r="L103" s="101">
        <f>'3. Back Up Non Aspal'!T668</f>
        <v>0</v>
      </c>
      <c r="M103" s="183">
        <f>'3. Back Up Non Aspal'!U668</f>
        <v>1</v>
      </c>
      <c r="N103" s="99">
        <f>'3. Back Up Non Aspal'!V668</f>
        <v>1</v>
      </c>
      <c r="O103" s="101">
        <f>'3. Back Up Non Aspal'!Y668</f>
        <v>75</v>
      </c>
      <c r="P103" s="101">
        <f>'3. Back Up Non Aspal'!Z668</f>
        <v>1</v>
      </c>
      <c r="Q103" s="183">
        <f>'3. Back Up Non Aspal'!AA668</f>
        <v>0</v>
      </c>
      <c r="R103" s="99">
        <f>'3. Back Up Non Aspal'!AB668</f>
        <v>1</v>
      </c>
      <c r="S103" s="101">
        <f>'3. Back Up Non Aspal'!AE668</f>
        <v>0</v>
      </c>
      <c r="T103" s="99">
        <f>'3. Back Up Non Aspal'!AH668</f>
        <v>0</v>
      </c>
      <c r="U103" s="101">
        <f>'3. Back Up Non Aspal'!AI668</f>
        <v>1</v>
      </c>
      <c r="V103" s="106"/>
    </row>
    <row r="104" spans="2:22" s="35" customFormat="1" ht="17.100000000000001" customHeight="1">
      <c r="B104" s="105"/>
      <c r="C104" s="54">
        <f t="shared" si="14"/>
        <v>12400</v>
      </c>
      <c r="D104" s="96">
        <f t="shared" si="16"/>
        <v>12500</v>
      </c>
      <c r="E104" s="111">
        <v>3</v>
      </c>
      <c r="F104" s="112">
        <f t="shared" si="12"/>
        <v>100</v>
      </c>
      <c r="G104" s="113" t="str">
        <f t="shared" si="13"/>
        <v>RB</v>
      </c>
      <c r="H104" s="183">
        <f>'3. Back Up Non Aspal'!H676</f>
        <v>1</v>
      </c>
      <c r="I104" s="101">
        <f>'3. Back Up Non Aspal'!K676</f>
        <v>0</v>
      </c>
      <c r="J104" s="101">
        <f>'3. Back Up Non Aspal'!N676</f>
        <v>0</v>
      </c>
      <c r="K104" s="101">
        <f>'3. Back Up Non Aspal'!Q676</f>
        <v>0</v>
      </c>
      <c r="L104" s="101">
        <f>'3. Back Up Non Aspal'!T676</f>
        <v>0</v>
      </c>
      <c r="M104" s="183">
        <f>'3. Back Up Non Aspal'!U676</f>
        <v>1</v>
      </c>
      <c r="N104" s="99">
        <f>'3. Back Up Non Aspal'!V676</f>
        <v>1</v>
      </c>
      <c r="O104" s="101">
        <f>'3. Back Up Non Aspal'!Y676</f>
        <v>300</v>
      </c>
      <c r="P104" s="101">
        <f>'3. Back Up Non Aspal'!Z676</f>
        <v>1</v>
      </c>
      <c r="Q104" s="183">
        <f>'3. Back Up Non Aspal'!AA676</f>
        <v>0</v>
      </c>
      <c r="R104" s="99">
        <f>'3. Back Up Non Aspal'!AB676</f>
        <v>1</v>
      </c>
      <c r="S104" s="101">
        <f>'3. Back Up Non Aspal'!AE676</f>
        <v>0</v>
      </c>
      <c r="T104" s="99">
        <f>'3. Back Up Non Aspal'!AH676</f>
        <v>0</v>
      </c>
      <c r="U104" s="101">
        <f>'3. Back Up Non Aspal'!AI676</f>
        <v>1</v>
      </c>
      <c r="V104" s="106"/>
    </row>
    <row r="105" spans="2:22" s="35" customFormat="1" ht="17.100000000000001" customHeight="1">
      <c r="B105" s="105"/>
      <c r="C105" s="54">
        <f t="shared" si="14"/>
        <v>12500</v>
      </c>
      <c r="D105" s="96">
        <f t="shared" si="16"/>
        <v>12600</v>
      </c>
      <c r="E105" s="111">
        <v>3</v>
      </c>
      <c r="F105" s="112">
        <f t="shared" si="12"/>
        <v>100</v>
      </c>
      <c r="G105" s="113" t="str">
        <f t="shared" si="13"/>
        <v>RB</v>
      </c>
      <c r="H105" s="183">
        <f>'3. Back Up Non Aspal'!H684</f>
        <v>1</v>
      </c>
      <c r="I105" s="101">
        <f>'3. Back Up Non Aspal'!K684</f>
        <v>0</v>
      </c>
      <c r="J105" s="101">
        <f>'3. Back Up Non Aspal'!N684</f>
        <v>0</v>
      </c>
      <c r="K105" s="101">
        <f>'3. Back Up Non Aspal'!Q684</f>
        <v>0</v>
      </c>
      <c r="L105" s="101">
        <f>'3. Back Up Non Aspal'!T684</f>
        <v>150</v>
      </c>
      <c r="M105" s="183">
        <f>'3. Back Up Non Aspal'!U684</f>
        <v>1</v>
      </c>
      <c r="N105" s="99">
        <f>'3. Back Up Non Aspal'!V684</f>
        <v>1</v>
      </c>
      <c r="O105" s="101">
        <f>'3. Back Up Non Aspal'!Y684</f>
        <v>150</v>
      </c>
      <c r="P105" s="101">
        <f>'3. Back Up Non Aspal'!Z684</f>
        <v>1</v>
      </c>
      <c r="Q105" s="183">
        <f>'3. Back Up Non Aspal'!AA684</f>
        <v>0</v>
      </c>
      <c r="R105" s="99">
        <f>'3. Back Up Non Aspal'!AB684</f>
        <v>1</v>
      </c>
      <c r="S105" s="101">
        <f>'3. Back Up Non Aspal'!AE684</f>
        <v>0</v>
      </c>
      <c r="T105" s="99">
        <f>'3. Back Up Non Aspal'!AH684</f>
        <v>0</v>
      </c>
      <c r="U105" s="101">
        <f>'3. Back Up Non Aspal'!AI684</f>
        <v>1</v>
      </c>
      <c r="V105" s="106"/>
    </row>
    <row r="106" spans="2:22" s="35" customFormat="1" ht="17.100000000000001" customHeight="1">
      <c r="B106" s="105"/>
      <c r="C106" s="54">
        <f t="shared" si="14"/>
        <v>12600</v>
      </c>
      <c r="D106" s="96">
        <f t="shared" si="16"/>
        <v>12700</v>
      </c>
      <c r="E106" s="111">
        <v>3</v>
      </c>
      <c r="F106" s="112">
        <f t="shared" si="12"/>
        <v>100</v>
      </c>
      <c r="G106" s="113" t="str">
        <f t="shared" si="13"/>
        <v>RB</v>
      </c>
      <c r="H106" s="183">
        <f>'3. Back Up Non Aspal'!H692</f>
        <v>1</v>
      </c>
      <c r="I106" s="101">
        <f>'3. Back Up Non Aspal'!K692</f>
        <v>0</v>
      </c>
      <c r="J106" s="101">
        <f>'3. Back Up Non Aspal'!N692</f>
        <v>0</v>
      </c>
      <c r="K106" s="101">
        <f>'3. Back Up Non Aspal'!Q692</f>
        <v>0</v>
      </c>
      <c r="L106" s="101">
        <f>'3. Back Up Non Aspal'!T692</f>
        <v>150</v>
      </c>
      <c r="M106" s="183">
        <f>'3. Back Up Non Aspal'!U692</f>
        <v>1</v>
      </c>
      <c r="N106" s="99">
        <f>'3. Back Up Non Aspal'!V692</f>
        <v>1</v>
      </c>
      <c r="O106" s="101">
        <f>'3. Back Up Non Aspal'!Y692</f>
        <v>150</v>
      </c>
      <c r="P106" s="101">
        <f>'3. Back Up Non Aspal'!Z692</f>
        <v>1</v>
      </c>
      <c r="Q106" s="183">
        <f>'3. Back Up Non Aspal'!AA692</f>
        <v>0</v>
      </c>
      <c r="R106" s="99">
        <f>'3. Back Up Non Aspal'!AB692</f>
        <v>1</v>
      </c>
      <c r="S106" s="101">
        <f>'3. Back Up Non Aspal'!AE692</f>
        <v>0</v>
      </c>
      <c r="T106" s="99">
        <f>'3. Back Up Non Aspal'!AH692</f>
        <v>0</v>
      </c>
      <c r="U106" s="101">
        <f>'3. Back Up Non Aspal'!AI692</f>
        <v>1</v>
      </c>
      <c r="V106" s="106"/>
    </row>
    <row r="107" spans="2:22" s="35" customFormat="1" ht="17.100000000000001" customHeight="1">
      <c r="B107" s="105"/>
      <c r="C107" s="54">
        <f t="shared" si="14"/>
        <v>12700</v>
      </c>
      <c r="D107" s="96">
        <f t="shared" si="16"/>
        <v>12800</v>
      </c>
      <c r="E107" s="111">
        <v>3</v>
      </c>
      <c r="F107" s="112">
        <f t="shared" si="12"/>
        <v>100</v>
      </c>
      <c r="G107" s="113" t="str">
        <f t="shared" si="13"/>
        <v>RB</v>
      </c>
      <c r="H107" s="183">
        <f>'3. Back Up Non Aspal'!H700</f>
        <v>1</v>
      </c>
      <c r="I107" s="101">
        <f>'3. Back Up Non Aspal'!K700</f>
        <v>0</v>
      </c>
      <c r="J107" s="101">
        <f>'3. Back Up Non Aspal'!N700</f>
        <v>0</v>
      </c>
      <c r="K107" s="101">
        <f>'3. Back Up Non Aspal'!Q700</f>
        <v>0</v>
      </c>
      <c r="L107" s="101">
        <f>'3. Back Up Non Aspal'!T700</f>
        <v>0</v>
      </c>
      <c r="M107" s="183">
        <f>'3. Back Up Non Aspal'!U700</f>
        <v>1</v>
      </c>
      <c r="N107" s="99">
        <f>'3. Back Up Non Aspal'!V700</f>
        <v>1</v>
      </c>
      <c r="O107" s="101">
        <f>'3. Back Up Non Aspal'!Y700</f>
        <v>300</v>
      </c>
      <c r="P107" s="101">
        <f>'3. Back Up Non Aspal'!Z700</f>
        <v>1</v>
      </c>
      <c r="Q107" s="183">
        <f>'3. Back Up Non Aspal'!AA700</f>
        <v>0</v>
      </c>
      <c r="R107" s="99">
        <f>'3. Back Up Non Aspal'!AB700</f>
        <v>1</v>
      </c>
      <c r="S107" s="101">
        <f>'3. Back Up Non Aspal'!AE700</f>
        <v>0</v>
      </c>
      <c r="T107" s="99">
        <f>'3. Back Up Non Aspal'!AH700</f>
        <v>0</v>
      </c>
      <c r="U107" s="101">
        <f>'3. Back Up Non Aspal'!AI700</f>
        <v>1</v>
      </c>
      <c r="V107" s="106"/>
    </row>
    <row r="108" spans="2:22" s="35" customFormat="1" ht="17.100000000000001" customHeight="1">
      <c r="B108" s="105"/>
      <c r="C108" s="54">
        <f t="shared" si="14"/>
        <v>12800</v>
      </c>
      <c r="D108" s="96">
        <f t="shared" si="16"/>
        <v>12900</v>
      </c>
      <c r="E108" s="111">
        <v>3</v>
      </c>
      <c r="F108" s="112">
        <f t="shared" si="12"/>
        <v>0</v>
      </c>
      <c r="G108" s="113" t="str">
        <f t="shared" si="13"/>
        <v>RB</v>
      </c>
      <c r="H108" s="183">
        <f>'3. Back Up Non Aspal'!H708</f>
        <v>1</v>
      </c>
      <c r="I108" s="101">
        <f>'3. Back Up Non Aspal'!K708</f>
        <v>0</v>
      </c>
      <c r="J108" s="101">
        <f>'3. Back Up Non Aspal'!N708</f>
        <v>0</v>
      </c>
      <c r="K108" s="101">
        <f>'3. Back Up Non Aspal'!Q708</f>
        <v>0</v>
      </c>
      <c r="L108" s="101">
        <f>'3. Back Up Non Aspal'!T708</f>
        <v>0</v>
      </c>
      <c r="M108" s="183">
        <f>'3. Back Up Non Aspal'!U708</f>
        <v>1</v>
      </c>
      <c r="N108" s="99">
        <f>'3. Back Up Non Aspal'!V708</f>
        <v>1</v>
      </c>
      <c r="O108" s="101">
        <f>'3. Back Up Non Aspal'!Y708</f>
        <v>0</v>
      </c>
      <c r="P108" s="101">
        <f>'3. Back Up Non Aspal'!Z708</f>
        <v>1</v>
      </c>
      <c r="Q108" s="183">
        <f>'3. Back Up Non Aspal'!AA708</f>
        <v>0</v>
      </c>
      <c r="R108" s="99">
        <f>'3. Back Up Non Aspal'!AB708</f>
        <v>1</v>
      </c>
      <c r="S108" s="101">
        <f>'3. Back Up Non Aspal'!AE708</f>
        <v>0</v>
      </c>
      <c r="T108" s="99">
        <f>'3. Back Up Non Aspal'!AH708</f>
        <v>0</v>
      </c>
      <c r="U108" s="101">
        <f>'3. Back Up Non Aspal'!AI708</f>
        <v>1</v>
      </c>
      <c r="V108" s="106"/>
    </row>
    <row r="109" spans="2:22" s="35" customFormat="1" ht="17.100000000000001" customHeight="1">
      <c r="B109" s="105"/>
      <c r="C109" s="54">
        <f t="shared" si="14"/>
        <v>12900</v>
      </c>
      <c r="D109" s="96">
        <f t="shared" si="16"/>
        <v>13000</v>
      </c>
      <c r="E109" s="111">
        <v>3</v>
      </c>
      <c r="F109" s="112">
        <f t="shared" si="12"/>
        <v>0</v>
      </c>
      <c r="G109" s="113" t="str">
        <f t="shared" si="13"/>
        <v>RB</v>
      </c>
      <c r="H109" s="183">
        <f>'3. Back Up Non Aspal'!H716</f>
        <v>1</v>
      </c>
      <c r="I109" s="101">
        <f>'3. Back Up Non Aspal'!K716</f>
        <v>0</v>
      </c>
      <c r="J109" s="101">
        <f>'3. Back Up Non Aspal'!N716</f>
        <v>0</v>
      </c>
      <c r="K109" s="101">
        <f>'3. Back Up Non Aspal'!Q716</f>
        <v>0</v>
      </c>
      <c r="L109" s="101">
        <f>'3. Back Up Non Aspal'!T716</f>
        <v>0</v>
      </c>
      <c r="M109" s="183">
        <f>'3. Back Up Non Aspal'!U716</f>
        <v>1</v>
      </c>
      <c r="N109" s="99">
        <f>'3. Back Up Non Aspal'!V716</f>
        <v>1</v>
      </c>
      <c r="O109" s="101">
        <f>'3. Back Up Non Aspal'!Y716</f>
        <v>0</v>
      </c>
      <c r="P109" s="101">
        <f>'3. Back Up Non Aspal'!Z716</f>
        <v>1</v>
      </c>
      <c r="Q109" s="183">
        <f>'3. Back Up Non Aspal'!AA716</f>
        <v>0</v>
      </c>
      <c r="R109" s="99">
        <f>'3. Back Up Non Aspal'!AB716</f>
        <v>1</v>
      </c>
      <c r="S109" s="101">
        <f>'3. Back Up Non Aspal'!AE716</f>
        <v>0</v>
      </c>
      <c r="T109" s="99">
        <f>'3. Back Up Non Aspal'!AH716</f>
        <v>0</v>
      </c>
      <c r="U109" s="101">
        <f>'3. Back Up Non Aspal'!AI716</f>
        <v>1</v>
      </c>
      <c r="V109" s="106"/>
    </row>
    <row r="110" spans="2:22" s="35" customFormat="1" ht="17.100000000000001" customHeight="1">
      <c r="B110" s="105"/>
      <c r="C110" s="54">
        <f t="shared" si="14"/>
        <v>13000</v>
      </c>
      <c r="D110" s="96">
        <f t="shared" si="16"/>
        <v>13100</v>
      </c>
      <c r="E110" s="111">
        <v>3</v>
      </c>
      <c r="F110" s="112">
        <f t="shared" si="12"/>
        <v>100</v>
      </c>
      <c r="G110" s="113" t="str">
        <f t="shared" si="13"/>
        <v>RB</v>
      </c>
      <c r="H110" s="183">
        <f>'3. Back Up Non Aspal'!H724</f>
        <v>1</v>
      </c>
      <c r="I110" s="101">
        <f>'3. Back Up Non Aspal'!K724</f>
        <v>0</v>
      </c>
      <c r="J110" s="101">
        <f>'3. Back Up Non Aspal'!N724</f>
        <v>0</v>
      </c>
      <c r="K110" s="101">
        <f>'3. Back Up Non Aspal'!Q724</f>
        <v>0</v>
      </c>
      <c r="L110" s="101">
        <f>'3. Back Up Non Aspal'!T724</f>
        <v>0</v>
      </c>
      <c r="M110" s="183">
        <f>'3. Back Up Non Aspal'!U724</f>
        <v>1</v>
      </c>
      <c r="N110" s="99">
        <f>'3. Back Up Non Aspal'!V724</f>
        <v>1</v>
      </c>
      <c r="O110" s="101">
        <f>'3. Back Up Non Aspal'!Y724</f>
        <v>300</v>
      </c>
      <c r="P110" s="101">
        <f>'3. Back Up Non Aspal'!Z724</f>
        <v>1</v>
      </c>
      <c r="Q110" s="183">
        <f>'3. Back Up Non Aspal'!AA724</f>
        <v>0</v>
      </c>
      <c r="R110" s="99">
        <f>'3. Back Up Non Aspal'!AB724</f>
        <v>1</v>
      </c>
      <c r="S110" s="101">
        <f>'3. Back Up Non Aspal'!AE724</f>
        <v>0</v>
      </c>
      <c r="T110" s="99">
        <f>'3. Back Up Non Aspal'!AH724</f>
        <v>0</v>
      </c>
      <c r="U110" s="101">
        <f>'3. Back Up Non Aspal'!AI724</f>
        <v>1</v>
      </c>
      <c r="V110" s="106"/>
    </row>
    <row r="111" spans="2:22" s="35" customFormat="1" ht="17.100000000000001" customHeight="1">
      <c r="B111" s="105"/>
      <c r="C111" s="54">
        <f t="shared" si="14"/>
        <v>13100</v>
      </c>
      <c r="D111" s="96">
        <f t="shared" si="16"/>
        <v>13200</v>
      </c>
      <c r="E111" s="111">
        <v>3</v>
      </c>
      <c r="F111" s="112">
        <f t="shared" si="12"/>
        <v>100</v>
      </c>
      <c r="G111" s="113" t="str">
        <f t="shared" si="13"/>
        <v>RB</v>
      </c>
      <c r="H111" s="183">
        <f>'3. Back Up Non Aspal'!H732</f>
        <v>1</v>
      </c>
      <c r="I111" s="101">
        <f>'3. Back Up Non Aspal'!K732</f>
        <v>0</v>
      </c>
      <c r="J111" s="101">
        <f>'3. Back Up Non Aspal'!N732</f>
        <v>0</v>
      </c>
      <c r="K111" s="101">
        <f>'3. Back Up Non Aspal'!Q732</f>
        <v>0</v>
      </c>
      <c r="L111" s="101">
        <f>'3. Back Up Non Aspal'!T732</f>
        <v>0</v>
      </c>
      <c r="M111" s="183">
        <f>'3. Back Up Non Aspal'!U732</f>
        <v>1</v>
      </c>
      <c r="N111" s="99">
        <f>'3. Back Up Non Aspal'!V732</f>
        <v>1</v>
      </c>
      <c r="O111" s="101">
        <f>'3. Back Up Non Aspal'!Y732</f>
        <v>300</v>
      </c>
      <c r="P111" s="101">
        <f>'3. Back Up Non Aspal'!Z732</f>
        <v>1</v>
      </c>
      <c r="Q111" s="183">
        <f>'3. Back Up Non Aspal'!AA732</f>
        <v>0</v>
      </c>
      <c r="R111" s="99">
        <f>'3. Back Up Non Aspal'!AB732</f>
        <v>1</v>
      </c>
      <c r="S111" s="101">
        <f>'3. Back Up Non Aspal'!AE732</f>
        <v>0</v>
      </c>
      <c r="T111" s="99">
        <f>'3. Back Up Non Aspal'!AH732</f>
        <v>0</v>
      </c>
      <c r="U111" s="101">
        <f>'3. Back Up Non Aspal'!AI732</f>
        <v>1</v>
      </c>
      <c r="V111" s="106"/>
    </row>
    <row r="112" spans="2:22" s="35" customFormat="1" ht="17.100000000000001" customHeight="1">
      <c r="B112" s="105"/>
      <c r="C112" s="54">
        <f t="shared" si="14"/>
        <v>13200</v>
      </c>
      <c r="D112" s="96">
        <f t="shared" si="16"/>
        <v>13300</v>
      </c>
      <c r="E112" s="111">
        <v>3</v>
      </c>
      <c r="F112" s="112">
        <f t="shared" si="12"/>
        <v>66.666666666666657</v>
      </c>
      <c r="G112" s="113" t="str">
        <f t="shared" si="13"/>
        <v>RB</v>
      </c>
      <c r="H112" s="183">
        <f>'3. Back Up Non Aspal'!H740</f>
        <v>1</v>
      </c>
      <c r="I112" s="101">
        <f>'3. Back Up Non Aspal'!K740</f>
        <v>0</v>
      </c>
      <c r="J112" s="101">
        <f>'3. Back Up Non Aspal'!N740</f>
        <v>0</v>
      </c>
      <c r="K112" s="101">
        <f>'3. Back Up Non Aspal'!Q740</f>
        <v>0</v>
      </c>
      <c r="L112" s="101">
        <f>'3. Back Up Non Aspal'!T740</f>
        <v>0</v>
      </c>
      <c r="M112" s="183">
        <f>'3. Back Up Non Aspal'!U740</f>
        <v>1</v>
      </c>
      <c r="N112" s="99">
        <f>'3. Back Up Non Aspal'!V740</f>
        <v>1</v>
      </c>
      <c r="O112" s="101">
        <f>'3. Back Up Non Aspal'!Y740</f>
        <v>200</v>
      </c>
      <c r="P112" s="101">
        <f>'3. Back Up Non Aspal'!Z740</f>
        <v>1</v>
      </c>
      <c r="Q112" s="183">
        <f>'3. Back Up Non Aspal'!AA740</f>
        <v>0</v>
      </c>
      <c r="R112" s="99">
        <f>'3. Back Up Non Aspal'!AB740</f>
        <v>1</v>
      </c>
      <c r="S112" s="101">
        <f>'3. Back Up Non Aspal'!AE740</f>
        <v>0</v>
      </c>
      <c r="T112" s="99">
        <f>'3. Back Up Non Aspal'!AH740</f>
        <v>0</v>
      </c>
      <c r="U112" s="101">
        <f>'3. Back Up Non Aspal'!AI740</f>
        <v>1</v>
      </c>
      <c r="V112" s="106"/>
    </row>
    <row r="113" spans="2:22" s="35" customFormat="1" ht="17.100000000000001" customHeight="1">
      <c r="B113" s="105"/>
      <c r="C113" s="54">
        <f t="shared" si="14"/>
        <v>13300</v>
      </c>
      <c r="D113" s="96">
        <f t="shared" si="16"/>
        <v>13400</v>
      </c>
      <c r="E113" s="111">
        <v>3</v>
      </c>
      <c r="F113" s="112">
        <f t="shared" si="12"/>
        <v>66.666666666666657</v>
      </c>
      <c r="G113" s="113" t="str">
        <f t="shared" si="13"/>
        <v>RB</v>
      </c>
      <c r="H113" s="183">
        <f>'3. Back Up Non Aspal'!H748</f>
        <v>1</v>
      </c>
      <c r="I113" s="101">
        <f>'3. Back Up Non Aspal'!K748</f>
        <v>0</v>
      </c>
      <c r="J113" s="101">
        <f>'3. Back Up Non Aspal'!N748</f>
        <v>0</v>
      </c>
      <c r="K113" s="101">
        <f>'3. Back Up Non Aspal'!Q748</f>
        <v>0</v>
      </c>
      <c r="L113" s="101">
        <f>'3. Back Up Non Aspal'!T748</f>
        <v>0</v>
      </c>
      <c r="M113" s="183">
        <f>'3. Back Up Non Aspal'!U748</f>
        <v>1</v>
      </c>
      <c r="N113" s="99">
        <f>'3. Back Up Non Aspal'!V748</f>
        <v>1</v>
      </c>
      <c r="O113" s="101">
        <f>'3. Back Up Non Aspal'!Y748</f>
        <v>200</v>
      </c>
      <c r="P113" s="101">
        <f>'3. Back Up Non Aspal'!Z748</f>
        <v>1</v>
      </c>
      <c r="Q113" s="183">
        <f>'3. Back Up Non Aspal'!AA748</f>
        <v>0</v>
      </c>
      <c r="R113" s="99">
        <f>'3. Back Up Non Aspal'!AB748</f>
        <v>1</v>
      </c>
      <c r="S113" s="101">
        <f>'3. Back Up Non Aspal'!AE748</f>
        <v>0</v>
      </c>
      <c r="T113" s="99">
        <f>'3. Back Up Non Aspal'!AH748</f>
        <v>0</v>
      </c>
      <c r="U113" s="101">
        <f>'3. Back Up Non Aspal'!AI748</f>
        <v>1</v>
      </c>
      <c r="V113" s="106"/>
    </row>
    <row r="114" spans="2:22" s="35" customFormat="1" ht="17.100000000000001" customHeight="1">
      <c r="B114" s="105"/>
      <c r="C114" s="54">
        <f t="shared" si="14"/>
        <v>13400</v>
      </c>
      <c r="D114" s="96">
        <f t="shared" si="16"/>
        <v>13500</v>
      </c>
      <c r="E114" s="111">
        <v>3</v>
      </c>
      <c r="F114" s="112">
        <f t="shared" si="12"/>
        <v>66.666666666666657</v>
      </c>
      <c r="G114" s="113" t="str">
        <f t="shared" si="13"/>
        <v>RB</v>
      </c>
      <c r="H114" s="183">
        <f>'3. Back Up Non Aspal'!H756</f>
        <v>1</v>
      </c>
      <c r="I114" s="101">
        <f>'3. Back Up Non Aspal'!K756</f>
        <v>0</v>
      </c>
      <c r="J114" s="101">
        <f>'3. Back Up Non Aspal'!N756</f>
        <v>0</v>
      </c>
      <c r="K114" s="101">
        <f>'3. Back Up Non Aspal'!Q756</f>
        <v>0</v>
      </c>
      <c r="L114" s="101">
        <f>'3. Back Up Non Aspal'!T756</f>
        <v>0</v>
      </c>
      <c r="M114" s="183">
        <f>'3. Back Up Non Aspal'!U756</f>
        <v>1</v>
      </c>
      <c r="N114" s="99">
        <f>'3. Back Up Non Aspal'!V756</f>
        <v>1</v>
      </c>
      <c r="O114" s="101">
        <f>'3. Back Up Non Aspal'!Y756</f>
        <v>200</v>
      </c>
      <c r="P114" s="101">
        <f>'3. Back Up Non Aspal'!Z756</f>
        <v>1</v>
      </c>
      <c r="Q114" s="183">
        <f>'3. Back Up Non Aspal'!AA756</f>
        <v>0</v>
      </c>
      <c r="R114" s="99">
        <f>'3. Back Up Non Aspal'!AB756</f>
        <v>1</v>
      </c>
      <c r="S114" s="101">
        <f>'3. Back Up Non Aspal'!AE756</f>
        <v>0</v>
      </c>
      <c r="T114" s="99">
        <f>'3. Back Up Non Aspal'!AH756</f>
        <v>0</v>
      </c>
      <c r="U114" s="101">
        <f>'3. Back Up Non Aspal'!AI756</f>
        <v>1</v>
      </c>
      <c r="V114" s="106"/>
    </row>
    <row r="115" spans="2:22" s="35" customFormat="1" ht="17.100000000000001" customHeight="1">
      <c r="B115" s="105"/>
      <c r="C115" s="54">
        <f t="shared" si="14"/>
        <v>13500</v>
      </c>
      <c r="D115" s="96">
        <f t="shared" si="16"/>
        <v>13600</v>
      </c>
      <c r="E115" s="111">
        <v>3</v>
      </c>
      <c r="F115" s="112">
        <f t="shared" si="12"/>
        <v>0</v>
      </c>
      <c r="G115" s="113" t="str">
        <f t="shared" si="13"/>
        <v>RB</v>
      </c>
      <c r="H115" s="183">
        <f>'3. Back Up Non Aspal'!H764</f>
        <v>1</v>
      </c>
      <c r="I115" s="101">
        <f>'3. Back Up Non Aspal'!K764</f>
        <v>0</v>
      </c>
      <c r="J115" s="101">
        <f>'3. Back Up Non Aspal'!N764</f>
        <v>0</v>
      </c>
      <c r="K115" s="101">
        <f>'3. Back Up Non Aspal'!Q764</f>
        <v>0</v>
      </c>
      <c r="L115" s="101">
        <f>'3. Back Up Non Aspal'!T764</f>
        <v>0</v>
      </c>
      <c r="M115" s="183">
        <f>'3. Back Up Non Aspal'!U764</f>
        <v>1</v>
      </c>
      <c r="N115" s="99">
        <f>'3. Back Up Non Aspal'!V764</f>
        <v>1</v>
      </c>
      <c r="O115" s="101">
        <f>'3. Back Up Non Aspal'!Y764</f>
        <v>0</v>
      </c>
      <c r="P115" s="101">
        <f>'3. Back Up Non Aspal'!Z764</f>
        <v>1</v>
      </c>
      <c r="Q115" s="183">
        <f>'3. Back Up Non Aspal'!AA764</f>
        <v>0</v>
      </c>
      <c r="R115" s="99">
        <f>'3. Back Up Non Aspal'!AB764</f>
        <v>1</v>
      </c>
      <c r="S115" s="101">
        <f>'3. Back Up Non Aspal'!AE764</f>
        <v>0</v>
      </c>
      <c r="T115" s="99">
        <f>'3. Back Up Non Aspal'!AH764</f>
        <v>0</v>
      </c>
      <c r="U115" s="101">
        <f>'3. Back Up Non Aspal'!AI764</f>
        <v>1</v>
      </c>
      <c r="V115" s="106"/>
    </row>
    <row r="116" spans="2:22" s="35" customFormat="1" ht="17.100000000000001" customHeight="1">
      <c r="B116" s="105"/>
      <c r="C116" s="54">
        <f t="shared" si="14"/>
        <v>13600</v>
      </c>
      <c r="D116" s="96">
        <f t="shared" si="16"/>
        <v>13700</v>
      </c>
      <c r="E116" s="111">
        <v>3</v>
      </c>
      <c r="F116" s="112">
        <f t="shared" si="12"/>
        <v>50</v>
      </c>
      <c r="G116" s="113" t="str">
        <f t="shared" si="13"/>
        <v>RB</v>
      </c>
      <c r="H116" s="183">
        <f>'3. Back Up Non Aspal'!H772</f>
        <v>1</v>
      </c>
      <c r="I116" s="101">
        <f>'3. Back Up Non Aspal'!K772</f>
        <v>0</v>
      </c>
      <c r="J116" s="101">
        <f>'3. Back Up Non Aspal'!N772</f>
        <v>0</v>
      </c>
      <c r="K116" s="101">
        <f>'3. Back Up Non Aspal'!Q772</f>
        <v>0</v>
      </c>
      <c r="L116" s="101">
        <f>'3. Back Up Non Aspal'!T772</f>
        <v>150</v>
      </c>
      <c r="M116" s="183">
        <f>'3. Back Up Non Aspal'!U772</f>
        <v>1</v>
      </c>
      <c r="N116" s="99">
        <f>'3. Back Up Non Aspal'!V772</f>
        <v>1</v>
      </c>
      <c r="O116" s="101">
        <f>'3. Back Up Non Aspal'!Y772</f>
        <v>0</v>
      </c>
      <c r="P116" s="101">
        <f>'3. Back Up Non Aspal'!Z772</f>
        <v>1</v>
      </c>
      <c r="Q116" s="183">
        <f>'3. Back Up Non Aspal'!AA772</f>
        <v>0</v>
      </c>
      <c r="R116" s="99">
        <f>'3. Back Up Non Aspal'!AB772</f>
        <v>1</v>
      </c>
      <c r="S116" s="101">
        <f>'3. Back Up Non Aspal'!AE772</f>
        <v>0</v>
      </c>
      <c r="T116" s="99">
        <f>'3. Back Up Non Aspal'!AH772</f>
        <v>0</v>
      </c>
      <c r="U116" s="101">
        <f>'3. Back Up Non Aspal'!AI772</f>
        <v>1</v>
      </c>
      <c r="V116" s="106"/>
    </row>
    <row r="117" spans="2:22" s="35" customFormat="1" ht="17.100000000000001" customHeight="1">
      <c r="B117" s="105"/>
      <c r="C117" s="54">
        <f t="shared" si="14"/>
        <v>13700</v>
      </c>
      <c r="D117" s="96">
        <f t="shared" si="16"/>
        <v>13800</v>
      </c>
      <c r="E117" s="111">
        <v>3</v>
      </c>
      <c r="F117" s="112">
        <f t="shared" si="12"/>
        <v>0</v>
      </c>
      <c r="G117" s="113" t="str">
        <f t="shared" si="13"/>
        <v>RB</v>
      </c>
      <c r="H117" s="183">
        <f>'3. Back Up Non Aspal'!H780</f>
        <v>1</v>
      </c>
      <c r="I117" s="101">
        <f>'3. Back Up Non Aspal'!K780</f>
        <v>0</v>
      </c>
      <c r="J117" s="101">
        <f>'3. Back Up Non Aspal'!N780</f>
        <v>0</v>
      </c>
      <c r="K117" s="101">
        <f>'3. Back Up Non Aspal'!Q780</f>
        <v>0</v>
      </c>
      <c r="L117" s="101">
        <f>'3. Back Up Non Aspal'!T780</f>
        <v>0</v>
      </c>
      <c r="M117" s="183">
        <f>'3. Back Up Non Aspal'!U780</f>
        <v>1</v>
      </c>
      <c r="N117" s="99">
        <f>'3. Back Up Non Aspal'!V780</f>
        <v>1</v>
      </c>
      <c r="O117" s="101">
        <f>'3. Back Up Non Aspal'!Y780</f>
        <v>0</v>
      </c>
      <c r="P117" s="101">
        <f>'3. Back Up Non Aspal'!Z780</f>
        <v>1</v>
      </c>
      <c r="Q117" s="183">
        <f>'3. Back Up Non Aspal'!AA780</f>
        <v>0</v>
      </c>
      <c r="R117" s="99">
        <f>'3. Back Up Non Aspal'!AB780</f>
        <v>1</v>
      </c>
      <c r="S117" s="101">
        <f>'3. Back Up Non Aspal'!AE780</f>
        <v>0</v>
      </c>
      <c r="T117" s="99">
        <f>'3. Back Up Non Aspal'!AH780</f>
        <v>0</v>
      </c>
      <c r="U117" s="101">
        <f>'3. Back Up Non Aspal'!AI780</f>
        <v>1</v>
      </c>
      <c r="V117" s="106"/>
    </row>
    <row r="118" spans="2:22" s="35" customFormat="1" ht="17.100000000000001" customHeight="1">
      <c r="B118" s="105"/>
      <c r="C118" s="54">
        <f t="shared" si="14"/>
        <v>13800</v>
      </c>
      <c r="D118" s="96">
        <f t="shared" si="16"/>
        <v>13900</v>
      </c>
      <c r="E118" s="111">
        <v>3</v>
      </c>
      <c r="F118" s="112">
        <f t="shared" si="12"/>
        <v>66.666666666666657</v>
      </c>
      <c r="G118" s="113" t="str">
        <f t="shared" si="13"/>
        <v>RB</v>
      </c>
      <c r="H118" s="183">
        <f>'3. Back Up Non Aspal'!H788</f>
        <v>1</v>
      </c>
      <c r="I118" s="101">
        <f>'3. Back Up Non Aspal'!K788</f>
        <v>0</v>
      </c>
      <c r="J118" s="101">
        <f>'3. Back Up Non Aspal'!N788</f>
        <v>0</v>
      </c>
      <c r="K118" s="101">
        <f>'3. Back Up Non Aspal'!Q788</f>
        <v>0</v>
      </c>
      <c r="L118" s="101">
        <f>'3. Back Up Non Aspal'!T788</f>
        <v>0</v>
      </c>
      <c r="M118" s="183">
        <f>'3. Back Up Non Aspal'!U788</f>
        <v>1</v>
      </c>
      <c r="N118" s="99">
        <f>'3. Back Up Non Aspal'!V788</f>
        <v>1</v>
      </c>
      <c r="O118" s="101">
        <f>'3. Back Up Non Aspal'!Y788</f>
        <v>200</v>
      </c>
      <c r="P118" s="101">
        <f>'3. Back Up Non Aspal'!Z788</f>
        <v>1</v>
      </c>
      <c r="Q118" s="183">
        <f>'3. Back Up Non Aspal'!AA788</f>
        <v>0</v>
      </c>
      <c r="R118" s="99">
        <f>'3. Back Up Non Aspal'!AB788</f>
        <v>1</v>
      </c>
      <c r="S118" s="101">
        <f>'3. Back Up Non Aspal'!AE788</f>
        <v>0</v>
      </c>
      <c r="T118" s="99">
        <f>'3. Back Up Non Aspal'!AH788</f>
        <v>0</v>
      </c>
      <c r="U118" s="101">
        <f>'3. Back Up Non Aspal'!AI788</f>
        <v>1</v>
      </c>
      <c r="V118" s="106"/>
    </row>
    <row r="119" spans="2:22" s="35" customFormat="1" ht="17.100000000000001" customHeight="1">
      <c r="B119" s="105"/>
      <c r="C119" s="54">
        <f t="shared" si="14"/>
        <v>13900</v>
      </c>
      <c r="D119" s="96">
        <f t="shared" si="16"/>
        <v>14000</v>
      </c>
      <c r="E119" s="111">
        <v>3</v>
      </c>
      <c r="F119" s="112">
        <f t="shared" si="12"/>
        <v>66.666666666666657</v>
      </c>
      <c r="G119" s="113" t="str">
        <f t="shared" si="13"/>
        <v>RB</v>
      </c>
      <c r="H119" s="183">
        <f>'3. Back Up Non Aspal'!H796</f>
        <v>1</v>
      </c>
      <c r="I119" s="101">
        <f>'3. Back Up Non Aspal'!K796</f>
        <v>0</v>
      </c>
      <c r="J119" s="101">
        <f>'3. Back Up Non Aspal'!N796</f>
        <v>0</v>
      </c>
      <c r="K119" s="101">
        <f>'3. Back Up Non Aspal'!Q796</f>
        <v>0</v>
      </c>
      <c r="L119" s="101">
        <f>'3. Back Up Non Aspal'!T796</f>
        <v>0</v>
      </c>
      <c r="M119" s="183">
        <f>'3. Back Up Non Aspal'!U796</f>
        <v>1</v>
      </c>
      <c r="N119" s="99">
        <f>'3. Back Up Non Aspal'!V796</f>
        <v>1</v>
      </c>
      <c r="O119" s="101">
        <f>'3. Back Up Non Aspal'!Y796</f>
        <v>200</v>
      </c>
      <c r="P119" s="101">
        <f>'3. Back Up Non Aspal'!Z796</f>
        <v>1</v>
      </c>
      <c r="Q119" s="183">
        <f>'3. Back Up Non Aspal'!AA796</f>
        <v>0</v>
      </c>
      <c r="R119" s="99">
        <f>'3. Back Up Non Aspal'!AB796</f>
        <v>1</v>
      </c>
      <c r="S119" s="101">
        <f>'3. Back Up Non Aspal'!AE796</f>
        <v>0</v>
      </c>
      <c r="T119" s="99">
        <f>'3. Back Up Non Aspal'!AH796</f>
        <v>0</v>
      </c>
      <c r="U119" s="101">
        <f>'3. Back Up Non Aspal'!AI796</f>
        <v>1</v>
      </c>
      <c r="V119" s="106"/>
    </row>
    <row r="120" spans="2:22" s="35" customFormat="1" ht="17.100000000000001" customHeight="1">
      <c r="B120" s="105"/>
      <c r="C120" s="54">
        <f t="shared" si="14"/>
        <v>14000</v>
      </c>
      <c r="D120" s="96">
        <f t="shared" si="16"/>
        <v>14100</v>
      </c>
      <c r="E120" s="111">
        <v>3</v>
      </c>
      <c r="F120" s="112">
        <f t="shared" si="12"/>
        <v>10</v>
      </c>
      <c r="G120" s="113" t="str">
        <f t="shared" si="13"/>
        <v>RB</v>
      </c>
      <c r="H120" s="183">
        <f>'3. Back Up Non Aspal'!H804</f>
        <v>1</v>
      </c>
      <c r="I120" s="101">
        <f>'3. Back Up Non Aspal'!K804</f>
        <v>0</v>
      </c>
      <c r="J120" s="101">
        <f>'3. Back Up Non Aspal'!N804</f>
        <v>0</v>
      </c>
      <c r="K120" s="101">
        <f>'3. Back Up Non Aspal'!Q804</f>
        <v>0</v>
      </c>
      <c r="L120" s="101">
        <f>'3. Back Up Non Aspal'!T804</f>
        <v>30</v>
      </c>
      <c r="M120" s="183">
        <f>'3. Back Up Non Aspal'!U804</f>
        <v>1</v>
      </c>
      <c r="N120" s="99">
        <f>'3. Back Up Non Aspal'!V804</f>
        <v>1</v>
      </c>
      <c r="O120" s="101">
        <f>'3. Back Up Non Aspal'!Y804</f>
        <v>0</v>
      </c>
      <c r="P120" s="101">
        <f>'3. Back Up Non Aspal'!Z804</f>
        <v>1</v>
      </c>
      <c r="Q120" s="183">
        <f>'3. Back Up Non Aspal'!AA804</f>
        <v>0</v>
      </c>
      <c r="R120" s="99">
        <f>'3. Back Up Non Aspal'!AB804</f>
        <v>1</v>
      </c>
      <c r="S120" s="101">
        <f>'3. Back Up Non Aspal'!AE804</f>
        <v>0</v>
      </c>
      <c r="T120" s="99">
        <f>'3. Back Up Non Aspal'!AH804</f>
        <v>0</v>
      </c>
      <c r="U120" s="101">
        <f>'3. Back Up Non Aspal'!AI804</f>
        <v>1</v>
      </c>
      <c r="V120" s="106"/>
    </row>
    <row r="121" spans="2:22" s="35" customFormat="1" ht="17.100000000000001" customHeight="1">
      <c r="B121" s="105"/>
      <c r="C121" s="54">
        <f t="shared" si="14"/>
        <v>14100</v>
      </c>
      <c r="D121" s="96">
        <f t="shared" si="16"/>
        <v>14200</v>
      </c>
      <c r="E121" s="111">
        <v>3</v>
      </c>
      <c r="F121" s="112">
        <f t="shared" si="12"/>
        <v>50</v>
      </c>
      <c r="G121" s="113" t="str">
        <f t="shared" si="13"/>
        <v>RB</v>
      </c>
      <c r="H121" s="183">
        <f>'3. Back Up Non Aspal'!H812</f>
        <v>1</v>
      </c>
      <c r="I121" s="101">
        <f>'3. Back Up Non Aspal'!K812</f>
        <v>0</v>
      </c>
      <c r="J121" s="101">
        <f>'3. Back Up Non Aspal'!N812</f>
        <v>0</v>
      </c>
      <c r="K121" s="101">
        <f>'3. Back Up Non Aspal'!Q812</f>
        <v>0</v>
      </c>
      <c r="L121" s="101">
        <f>'3. Back Up Non Aspal'!T812</f>
        <v>0</v>
      </c>
      <c r="M121" s="183">
        <f>'3. Back Up Non Aspal'!U812</f>
        <v>1</v>
      </c>
      <c r="N121" s="99">
        <f>'3. Back Up Non Aspal'!V812</f>
        <v>1</v>
      </c>
      <c r="O121" s="101">
        <f>'3. Back Up Non Aspal'!Y812</f>
        <v>150</v>
      </c>
      <c r="P121" s="101">
        <f>'3. Back Up Non Aspal'!Z812</f>
        <v>1</v>
      </c>
      <c r="Q121" s="183">
        <f>'3. Back Up Non Aspal'!AA812</f>
        <v>0</v>
      </c>
      <c r="R121" s="99">
        <f>'3. Back Up Non Aspal'!AB812</f>
        <v>1</v>
      </c>
      <c r="S121" s="101">
        <f>'3. Back Up Non Aspal'!AE812</f>
        <v>0</v>
      </c>
      <c r="T121" s="99">
        <f>'3. Back Up Non Aspal'!AH812</f>
        <v>0</v>
      </c>
      <c r="U121" s="101">
        <f>'3. Back Up Non Aspal'!AI812</f>
        <v>1</v>
      </c>
      <c r="V121" s="106"/>
    </row>
    <row r="122" spans="2:22" s="35" customFormat="1" ht="17.100000000000001" customHeight="1">
      <c r="B122" s="105"/>
      <c r="C122" s="54">
        <f t="shared" si="14"/>
        <v>14200</v>
      </c>
      <c r="D122" s="96">
        <f t="shared" si="16"/>
        <v>14300</v>
      </c>
      <c r="E122" s="111">
        <v>3</v>
      </c>
      <c r="F122" s="112">
        <f t="shared" si="12"/>
        <v>25</v>
      </c>
      <c r="G122" s="113" t="str">
        <f t="shared" si="13"/>
        <v>RB</v>
      </c>
      <c r="H122" s="183">
        <f>'3. Back Up Non Aspal'!H820</f>
        <v>1</v>
      </c>
      <c r="I122" s="101">
        <f>'3. Back Up Non Aspal'!K820</f>
        <v>0</v>
      </c>
      <c r="J122" s="101">
        <f>'3. Back Up Non Aspal'!N820</f>
        <v>0</v>
      </c>
      <c r="K122" s="101">
        <f>'3. Back Up Non Aspal'!Q820</f>
        <v>0</v>
      </c>
      <c r="L122" s="101">
        <f>'3. Back Up Non Aspal'!T820</f>
        <v>75</v>
      </c>
      <c r="M122" s="183">
        <f>'3. Back Up Non Aspal'!U820</f>
        <v>1</v>
      </c>
      <c r="N122" s="99">
        <f>'3. Back Up Non Aspal'!V820</f>
        <v>1</v>
      </c>
      <c r="O122" s="101">
        <f>'3. Back Up Non Aspal'!Y820</f>
        <v>0</v>
      </c>
      <c r="P122" s="101">
        <f>'3. Back Up Non Aspal'!Z820</f>
        <v>1</v>
      </c>
      <c r="Q122" s="183">
        <f>'3. Back Up Non Aspal'!AA820</f>
        <v>0</v>
      </c>
      <c r="R122" s="99">
        <f>'3. Back Up Non Aspal'!AB820</f>
        <v>1</v>
      </c>
      <c r="S122" s="101">
        <f>'3. Back Up Non Aspal'!AE820</f>
        <v>0</v>
      </c>
      <c r="T122" s="99">
        <f>'3. Back Up Non Aspal'!AH820</f>
        <v>0</v>
      </c>
      <c r="U122" s="101">
        <f>'3. Back Up Non Aspal'!AI820</f>
        <v>1</v>
      </c>
      <c r="V122" s="106"/>
    </row>
    <row r="123" spans="2:22" s="35" customFormat="1" ht="17.100000000000001" customHeight="1">
      <c r="B123" s="105"/>
      <c r="C123" s="54">
        <f t="shared" si="14"/>
        <v>14300</v>
      </c>
      <c r="D123" s="96">
        <f t="shared" si="16"/>
        <v>14400</v>
      </c>
      <c r="E123" s="111">
        <v>5</v>
      </c>
      <c r="F123" s="112">
        <f t="shared" si="12"/>
        <v>60</v>
      </c>
      <c r="G123" s="113" t="str">
        <f t="shared" si="13"/>
        <v>RB</v>
      </c>
      <c r="H123" s="183">
        <f>'3. Back Up Non Aspal'!H828</f>
        <v>1</v>
      </c>
      <c r="I123" s="101">
        <f>'3. Back Up Non Aspal'!K828</f>
        <v>0</v>
      </c>
      <c r="J123" s="101">
        <f>'3. Back Up Non Aspal'!N828</f>
        <v>0</v>
      </c>
      <c r="K123" s="101">
        <f>'3. Back Up Non Aspal'!Q828</f>
        <v>0</v>
      </c>
      <c r="L123" s="101">
        <f>'3. Back Up Non Aspal'!T828</f>
        <v>0</v>
      </c>
      <c r="M123" s="183">
        <f>'3. Back Up Non Aspal'!U828</f>
        <v>1</v>
      </c>
      <c r="N123" s="99">
        <f>'3. Back Up Non Aspal'!V828</f>
        <v>1</v>
      </c>
      <c r="O123" s="101">
        <f>'3. Back Up Non Aspal'!Y828</f>
        <v>300</v>
      </c>
      <c r="P123" s="101">
        <f>'3. Back Up Non Aspal'!Z828</f>
        <v>1</v>
      </c>
      <c r="Q123" s="183">
        <f>'3. Back Up Non Aspal'!AA828</f>
        <v>0</v>
      </c>
      <c r="R123" s="99">
        <f>'3. Back Up Non Aspal'!AB828</f>
        <v>1</v>
      </c>
      <c r="S123" s="101">
        <f>'3. Back Up Non Aspal'!AE828</f>
        <v>0</v>
      </c>
      <c r="T123" s="99">
        <f>'3. Back Up Non Aspal'!AH828</f>
        <v>0</v>
      </c>
      <c r="U123" s="101">
        <f>'3. Back Up Non Aspal'!AI828</f>
        <v>1</v>
      </c>
      <c r="V123" s="106"/>
    </row>
    <row r="124" spans="2:22" s="35" customFormat="1" ht="17.100000000000001" customHeight="1">
      <c r="B124" s="248"/>
      <c r="C124" s="249">
        <f t="shared" si="14"/>
        <v>14400</v>
      </c>
      <c r="D124" s="250">
        <f t="shared" si="16"/>
        <v>14500</v>
      </c>
      <c r="E124" s="251">
        <v>5</v>
      </c>
      <c r="F124" s="112">
        <f t="shared" si="12"/>
        <v>60</v>
      </c>
      <c r="G124" s="113" t="str">
        <f t="shared" si="13"/>
        <v>RB</v>
      </c>
      <c r="H124" s="183">
        <f>'3. Back Up Non Aspal'!H836</f>
        <v>1</v>
      </c>
      <c r="I124" s="101">
        <f>'3. Back Up Non Aspal'!K836</f>
        <v>0</v>
      </c>
      <c r="J124" s="101">
        <f>'3. Back Up Non Aspal'!N836</f>
        <v>0</v>
      </c>
      <c r="K124" s="101">
        <f>'3. Back Up Non Aspal'!Q836</f>
        <v>0</v>
      </c>
      <c r="L124" s="101">
        <f>'3. Back Up Non Aspal'!T836</f>
        <v>0</v>
      </c>
      <c r="M124" s="183">
        <f>'3. Back Up Non Aspal'!U836</f>
        <v>1</v>
      </c>
      <c r="N124" s="99">
        <f>'3. Back Up Non Aspal'!V836</f>
        <v>1</v>
      </c>
      <c r="O124" s="101">
        <f>'3. Back Up Non Aspal'!Y836</f>
        <v>300</v>
      </c>
      <c r="P124" s="101">
        <f>'3. Back Up Non Aspal'!Z836</f>
        <v>1</v>
      </c>
      <c r="Q124" s="183">
        <f>'3. Back Up Non Aspal'!AA836</f>
        <v>0</v>
      </c>
      <c r="R124" s="99">
        <f>'3. Back Up Non Aspal'!AB836</f>
        <v>1</v>
      </c>
      <c r="S124" s="101">
        <f>'3. Back Up Non Aspal'!AE836</f>
        <v>0</v>
      </c>
      <c r="T124" s="99">
        <f>'3. Back Up Non Aspal'!AH836</f>
        <v>0</v>
      </c>
      <c r="U124" s="101">
        <f>'3. Back Up Non Aspal'!AI836</f>
        <v>1</v>
      </c>
      <c r="V124" s="106"/>
    </row>
    <row r="125" spans="2:22" s="35" customFormat="1" ht="17.100000000000001" customHeight="1">
      <c r="B125" s="252"/>
      <c r="C125" s="253"/>
      <c r="D125" s="253"/>
      <c r="E125" s="254"/>
      <c r="F125" s="255"/>
      <c r="G125" s="254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7"/>
    </row>
    <row r="126" spans="2:22" s="35" customFormat="1" ht="17.100000000000001" customHeight="1">
      <c r="B126" s="258"/>
      <c r="C126" s="49"/>
      <c r="D126" s="49"/>
      <c r="E126" s="259"/>
      <c r="F126" s="260"/>
      <c r="G126" s="259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1"/>
      <c r="S126" s="261"/>
      <c r="T126" s="261"/>
      <c r="U126" s="261"/>
      <c r="V126" s="262"/>
    </row>
    <row r="127" spans="2:22" s="35" customFormat="1" ht="17.100000000000001" customHeight="1">
      <c r="B127" s="258"/>
      <c r="C127" s="49"/>
      <c r="D127" s="49"/>
      <c r="E127" s="259"/>
      <c r="F127" s="260"/>
      <c r="G127" s="259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  <c r="U127" s="261"/>
      <c r="V127" s="262"/>
    </row>
    <row r="128" spans="2:22" s="35" customFormat="1" ht="17.100000000000001" customHeight="1">
      <c r="B128" s="258"/>
      <c r="C128" s="49"/>
      <c r="D128" s="49"/>
      <c r="E128" s="259"/>
      <c r="F128" s="260"/>
      <c r="G128" s="259"/>
      <c r="H128" s="261"/>
      <c r="I128" s="261"/>
      <c r="J128" s="261"/>
      <c r="K128" s="261"/>
      <c r="L128" s="261"/>
      <c r="M128" s="261"/>
      <c r="N128" s="261"/>
      <c r="O128" s="261"/>
      <c r="P128" s="261"/>
      <c r="Q128" s="261"/>
      <c r="R128" s="261"/>
      <c r="S128" s="261"/>
      <c r="T128" s="261"/>
      <c r="U128" s="261"/>
      <c r="V128" s="262"/>
    </row>
    <row r="129" spans="2:22" s="35" customFormat="1" ht="17.100000000000001" customHeight="1">
      <c r="B129" s="258"/>
      <c r="C129" s="49"/>
      <c r="D129" s="49"/>
      <c r="E129" s="259"/>
      <c r="F129" s="260"/>
      <c r="G129" s="259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1"/>
      <c r="V129" s="262"/>
    </row>
    <row r="130" spans="2:22" s="35" customFormat="1" ht="17.100000000000001" customHeight="1">
      <c r="B130" s="258"/>
      <c r="C130" s="49"/>
      <c r="D130" s="49"/>
      <c r="E130" s="259"/>
      <c r="F130" s="260"/>
      <c r="G130" s="259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1"/>
      <c r="V130" s="262"/>
    </row>
    <row r="131" spans="2:22" s="35" customFormat="1" ht="17.100000000000001" customHeight="1">
      <c r="B131" s="258"/>
      <c r="C131" s="49"/>
      <c r="D131" s="49"/>
      <c r="E131" s="259"/>
      <c r="F131" s="260"/>
      <c r="G131" s="259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2"/>
    </row>
    <row r="132" spans="2:22" s="35" customFormat="1" ht="17.100000000000001" customHeight="1">
      <c r="B132" s="258"/>
      <c r="C132" s="49"/>
      <c r="D132" s="49"/>
      <c r="E132" s="259"/>
      <c r="F132" s="260"/>
      <c r="G132" s="259"/>
      <c r="H132" s="261"/>
      <c r="I132" s="261"/>
      <c r="J132" s="261"/>
      <c r="K132" s="261"/>
      <c r="L132" s="261"/>
      <c r="M132" s="261"/>
      <c r="N132" s="261"/>
      <c r="O132" s="261"/>
      <c r="P132" s="261"/>
      <c r="Q132" s="261"/>
      <c r="R132" s="261"/>
      <c r="S132" s="261"/>
      <c r="T132" s="261"/>
      <c r="U132" s="261"/>
      <c r="V132" s="262"/>
    </row>
    <row r="133" spans="2:22" s="35" customFormat="1" ht="17.100000000000001" customHeight="1">
      <c r="B133" s="258"/>
      <c r="C133" s="49"/>
      <c r="D133" s="49"/>
      <c r="E133" s="259"/>
      <c r="F133" s="260"/>
      <c r="G133" s="259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2"/>
    </row>
    <row r="134" spans="2:22" s="35" customFormat="1" ht="17.100000000000001" customHeight="1">
      <c r="B134" s="258"/>
      <c r="C134" s="49"/>
      <c r="D134" s="49"/>
      <c r="E134" s="259"/>
      <c r="F134" s="260"/>
      <c r="G134" s="259"/>
      <c r="H134" s="261"/>
      <c r="I134" s="261"/>
      <c r="J134" s="261"/>
      <c r="K134" s="261"/>
      <c r="L134" s="261"/>
      <c r="M134" s="261"/>
      <c r="N134" s="261"/>
      <c r="O134" s="261"/>
      <c r="P134" s="261"/>
      <c r="Q134" s="261"/>
      <c r="R134" s="261"/>
      <c r="S134" s="261"/>
      <c r="T134" s="261"/>
      <c r="U134" s="261"/>
      <c r="V134" s="262"/>
    </row>
    <row r="135" spans="2:22" s="35" customFormat="1" ht="16.95" customHeight="1">
      <c r="B135" s="258"/>
      <c r="C135" s="49"/>
      <c r="D135" s="49"/>
      <c r="E135" s="259"/>
      <c r="F135" s="260"/>
      <c r="G135" s="259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1"/>
      <c r="S135" s="261"/>
      <c r="T135" s="261"/>
      <c r="U135" s="261"/>
      <c r="V135" s="262"/>
    </row>
    <row r="136" spans="2:22" s="35" customFormat="1" ht="17.100000000000001" customHeight="1">
      <c r="B136" s="258"/>
      <c r="C136" s="49"/>
      <c r="D136" s="49"/>
      <c r="E136" s="259"/>
      <c r="F136" s="260"/>
      <c r="G136" s="259"/>
      <c r="H136" s="261"/>
      <c r="I136" s="261"/>
      <c r="J136" s="261"/>
      <c r="K136" s="261"/>
      <c r="L136" s="261"/>
      <c r="M136" s="261"/>
      <c r="N136" s="261"/>
      <c r="O136" s="261"/>
      <c r="P136" s="261"/>
      <c r="Q136" s="261"/>
      <c r="R136" s="261"/>
      <c r="S136" s="261"/>
      <c r="T136" s="261"/>
      <c r="U136" s="261"/>
      <c r="V136" s="262"/>
    </row>
    <row r="137" spans="2:22" s="35" customFormat="1" ht="17.100000000000001" customHeight="1">
      <c r="B137" s="258"/>
      <c r="C137" s="49"/>
      <c r="D137" s="49"/>
      <c r="E137" s="259"/>
      <c r="F137" s="260"/>
      <c r="G137" s="259"/>
      <c r="H137" s="261"/>
      <c r="I137" s="261"/>
      <c r="J137" s="261"/>
      <c r="K137" s="261"/>
      <c r="L137" s="261"/>
      <c r="M137" s="261"/>
      <c r="N137" s="261"/>
      <c r="O137" s="261"/>
      <c r="P137" s="261"/>
      <c r="Q137" s="261"/>
      <c r="R137" s="261"/>
      <c r="S137" s="261"/>
      <c r="T137" s="261"/>
      <c r="U137" s="261"/>
      <c r="V137" s="262"/>
    </row>
    <row r="138" spans="2:22" s="35" customFormat="1" ht="17.100000000000001" customHeight="1">
      <c r="B138" s="258"/>
      <c r="C138" s="49"/>
      <c r="D138" s="49"/>
      <c r="E138" s="259"/>
      <c r="F138" s="260"/>
      <c r="G138" s="259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1"/>
      <c r="S138" s="261"/>
      <c r="T138" s="261"/>
      <c r="U138" s="261"/>
      <c r="V138" s="262"/>
    </row>
    <row r="139" spans="2:22" s="35" customFormat="1" ht="17.100000000000001" customHeight="1">
      <c r="B139" s="258"/>
      <c r="C139" s="49"/>
      <c r="D139" s="49"/>
      <c r="E139" s="259"/>
      <c r="F139" s="260"/>
      <c r="G139" s="259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1"/>
      <c r="S139" s="261"/>
      <c r="T139" s="261"/>
      <c r="U139" s="261"/>
      <c r="V139" s="262"/>
    </row>
    <row r="140" spans="2:22" s="35" customFormat="1" ht="17.100000000000001" customHeight="1">
      <c r="B140" s="258"/>
      <c r="C140" s="49"/>
      <c r="D140" s="49"/>
      <c r="E140" s="259"/>
      <c r="F140" s="260"/>
      <c r="G140" s="259"/>
      <c r="H140" s="261"/>
      <c r="I140" s="261"/>
      <c r="J140" s="261"/>
      <c r="K140" s="261"/>
      <c r="L140" s="261"/>
      <c r="M140" s="261"/>
      <c r="N140" s="261"/>
      <c r="O140" s="261"/>
      <c r="P140" s="261"/>
      <c r="Q140" s="261"/>
      <c r="R140" s="261"/>
      <c r="S140" s="261"/>
      <c r="T140" s="261"/>
      <c r="U140" s="261"/>
      <c r="V140" s="262"/>
    </row>
    <row r="141" spans="2:22" s="35" customFormat="1" ht="17.100000000000001" customHeight="1">
      <c r="B141" s="258"/>
      <c r="C141" s="49"/>
      <c r="D141" s="49"/>
      <c r="E141" s="259"/>
      <c r="F141" s="260"/>
      <c r="G141" s="259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1"/>
      <c r="S141" s="261"/>
      <c r="T141" s="261"/>
      <c r="U141" s="261"/>
      <c r="V141" s="262"/>
    </row>
    <row r="142" spans="2:22" s="35" customFormat="1" ht="17.100000000000001" customHeight="1">
      <c r="B142" s="258"/>
      <c r="C142" s="49"/>
      <c r="D142" s="49"/>
      <c r="E142" s="259"/>
      <c r="F142" s="260"/>
      <c r="G142" s="259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61"/>
      <c r="V142" s="262"/>
    </row>
    <row r="143" spans="2:22" s="35" customFormat="1" ht="17.100000000000001" customHeight="1">
      <c r="B143" s="258"/>
      <c r="C143" s="49"/>
      <c r="D143" s="49"/>
      <c r="E143" s="259"/>
      <c r="F143" s="260"/>
      <c r="G143" s="259"/>
      <c r="H143" s="261"/>
      <c r="I143" s="261"/>
      <c r="J143" s="261"/>
      <c r="K143" s="261"/>
      <c r="L143" s="261"/>
      <c r="M143" s="261"/>
      <c r="N143" s="261"/>
      <c r="O143" s="261"/>
      <c r="P143" s="261"/>
      <c r="Q143" s="261"/>
      <c r="R143" s="261"/>
      <c r="S143" s="261"/>
      <c r="T143" s="261"/>
      <c r="U143" s="261"/>
      <c r="V143" s="262"/>
    </row>
    <row r="144" spans="2:22" s="35" customFormat="1" ht="17.100000000000001" customHeight="1">
      <c r="B144" s="258"/>
      <c r="C144" s="49"/>
      <c r="D144" s="49"/>
      <c r="E144" s="259"/>
      <c r="F144" s="260"/>
      <c r="G144" s="259"/>
      <c r="H144" s="261"/>
      <c r="I144" s="261"/>
      <c r="J144" s="261"/>
      <c r="K144" s="261"/>
      <c r="L144" s="261"/>
      <c r="M144" s="261"/>
      <c r="N144" s="261"/>
      <c r="O144" s="261"/>
      <c r="P144" s="261"/>
      <c r="Q144" s="261"/>
      <c r="R144" s="261"/>
      <c r="S144" s="261"/>
      <c r="T144" s="261"/>
      <c r="U144" s="261"/>
      <c r="V144" s="262"/>
    </row>
    <row r="145" spans="2:22" s="35" customFormat="1" ht="17.100000000000001" customHeight="1">
      <c r="B145" s="258"/>
      <c r="C145" s="49"/>
      <c r="D145" s="49"/>
      <c r="E145" s="259"/>
      <c r="F145" s="260"/>
      <c r="G145" s="259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  <c r="U145" s="261"/>
      <c r="V145" s="262"/>
    </row>
    <row r="146" spans="2:22" s="35" customFormat="1" ht="17.100000000000001" customHeight="1">
      <c r="B146" s="258"/>
      <c r="C146" s="49"/>
      <c r="D146" s="49"/>
      <c r="E146" s="259"/>
      <c r="F146" s="260"/>
      <c r="G146" s="259"/>
      <c r="H146" s="261"/>
      <c r="I146" s="261"/>
      <c r="J146" s="261"/>
      <c r="K146" s="261"/>
      <c r="L146" s="261"/>
      <c r="M146" s="261"/>
      <c r="N146" s="261"/>
      <c r="O146" s="261"/>
      <c r="P146" s="261"/>
      <c r="Q146" s="261"/>
      <c r="R146" s="261"/>
      <c r="S146" s="261"/>
      <c r="T146" s="261"/>
      <c r="U146" s="261"/>
      <c r="V146" s="262"/>
    </row>
    <row r="147" spans="2:22" s="35" customFormat="1" ht="17.100000000000001" customHeight="1">
      <c r="B147" s="258"/>
      <c r="C147" s="49"/>
      <c r="D147" s="49"/>
      <c r="E147" s="259"/>
      <c r="F147" s="260"/>
      <c r="G147" s="259"/>
      <c r="H147" s="261"/>
      <c r="I147" s="261"/>
      <c r="J147" s="261"/>
      <c r="K147" s="261"/>
      <c r="L147" s="261"/>
      <c r="M147" s="261"/>
      <c r="N147" s="261"/>
      <c r="O147" s="261"/>
      <c r="P147" s="261"/>
      <c r="Q147" s="261"/>
      <c r="R147" s="261"/>
      <c r="S147" s="261"/>
      <c r="T147" s="261"/>
      <c r="U147" s="261"/>
      <c r="V147" s="262"/>
    </row>
    <row r="148" spans="2:22" s="35" customFormat="1" ht="17.100000000000001" customHeight="1">
      <c r="B148" s="258"/>
      <c r="C148" s="49"/>
      <c r="D148" s="49"/>
      <c r="E148" s="259"/>
      <c r="F148" s="260"/>
      <c r="G148" s="259"/>
      <c r="H148" s="261"/>
      <c r="I148" s="261"/>
      <c r="J148" s="261"/>
      <c r="K148" s="261"/>
      <c r="L148" s="261"/>
      <c r="M148" s="261"/>
      <c r="N148" s="261"/>
      <c r="O148" s="261"/>
      <c r="P148" s="261"/>
      <c r="Q148" s="261"/>
      <c r="R148" s="261"/>
      <c r="S148" s="261"/>
      <c r="T148" s="261"/>
      <c r="U148" s="261"/>
      <c r="V148" s="262"/>
    </row>
    <row r="149" spans="2:22" s="35" customFormat="1" ht="17.100000000000001" customHeight="1">
      <c r="B149" s="258"/>
      <c r="C149" s="49"/>
      <c r="D149" s="49"/>
      <c r="E149" s="259"/>
      <c r="F149" s="260"/>
      <c r="G149" s="259"/>
      <c r="H149" s="261"/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  <c r="U149" s="261"/>
      <c r="V149" s="262"/>
    </row>
    <row r="150" spans="2:22" s="35" customFormat="1" ht="17.100000000000001" customHeight="1">
      <c r="B150" s="258"/>
      <c r="C150" s="49"/>
      <c r="D150" s="49"/>
      <c r="E150" s="259"/>
      <c r="F150" s="260"/>
      <c r="G150" s="259"/>
      <c r="H150" s="261"/>
      <c r="I150" s="261"/>
      <c r="J150" s="261"/>
      <c r="K150" s="261"/>
      <c r="L150" s="261"/>
      <c r="M150" s="261"/>
      <c r="N150" s="261"/>
      <c r="O150" s="261"/>
      <c r="P150" s="261"/>
      <c r="Q150" s="261"/>
      <c r="R150" s="261"/>
      <c r="S150" s="261"/>
      <c r="T150" s="261"/>
      <c r="U150" s="261"/>
      <c r="V150" s="262"/>
    </row>
    <row r="151" spans="2:22" s="35" customFormat="1" ht="17.100000000000001" customHeight="1">
      <c r="B151" s="258"/>
      <c r="C151" s="49"/>
      <c r="D151" s="49"/>
      <c r="E151" s="259"/>
      <c r="F151" s="260"/>
      <c r="G151" s="259"/>
      <c r="H151" s="261"/>
      <c r="I151" s="261"/>
      <c r="J151" s="261"/>
      <c r="K151" s="261"/>
      <c r="L151" s="261"/>
      <c r="M151" s="261"/>
      <c r="N151" s="261"/>
      <c r="O151" s="261"/>
      <c r="P151" s="261"/>
      <c r="Q151" s="261"/>
      <c r="R151" s="261"/>
      <c r="S151" s="261"/>
      <c r="T151" s="261"/>
      <c r="U151" s="261"/>
      <c r="V151" s="262"/>
    </row>
    <row r="152" spans="2:22" s="35" customFormat="1" ht="17.100000000000001" customHeight="1">
      <c r="B152" s="258"/>
      <c r="C152" s="49"/>
      <c r="D152" s="49"/>
      <c r="E152" s="259"/>
      <c r="F152" s="260"/>
      <c r="G152" s="259"/>
      <c r="H152" s="261"/>
      <c r="I152" s="261"/>
      <c r="J152" s="261"/>
      <c r="K152" s="261"/>
      <c r="L152" s="261"/>
      <c r="M152" s="261"/>
      <c r="N152" s="261"/>
      <c r="O152" s="261"/>
      <c r="P152" s="261"/>
      <c r="Q152" s="261"/>
      <c r="R152" s="261"/>
      <c r="S152" s="261"/>
      <c r="T152" s="261"/>
      <c r="U152" s="261"/>
      <c r="V152" s="262"/>
    </row>
    <row r="153" spans="2:22" s="35" customFormat="1" ht="17.100000000000001" customHeight="1">
      <c r="B153" s="258"/>
      <c r="C153" s="49"/>
      <c r="D153" s="49"/>
      <c r="E153" s="259"/>
      <c r="F153" s="260"/>
      <c r="G153" s="259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  <c r="U153" s="261"/>
      <c r="V153" s="262"/>
    </row>
    <row r="154" spans="2:22" s="35" customFormat="1" ht="17.100000000000001" customHeight="1">
      <c r="B154" s="258"/>
      <c r="C154" s="49"/>
      <c r="D154" s="49"/>
      <c r="E154" s="259"/>
      <c r="F154" s="260"/>
      <c r="G154" s="259"/>
      <c r="H154" s="261"/>
      <c r="I154" s="261"/>
      <c r="J154" s="261"/>
      <c r="K154" s="261"/>
      <c r="L154" s="261"/>
      <c r="M154" s="261"/>
      <c r="N154" s="261"/>
      <c r="O154" s="261"/>
      <c r="P154" s="261"/>
      <c r="Q154" s="261"/>
      <c r="R154" s="261"/>
      <c r="S154" s="261"/>
      <c r="T154" s="261"/>
      <c r="U154" s="261"/>
      <c r="V154" s="262"/>
    </row>
    <row r="155" spans="2:22" s="35" customFormat="1" ht="17.100000000000001" customHeight="1">
      <c r="B155" s="258"/>
      <c r="C155" s="49"/>
      <c r="D155" s="49"/>
      <c r="E155" s="259"/>
      <c r="F155" s="260"/>
      <c r="G155" s="259"/>
      <c r="H155" s="261"/>
      <c r="I155" s="261"/>
      <c r="J155" s="261"/>
      <c r="K155" s="261"/>
      <c r="L155" s="261"/>
      <c r="M155" s="261"/>
      <c r="N155" s="261"/>
      <c r="O155" s="261"/>
      <c r="P155" s="261"/>
      <c r="Q155" s="261"/>
      <c r="R155" s="261"/>
      <c r="S155" s="261"/>
      <c r="T155" s="261"/>
      <c r="U155" s="261"/>
      <c r="V155" s="262"/>
    </row>
    <row r="156" spans="2:22" s="35" customFormat="1" ht="17.100000000000001" customHeight="1">
      <c r="B156" s="258"/>
      <c r="C156" s="49"/>
      <c r="D156" s="49"/>
      <c r="E156" s="259"/>
      <c r="F156" s="260"/>
      <c r="G156" s="259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261"/>
      <c r="S156" s="261"/>
      <c r="T156" s="261"/>
      <c r="U156" s="261"/>
      <c r="V156" s="262"/>
    </row>
    <row r="157" spans="2:22" s="35" customFormat="1" ht="17.100000000000001" customHeight="1">
      <c r="B157" s="258"/>
      <c r="C157" s="49"/>
      <c r="D157" s="49"/>
      <c r="E157" s="259"/>
      <c r="F157" s="260"/>
      <c r="G157" s="259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2"/>
    </row>
    <row r="158" spans="2:22" s="35" customFormat="1" ht="17.100000000000001" customHeight="1">
      <c r="B158" s="258"/>
      <c r="C158" s="49"/>
      <c r="D158" s="49"/>
      <c r="E158" s="259"/>
      <c r="F158" s="260"/>
      <c r="G158" s="259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  <c r="U158" s="261"/>
      <c r="V158" s="262"/>
    </row>
    <row r="159" spans="2:22" s="35" customFormat="1" ht="17.100000000000001" customHeight="1">
      <c r="B159" s="258"/>
      <c r="C159" s="49"/>
      <c r="D159" s="49"/>
      <c r="E159" s="259"/>
      <c r="F159" s="260"/>
      <c r="G159" s="259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1"/>
      <c r="V159" s="262"/>
    </row>
    <row r="160" spans="2:22" s="35" customFormat="1" ht="17.100000000000001" customHeight="1">
      <c r="B160" s="258"/>
      <c r="C160" s="49"/>
      <c r="D160" s="49"/>
      <c r="E160" s="259"/>
      <c r="F160" s="260"/>
      <c r="G160" s="259"/>
      <c r="H160" s="261"/>
      <c r="I160" s="261"/>
      <c r="J160" s="261"/>
      <c r="K160" s="261"/>
      <c r="L160" s="261"/>
      <c r="M160" s="261"/>
      <c r="N160" s="261"/>
      <c r="O160" s="261"/>
      <c r="P160" s="261"/>
      <c r="Q160" s="261"/>
      <c r="R160" s="261"/>
      <c r="S160" s="261"/>
      <c r="T160" s="261"/>
      <c r="U160" s="261"/>
      <c r="V160" s="262"/>
    </row>
    <row r="161" spans="2:22" s="35" customFormat="1" ht="17.100000000000001" customHeight="1">
      <c r="B161" s="258"/>
      <c r="C161" s="49"/>
      <c r="D161" s="49"/>
      <c r="E161" s="259"/>
      <c r="F161" s="260"/>
      <c r="G161" s="259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1"/>
      <c r="S161" s="261"/>
      <c r="T161" s="261"/>
      <c r="U161" s="261"/>
      <c r="V161" s="262"/>
    </row>
    <row r="162" spans="2:22" s="35" customFormat="1" ht="16.95" customHeight="1">
      <c r="B162" s="258"/>
      <c r="C162" s="49"/>
      <c r="D162" s="49"/>
      <c r="E162" s="259"/>
      <c r="F162" s="260"/>
      <c r="G162" s="259"/>
      <c r="H162" s="261"/>
      <c r="I162" s="261"/>
      <c r="J162" s="261"/>
      <c r="K162" s="261"/>
      <c r="L162" s="261"/>
      <c r="M162" s="261"/>
      <c r="N162" s="261"/>
      <c r="O162" s="261"/>
      <c r="P162" s="261"/>
      <c r="Q162" s="261"/>
      <c r="R162" s="261"/>
      <c r="S162" s="261"/>
      <c r="T162" s="261"/>
      <c r="U162" s="261"/>
      <c r="V162" s="262"/>
    </row>
    <row r="163" spans="2:22" s="35" customFormat="1" ht="17.100000000000001" customHeight="1">
      <c r="B163" s="263"/>
      <c r="C163" s="264"/>
      <c r="D163" s="264"/>
      <c r="E163" s="265"/>
      <c r="F163" s="266"/>
      <c r="G163" s="265"/>
      <c r="H163" s="267"/>
      <c r="I163" s="267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8"/>
    </row>
    <row r="164" spans="2:22" s="57" customFormat="1" ht="10.199999999999999" customHeight="1" thickBot="1">
      <c r="B164" s="59"/>
      <c r="C164" s="60"/>
      <c r="D164" s="60"/>
      <c r="E164" s="60"/>
      <c r="F164" s="60"/>
      <c r="G164" s="60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64"/>
    </row>
    <row r="165" spans="2:22" s="57" customFormat="1" ht="5.25" customHeight="1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</row>
    <row r="166" spans="2:22" s="57" customFormat="1" ht="12" customHeight="1">
      <c r="B166" s="65" t="s">
        <v>39</v>
      </c>
      <c r="C166" s="14"/>
      <c r="D166" s="14"/>
      <c r="E166" s="14"/>
      <c r="F166" s="14"/>
      <c r="G166" s="14"/>
      <c r="V166" s="66"/>
    </row>
    <row r="167" spans="2:22" s="57" customFormat="1" ht="3" customHeight="1" thickBot="1">
      <c r="B167" s="65"/>
      <c r="C167" s="14"/>
      <c r="D167" s="14"/>
      <c r="E167" s="14"/>
      <c r="F167" s="14"/>
      <c r="G167" s="14"/>
      <c r="V167" s="66"/>
    </row>
    <row r="168" spans="2:22" s="57" customFormat="1" ht="15" customHeight="1">
      <c r="B168" s="65" t="s">
        <v>41</v>
      </c>
      <c r="D168" s="14"/>
      <c r="E168" s="14"/>
      <c r="F168" s="14"/>
      <c r="G168" s="14"/>
      <c r="I168" s="162" t="s">
        <v>179</v>
      </c>
      <c r="J168" s="162"/>
      <c r="V168" s="14"/>
    </row>
    <row r="169" spans="2:22" s="67" customFormat="1" ht="15" customHeight="1">
      <c r="B169" s="68" t="s">
        <v>42</v>
      </c>
      <c r="C169" s="69" t="s">
        <v>43</v>
      </c>
      <c r="D169" s="70"/>
      <c r="E169" s="70"/>
      <c r="F169" s="70"/>
      <c r="G169" s="70"/>
      <c r="I169" s="70">
        <v>1</v>
      </c>
      <c r="V169" s="69"/>
    </row>
    <row r="170" spans="2:22" s="67" customFormat="1" ht="15" customHeight="1">
      <c r="B170" s="68" t="s">
        <v>44</v>
      </c>
      <c r="C170" s="69" t="s">
        <v>45</v>
      </c>
      <c r="D170" s="70"/>
      <c r="E170" s="70"/>
      <c r="F170" s="70"/>
      <c r="G170" s="70"/>
      <c r="I170" s="70">
        <v>2</v>
      </c>
      <c r="V170" s="69"/>
    </row>
    <row r="171" spans="2:22" s="67" customFormat="1" ht="15" customHeight="1">
      <c r="B171" s="68" t="s">
        <v>46</v>
      </c>
      <c r="C171" s="69" t="s">
        <v>47</v>
      </c>
      <c r="D171" s="70"/>
      <c r="E171" s="70"/>
      <c r="F171" s="70"/>
      <c r="G171" s="70"/>
      <c r="I171" s="70">
        <v>3</v>
      </c>
      <c r="V171" s="69"/>
    </row>
    <row r="172" spans="2:22" s="67" customFormat="1" ht="15" customHeight="1">
      <c r="B172" s="68" t="s">
        <v>48</v>
      </c>
      <c r="C172" s="69" t="s">
        <v>49</v>
      </c>
      <c r="D172" s="70"/>
      <c r="E172" s="70"/>
      <c r="F172" s="70"/>
      <c r="G172" s="70"/>
      <c r="I172" s="70">
        <v>4</v>
      </c>
      <c r="V172" s="69"/>
    </row>
    <row r="173" spans="2:22" s="67" customFormat="1" ht="15" customHeight="1">
      <c r="B173" s="68" t="s">
        <v>50</v>
      </c>
      <c r="C173" s="69" t="s">
        <v>51</v>
      </c>
      <c r="D173" s="70"/>
      <c r="E173" s="70"/>
      <c r="F173" s="70"/>
      <c r="G173" s="70"/>
      <c r="V173" s="68"/>
    </row>
    <row r="174" spans="2:22" s="67" customFormat="1" ht="15" customHeight="1">
      <c r="B174" s="68" t="s">
        <v>52</v>
      </c>
      <c r="C174" s="69" t="s">
        <v>53</v>
      </c>
      <c r="D174" s="70"/>
      <c r="E174" s="70"/>
      <c r="F174" s="70"/>
      <c r="G174" s="70"/>
      <c r="I174" s="67" t="s">
        <v>185</v>
      </c>
    </row>
    <row r="175" spans="2:22" s="67" customFormat="1" ht="15" customHeight="1">
      <c r="B175" s="68" t="s">
        <v>54</v>
      </c>
      <c r="C175" s="69" t="s">
        <v>55</v>
      </c>
      <c r="D175" s="70"/>
      <c r="E175" s="70"/>
      <c r="F175" s="70"/>
      <c r="G175" s="70"/>
      <c r="I175" s="70">
        <v>1</v>
      </c>
      <c r="V175" s="69"/>
    </row>
    <row r="176" spans="2:22" s="67" customFormat="1" ht="15" customHeight="1">
      <c r="B176" s="68" t="s">
        <v>56</v>
      </c>
      <c r="C176" s="69" t="s">
        <v>57</v>
      </c>
      <c r="D176" s="70"/>
      <c r="E176" s="70"/>
      <c r="F176" s="70"/>
      <c r="G176" s="70"/>
      <c r="I176" s="70">
        <v>2</v>
      </c>
      <c r="V176" s="69"/>
    </row>
    <row r="177" spans="2:23" s="71" customFormat="1" ht="15" customHeight="1">
      <c r="B177" s="68" t="s">
        <v>58</v>
      </c>
      <c r="C177" s="69" t="s">
        <v>59</v>
      </c>
      <c r="D177" s="70"/>
      <c r="E177" s="70"/>
      <c r="F177" s="70"/>
      <c r="G177" s="70"/>
      <c r="I177" s="70">
        <v>3</v>
      </c>
    </row>
    <row r="178" spans="2:23" s="72" customFormat="1" ht="15" customHeight="1">
      <c r="B178" s="68" t="s">
        <v>60</v>
      </c>
      <c r="C178" s="69" t="s">
        <v>61</v>
      </c>
      <c r="D178" s="70"/>
      <c r="E178" s="70"/>
      <c r="F178" s="70"/>
      <c r="G178" s="70"/>
      <c r="I178" s="70">
        <v>4</v>
      </c>
      <c r="V178" s="73"/>
    </row>
    <row r="179" spans="2:23" ht="10.199999999999999" customHeight="1">
      <c r="B179" s="68"/>
      <c r="C179" s="70"/>
      <c r="D179" s="70"/>
      <c r="E179" s="70"/>
      <c r="F179" s="70"/>
      <c r="G179" s="70"/>
    </row>
    <row r="180" spans="2:23">
      <c r="B180" s="65" t="s">
        <v>62</v>
      </c>
      <c r="D180" s="70"/>
      <c r="E180" s="70"/>
      <c r="F180" s="70"/>
      <c r="G180" s="70"/>
      <c r="I180" s="1" t="s">
        <v>189</v>
      </c>
    </row>
    <row r="181" spans="2:23">
      <c r="B181" s="68" t="s">
        <v>42</v>
      </c>
      <c r="C181" s="74" t="s">
        <v>63</v>
      </c>
      <c r="D181" s="70"/>
      <c r="E181" s="70"/>
      <c r="F181" s="70"/>
      <c r="G181" s="70"/>
      <c r="I181" s="70">
        <v>1</v>
      </c>
    </row>
    <row r="182" spans="2:23">
      <c r="B182" s="68" t="s">
        <v>44</v>
      </c>
      <c r="C182" s="74" t="s">
        <v>64</v>
      </c>
      <c r="D182" s="70"/>
      <c r="E182" s="70"/>
      <c r="F182" s="70"/>
      <c r="G182" s="70"/>
      <c r="I182" s="70">
        <v>2</v>
      </c>
    </row>
    <row r="183" spans="2:23">
      <c r="B183" s="68" t="s">
        <v>46</v>
      </c>
      <c r="C183" s="74" t="s">
        <v>65</v>
      </c>
      <c r="D183" s="75"/>
      <c r="E183" s="75"/>
      <c r="F183" s="75"/>
      <c r="G183" s="75"/>
      <c r="I183" s="70">
        <v>3</v>
      </c>
    </row>
    <row r="184" spans="2:23">
      <c r="B184" s="77" t="s">
        <v>66</v>
      </c>
      <c r="C184" s="74" t="s">
        <v>67</v>
      </c>
      <c r="I184" s="70">
        <v>4</v>
      </c>
    </row>
    <row r="185" spans="2:23" ht="15" thickBot="1">
      <c r="B185" s="77" t="s">
        <v>50</v>
      </c>
      <c r="C185" s="74" t="s">
        <v>68</v>
      </c>
      <c r="I185" s="174">
        <v>5</v>
      </c>
      <c r="J185" s="176"/>
    </row>
    <row r="186" spans="2:23">
      <c r="B186" s="77" t="s">
        <v>52</v>
      </c>
      <c r="C186" s="74" t="s">
        <v>69</v>
      </c>
    </row>
    <row r="187" spans="2:23" ht="10.199999999999999" customHeight="1">
      <c r="B187" s="68"/>
      <c r="C187" s="70"/>
      <c r="D187" s="70"/>
      <c r="E187" s="70"/>
      <c r="F187" s="70"/>
      <c r="G187" s="70"/>
    </row>
    <row r="188" spans="2:23" ht="15" thickBot="1">
      <c r="B188" s="65" t="s">
        <v>70</v>
      </c>
    </row>
    <row r="189" spans="2:23">
      <c r="B189" s="68" t="s">
        <v>42</v>
      </c>
      <c r="C189" s="78" t="s">
        <v>43</v>
      </c>
      <c r="I189" s="180"/>
      <c r="J189" s="180"/>
      <c r="K189" s="180"/>
      <c r="L189" s="181"/>
    </row>
    <row r="190" spans="2:23">
      <c r="B190" s="68" t="s">
        <v>44</v>
      </c>
      <c r="C190" s="78" t="s">
        <v>71</v>
      </c>
      <c r="I190" s="1" t="s">
        <v>215</v>
      </c>
      <c r="L190" s="170"/>
    </row>
    <row r="191" spans="2:23">
      <c r="B191" s="68" t="s">
        <v>46</v>
      </c>
      <c r="C191" s="78" t="s">
        <v>72</v>
      </c>
      <c r="I191" s="1" t="s">
        <v>216</v>
      </c>
      <c r="L191" s="170"/>
    </row>
    <row r="192" spans="2:23" s="1" customFormat="1">
      <c r="B192" s="68" t="s">
        <v>48</v>
      </c>
      <c r="C192" s="78" t="s">
        <v>73</v>
      </c>
      <c r="D192" s="2"/>
      <c r="E192" s="2"/>
      <c r="F192" s="2"/>
      <c r="G192" s="2"/>
      <c r="I192" s="1" t="s">
        <v>217</v>
      </c>
      <c r="L192" s="170"/>
      <c r="W192" s="4"/>
    </row>
    <row r="193" spans="2:23" s="1" customFormat="1">
      <c r="B193" s="68" t="s">
        <v>50</v>
      </c>
      <c r="C193" s="78" t="s">
        <v>74</v>
      </c>
      <c r="D193" s="2"/>
      <c r="E193" s="2"/>
      <c r="F193" s="2"/>
      <c r="G193" s="2"/>
      <c r="I193" s="1" t="s">
        <v>218</v>
      </c>
      <c r="L193" s="170"/>
      <c r="W193" s="4"/>
    </row>
    <row r="194" spans="2:23" s="1" customFormat="1">
      <c r="B194" s="68" t="s">
        <v>52</v>
      </c>
      <c r="C194" s="78" t="s">
        <v>75</v>
      </c>
      <c r="D194" s="2"/>
      <c r="E194" s="2"/>
      <c r="F194" s="2"/>
      <c r="G194" s="2"/>
      <c r="L194" s="170"/>
      <c r="W194" s="4"/>
    </row>
    <row r="195" spans="2:23" s="1" customFormat="1">
      <c r="B195" s="68" t="s">
        <v>54</v>
      </c>
      <c r="C195" s="78" t="s">
        <v>76</v>
      </c>
      <c r="D195" s="2"/>
      <c r="E195" s="2"/>
      <c r="F195" s="2"/>
      <c r="G195" s="2"/>
      <c r="H195" s="78"/>
      <c r="I195" s="78"/>
      <c r="J195" s="78" t="s">
        <v>223</v>
      </c>
      <c r="K195" s="78" t="s">
        <v>243</v>
      </c>
      <c r="L195" s="182"/>
      <c r="M195" s="78"/>
      <c r="N195" s="78"/>
      <c r="O195" s="78"/>
      <c r="P195" s="78"/>
      <c r="Q195" s="78"/>
      <c r="R195" s="78"/>
      <c r="S195" s="78"/>
      <c r="T195" s="78"/>
      <c r="U195" s="78"/>
      <c r="W195" s="4"/>
    </row>
    <row r="196" spans="2:23" s="1" customFormat="1">
      <c r="B196" s="68" t="s">
        <v>56</v>
      </c>
      <c r="C196" s="78" t="s">
        <v>77</v>
      </c>
      <c r="D196" s="2"/>
      <c r="E196" s="2"/>
      <c r="F196" s="2"/>
      <c r="G196" s="2"/>
      <c r="I196" s="1" t="s">
        <v>181</v>
      </c>
      <c r="J196" s="1">
        <v>1</v>
      </c>
      <c r="K196" s="1">
        <v>1</v>
      </c>
      <c r="L196" s="170"/>
      <c r="W196" s="4"/>
    </row>
    <row r="197" spans="2:23" s="1" customFormat="1">
      <c r="C197" s="2"/>
      <c r="D197" s="2"/>
      <c r="E197" s="2"/>
      <c r="F197" s="2"/>
      <c r="G197" s="2"/>
      <c r="I197" s="1" t="s">
        <v>231</v>
      </c>
      <c r="J197" s="1">
        <v>2</v>
      </c>
      <c r="K197" s="1">
        <v>2</v>
      </c>
      <c r="L197" s="170"/>
      <c r="W197" s="4"/>
    </row>
    <row r="198" spans="2:23" s="1" customFormat="1">
      <c r="B198" s="65" t="s">
        <v>161</v>
      </c>
      <c r="C198" s="2"/>
      <c r="D198" s="2"/>
      <c r="E198" s="2"/>
      <c r="F198" s="2"/>
      <c r="G198" s="2"/>
      <c r="I198" s="1" t="s">
        <v>232</v>
      </c>
      <c r="J198" s="1">
        <v>3</v>
      </c>
      <c r="K198" s="1">
        <v>3</v>
      </c>
      <c r="L198" s="170"/>
      <c r="W198" s="4"/>
    </row>
    <row r="199" spans="2:23" s="1" customFormat="1">
      <c r="B199" s="68" t="s">
        <v>42</v>
      </c>
      <c r="C199" s="78" t="s">
        <v>162</v>
      </c>
      <c r="D199" s="2"/>
      <c r="E199" s="2"/>
      <c r="F199" s="2"/>
      <c r="G199" s="2"/>
      <c r="I199" s="1" t="s">
        <v>233</v>
      </c>
      <c r="J199" s="1">
        <v>4</v>
      </c>
      <c r="K199" s="1">
        <v>4</v>
      </c>
      <c r="L199" s="170"/>
      <c r="W199" s="4"/>
    </row>
    <row r="200" spans="2:23" s="1" customFormat="1">
      <c r="B200" s="68" t="s">
        <v>44</v>
      </c>
      <c r="C200" s="78" t="s">
        <v>163</v>
      </c>
      <c r="D200" s="2"/>
      <c r="E200" s="2"/>
      <c r="F200" s="2"/>
      <c r="G200" s="2"/>
      <c r="I200" s="1" t="s">
        <v>234</v>
      </c>
      <c r="J200" s="1">
        <v>5</v>
      </c>
      <c r="L200" s="170"/>
      <c r="W200" s="4"/>
    </row>
    <row r="201" spans="2:23" s="1" customFormat="1">
      <c r="B201" s="68" t="s">
        <v>46</v>
      </c>
      <c r="C201" s="78" t="s">
        <v>164</v>
      </c>
      <c r="D201" s="2"/>
      <c r="E201" s="2"/>
      <c r="F201" s="2"/>
      <c r="G201" s="2"/>
      <c r="L201" s="170"/>
      <c r="W201" s="4"/>
    </row>
    <row r="202" spans="2:23" s="1" customFormat="1">
      <c r="B202" s="68" t="s">
        <v>48</v>
      </c>
      <c r="C202" s="78" t="s">
        <v>165</v>
      </c>
      <c r="D202" s="2"/>
      <c r="E202" s="2"/>
      <c r="F202" s="2"/>
      <c r="G202" s="2"/>
      <c r="J202" s="1" t="s">
        <v>227</v>
      </c>
      <c r="L202" s="170"/>
      <c r="W202" s="4"/>
    </row>
    <row r="203" spans="2:23" s="1" customFormat="1">
      <c r="B203" s="68" t="s">
        <v>50</v>
      </c>
      <c r="C203" s="78" t="s">
        <v>166</v>
      </c>
      <c r="D203" s="2"/>
      <c r="E203" s="2"/>
      <c r="F203" s="2"/>
      <c r="G203" s="2"/>
      <c r="I203" s="1" t="s">
        <v>241</v>
      </c>
      <c r="J203" s="70">
        <v>1</v>
      </c>
      <c r="L203" s="170"/>
      <c r="W203" s="4"/>
    </row>
    <row r="204" spans="2:23" s="1" customFormat="1">
      <c r="B204" s="68" t="s">
        <v>52</v>
      </c>
      <c r="C204" s="78" t="s">
        <v>167</v>
      </c>
      <c r="D204" s="2"/>
      <c r="E204" s="2"/>
      <c r="F204" s="2"/>
      <c r="G204" s="2"/>
      <c r="I204" s="1" t="s">
        <v>239</v>
      </c>
      <c r="J204" s="70">
        <v>2</v>
      </c>
      <c r="L204" s="170"/>
      <c r="W204" s="4"/>
    </row>
    <row r="205" spans="2:23" s="1" customFormat="1">
      <c r="B205" s="68" t="s">
        <v>54</v>
      </c>
      <c r="C205" s="78" t="s">
        <v>168</v>
      </c>
      <c r="D205" s="2"/>
      <c r="E205" s="2"/>
      <c r="F205" s="2"/>
      <c r="G205" s="2"/>
      <c r="H205" s="78"/>
      <c r="I205" s="1" t="s">
        <v>240</v>
      </c>
      <c r="J205" s="70">
        <v>3</v>
      </c>
      <c r="K205" s="78"/>
      <c r="L205" s="182"/>
      <c r="M205" s="78"/>
      <c r="N205" s="78"/>
      <c r="O205" s="78"/>
      <c r="P205" s="78"/>
      <c r="Q205" s="78"/>
      <c r="R205" s="78"/>
      <c r="S205" s="78"/>
      <c r="T205" s="78"/>
      <c r="U205" s="78"/>
      <c r="W205" s="4"/>
    </row>
    <row r="206" spans="2:23" s="1" customFormat="1">
      <c r="C206" s="2"/>
      <c r="D206" s="2"/>
      <c r="E206" s="2"/>
      <c r="F206" s="2"/>
      <c r="G206" s="2"/>
      <c r="I206" s="1" t="s">
        <v>242</v>
      </c>
      <c r="J206" s="70">
        <v>4</v>
      </c>
      <c r="L206" s="170"/>
      <c r="W206" s="4"/>
    </row>
    <row r="207" spans="2:23" s="1" customFormat="1" ht="15" thickBot="1">
      <c r="C207" s="2"/>
      <c r="D207" s="2"/>
      <c r="E207" s="2"/>
      <c r="F207" s="2"/>
      <c r="G207" s="2"/>
      <c r="I207" s="176"/>
      <c r="J207" s="174">
        <v>5</v>
      </c>
      <c r="K207" s="176"/>
      <c r="L207" s="177"/>
      <c r="W207" s="4"/>
    </row>
  </sheetData>
  <mergeCells count="11">
    <mergeCell ref="B6:V6"/>
    <mergeCell ref="C18:E18"/>
    <mergeCell ref="F18:F19"/>
    <mergeCell ref="G18:G19"/>
    <mergeCell ref="H18:U18"/>
    <mergeCell ref="V18:V19"/>
    <mergeCell ref="Q20:S20"/>
    <mergeCell ref="T20:U20"/>
    <mergeCell ref="B20:G20"/>
    <mergeCell ref="H20:I20"/>
    <mergeCell ref="M20:O20"/>
  </mergeCells>
  <conditionalFormatting sqref="G24:G47 G50:G163">
    <cfRule type="cellIs" dxfId="7" priority="6" operator="equal">
      <formula>"RB"</formula>
    </cfRule>
  </conditionalFormatting>
  <conditionalFormatting sqref="G48:G49">
    <cfRule type="cellIs" dxfId="6" priority="5" operator="equal">
      <formula>"RB"</formula>
    </cfRule>
  </conditionalFormatting>
  <conditionalFormatting sqref="G22:G23">
    <cfRule type="cellIs" dxfId="5" priority="3" operator="equal">
      <formula>"RB"</formula>
    </cfRule>
  </conditionalFormatting>
  <conditionalFormatting sqref="G21">
    <cfRule type="cellIs" dxfId="4" priority="2" operator="equal">
      <formula>"RB"</formula>
    </cfRule>
  </conditionalFormatting>
  <dataValidations count="2">
    <dataValidation type="list" allowBlank="1" showInputMessage="1" showErrorMessage="1" sqref="U21:U163" xr:uid="{00000000-0002-0000-0500-000000000000}">
      <formula1>$K$196:$K$199</formula1>
    </dataValidation>
    <dataValidation type="list" allowBlank="1" showInputMessage="1" showErrorMessage="1" sqref="R21:R163" xr:uid="{00000000-0002-0000-0500-000001000000}">
      <formula1>$J$203:$J$207</formula1>
    </dataValidation>
  </dataValidations>
  <printOptions horizontalCentered="1"/>
  <pageMargins left="0.47244094488188981" right="0.27559055118110237" top="0.47244094488188981" bottom="0.31496062992125984" header="0.31496062992125984" footer="0.31496062992125984"/>
  <pageSetup paperSize="9" scale="45" orientation="portrait" horizontalDpi="4294967293" r:id="rId1"/>
  <rowBreaks count="1" manualBreakCount="1">
    <brk id="93" max="22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AK960"/>
  <sheetViews>
    <sheetView view="pageBreakPreview" topLeftCell="A16" zoomScale="85" zoomScaleNormal="100" zoomScaleSheetLayoutView="85" workbookViewId="0">
      <pane xSplit="7" ySplit="4" topLeftCell="H44" activePane="bottomRight" state="frozen"/>
      <selection activeCell="A16" sqref="A16"/>
      <selection pane="topRight" activeCell="H16" sqref="H16"/>
      <selection pane="bottomLeft" activeCell="A20" sqref="A20"/>
      <selection pane="bottomRight" activeCell="R54" sqref="R54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7" width="7.6640625" style="2" customWidth="1"/>
    <col min="8" max="8" width="10.6640625" style="1" customWidth="1"/>
    <col min="9" max="10" width="5.6640625" style="1" customWidth="1"/>
    <col min="11" max="11" width="10.6640625" style="1" customWidth="1"/>
    <col min="12" max="13" width="5.6640625" style="1" customWidth="1"/>
    <col min="14" max="14" width="10.6640625" style="1" customWidth="1"/>
    <col min="15" max="16" width="5.6640625" style="1" customWidth="1"/>
    <col min="17" max="17" width="10.6640625" style="1" customWidth="1"/>
    <col min="18" max="19" width="5.6640625" style="1" customWidth="1"/>
    <col min="20" max="22" width="10.6640625" style="1" customWidth="1"/>
    <col min="23" max="24" width="5.6640625" style="1" customWidth="1"/>
    <col min="25" max="28" width="10.6640625" style="1" customWidth="1"/>
    <col min="29" max="30" width="5.6640625" style="1" customWidth="1"/>
    <col min="31" max="31" width="10.6640625" style="1" customWidth="1"/>
    <col min="32" max="33" width="5.6640625" style="1" customWidth="1"/>
    <col min="34" max="35" width="10.6640625" style="1" customWidth="1"/>
    <col min="36" max="36" width="5.6640625" style="1" customWidth="1"/>
    <col min="37" max="37" width="1" style="4" customWidth="1"/>
    <col min="38" max="270" width="8.88671875" style="4"/>
    <col min="271" max="271" width="7.5546875" style="4" customWidth="1"/>
    <col min="272" max="272" width="7.33203125" style="4" customWidth="1"/>
    <col min="273" max="273" width="9.6640625" style="4" customWidth="1"/>
    <col min="274" max="275" width="6.6640625" style="4" customWidth="1"/>
    <col min="276" max="285" width="6.33203125" style="4" customWidth="1"/>
    <col min="286" max="286" width="9.109375" style="4" customWidth="1"/>
    <col min="287" max="292" width="7.6640625" style="4" customWidth="1"/>
    <col min="293" max="293" width="1.88671875" style="4" customWidth="1"/>
    <col min="294" max="526" width="8.88671875" style="4"/>
    <col min="527" max="527" width="7.5546875" style="4" customWidth="1"/>
    <col min="528" max="528" width="7.33203125" style="4" customWidth="1"/>
    <col min="529" max="529" width="9.6640625" style="4" customWidth="1"/>
    <col min="530" max="531" width="6.6640625" style="4" customWidth="1"/>
    <col min="532" max="541" width="6.33203125" style="4" customWidth="1"/>
    <col min="542" max="542" width="9.109375" style="4" customWidth="1"/>
    <col min="543" max="548" width="7.6640625" style="4" customWidth="1"/>
    <col min="549" max="549" width="1.88671875" style="4" customWidth="1"/>
    <col min="550" max="782" width="8.88671875" style="4"/>
    <col min="783" max="783" width="7.5546875" style="4" customWidth="1"/>
    <col min="784" max="784" width="7.33203125" style="4" customWidth="1"/>
    <col min="785" max="785" width="9.6640625" style="4" customWidth="1"/>
    <col min="786" max="787" width="6.6640625" style="4" customWidth="1"/>
    <col min="788" max="797" width="6.33203125" style="4" customWidth="1"/>
    <col min="798" max="798" width="9.109375" style="4" customWidth="1"/>
    <col min="799" max="804" width="7.6640625" style="4" customWidth="1"/>
    <col min="805" max="805" width="1.88671875" style="4" customWidth="1"/>
    <col min="806" max="1038" width="8.88671875" style="4"/>
    <col min="1039" max="1039" width="7.5546875" style="4" customWidth="1"/>
    <col min="1040" max="1040" width="7.33203125" style="4" customWidth="1"/>
    <col min="1041" max="1041" width="9.6640625" style="4" customWidth="1"/>
    <col min="1042" max="1043" width="6.6640625" style="4" customWidth="1"/>
    <col min="1044" max="1053" width="6.33203125" style="4" customWidth="1"/>
    <col min="1054" max="1054" width="9.109375" style="4" customWidth="1"/>
    <col min="1055" max="1060" width="7.6640625" style="4" customWidth="1"/>
    <col min="1061" max="1061" width="1.88671875" style="4" customWidth="1"/>
    <col min="1062" max="1294" width="8.88671875" style="4"/>
    <col min="1295" max="1295" width="7.5546875" style="4" customWidth="1"/>
    <col min="1296" max="1296" width="7.33203125" style="4" customWidth="1"/>
    <col min="1297" max="1297" width="9.6640625" style="4" customWidth="1"/>
    <col min="1298" max="1299" width="6.6640625" style="4" customWidth="1"/>
    <col min="1300" max="1309" width="6.33203125" style="4" customWidth="1"/>
    <col min="1310" max="1310" width="9.109375" style="4" customWidth="1"/>
    <col min="1311" max="1316" width="7.6640625" style="4" customWidth="1"/>
    <col min="1317" max="1317" width="1.88671875" style="4" customWidth="1"/>
    <col min="1318" max="1550" width="8.88671875" style="4"/>
    <col min="1551" max="1551" width="7.5546875" style="4" customWidth="1"/>
    <col min="1552" max="1552" width="7.33203125" style="4" customWidth="1"/>
    <col min="1553" max="1553" width="9.6640625" style="4" customWidth="1"/>
    <col min="1554" max="1555" width="6.6640625" style="4" customWidth="1"/>
    <col min="1556" max="1565" width="6.33203125" style="4" customWidth="1"/>
    <col min="1566" max="1566" width="9.109375" style="4" customWidth="1"/>
    <col min="1567" max="1572" width="7.6640625" style="4" customWidth="1"/>
    <col min="1573" max="1573" width="1.88671875" style="4" customWidth="1"/>
    <col min="1574" max="1806" width="8.88671875" style="4"/>
    <col min="1807" max="1807" width="7.5546875" style="4" customWidth="1"/>
    <col min="1808" max="1808" width="7.33203125" style="4" customWidth="1"/>
    <col min="1809" max="1809" width="9.6640625" style="4" customWidth="1"/>
    <col min="1810" max="1811" width="6.6640625" style="4" customWidth="1"/>
    <col min="1812" max="1821" width="6.33203125" style="4" customWidth="1"/>
    <col min="1822" max="1822" width="9.109375" style="4" customWidth="1"/>
    <col min="1823" max="1828" width="7.6640625" style="4" customWidth="1"/>
    <col min="1829" max="1829" width="1.88671875" style="4" customWidth="1"/>
    <col min="1830" max="2062" width="8.88671875" style="4"/>
    <col min="2063" max="2063" width="7.5546875" style="4" customWidth="1"/>
    <col min="2064" max="2064" width="7.33203125" style="4" customWidth="1"/>
    <col min="2065" max="2065" width="9.6640625" style="4" customWidth="1"/>
    <col min="2066" max="2067" width="6.6640625" style="4" customWidth="1"/>
    <col min="2068" max="2077" width="6.33203125" style="4" customWidth="1"/>
    <col min="2078" max="2078" width="9.109375" style="4" customWidth="1"/>
    <col min="2079" max="2084" width="7.6640625" style="4" customWidth="1"/>
    <col min="2085" max="2085" width="1.88671875" style="4" customWidth="1"/>
    <col min="2086" max="2318" width="8.88671875" style="4"/>
    <col min="2319" max="2319" width="7.5546875" style="4" customWidth="1"/>
    <col min="2320" max="2320" width="7.33203125" style="4" customWidth="1"/>
    <col min="2321" max="2321" width="9.6640625" style="4" customWidth="1"/>
    <col min="2322" max="2323" width="6.6640625" style="4" customWidth="1"/>
    <col min="2324" max="2333" width="6.33203125" style="4" customWidth="1"/>
    <col min="2334" max="2334" width="9.109375" style="4" customWidth="1"/>
    <col min="2335" max="2340" width="7.6640625" style="4" customWidth="1"/>
    <col min="2341" max="2341" width="1.88671875" style="4" customWidth="1"/>
    <col min="2342" max="2574" width="8.88671875" style="4"/>
    <col min="2575" max="2575" width="7.5546875" style="4" customWidth="1"/>
    <col min="2576" max="2576" width="7.33203125" style="4" customWidth="1"/>
    <col min="2577" max="2577" width="9.6640625" style="4" customWidth="1"/>
    <col min="2578" max="2579" width="6.6640625" style="4" customWidth="1"/>
    <col min="2580" max="2589" width="6.33203125" style="4" customWidth="1"/>
    <col min="2590" max="2590" width="9.109375" style="4" customWidth="1"/>
    <col min="2591" max="2596" width="7.6640625" style="4" customWidth="1"/>
    <col min="2597" max="2597" width="1.88671875" style="4" customWidth="1"/>
    <col min="2598" max="2830" width="8.88671875" style="4"/>
    <col min="2831" max="2831" width="7.5546875" style="4" customWidth="1"/>
    <col min="2832" max="2832" width="7.33203125" style="4" customWidth="1"/>
    <col min="2833" max="2833" width="9.6640625" style="4" customWidth="1"/>
    <col min="2834" max="2835" width="6.6640625" style="4" customWidth="1"/>
    <col min="2836" max="2845" width="6.33203125" style="4" customWidth="1"/>
    <col min="2846" max="2846" width="9.109375" style="4" customWidth="1"/>
    <col min="2847" max="2852" width="7.6640625" style="4" customWidth="1"/>
    <col min="2853" max="2853" width="1.88671875" style="4" customWidth="1"/>
    <col min="2854" max="3086" width="8.88671875" style="4"/>
    <col min="3087" max="3087" width="7.5546875" style="4" customWidth="1"/>
    <col min="3088" max="3088" width="7.33203125" style="4" customWidth="1"/>
    <col min="3089" max="3089" width="9.6640625" style="4" customWidth="1"/>
    <col min="3090" max="3091" width="6.6640625" style="4" customWidth="1"/>
    <col min="3092" max="3101" width="6.33203125" style="4" customWidth="1"/>
    <col min="3102" max="3102" width="9.109375" style="4" customWidth="1"/>
    <col min="3103" max="3108" width="7.6640625" style="4" customWidth="1"/>
    <col min="3109" max="3109" width="1.88671875" style="4" customWidth="1"/>
    <col min="3110" max="3342" width="8.88671875" style="4"/>
    <col min="3343" max="3343" width="7.5546875" style="4" customWidth="1"/>
    <col min="3344" max="3344" width="7.33203125" style="4" customWidth="1"/>
    <col min="3345" max="3345" width="9.6640625" style="4" customWidth="1"/>
    <col min="3346" max="3347" width="6.6640625" style="4" customWidth="1"/>
    <col min="3348" max="3357" width="6.33203125" style="4" customWidth="1"/>
    <col min="3358" max="3358" width="9.109375" style="4" customWidth="1"/>
    <col min="3359" max="3364" width="7.6640625" style="4" customWidth="1"/>
    <col min="3365" max="3365" width="1.88671875" style="4" customWidth="1"/>
    <col min="3366" max="3598" width="8.88671875" style="4"/>
    <col min="3599" max="3599" width="7.5546875" style="4" customWidth="1"/>
    <col min="3600" max="3600" width="7.33203125" style="4" customWidth="1"/>
    <col min="3601" max="3601" width="9.6640625" style="4" customWidth="1"/>
    <col min="3602" max="3603" width="6.6640625" style="4" customWidth="1"/>
    <col min="3604" max="3613" width="6.33203125" style="4" customWidth="1"/>
    <col min="3614" max="3614" width="9.109375" style="4" customWidth="1"/>
    <col min="3615" max="3620" width="7.6640625" style="4" customWidth="1"/>
    <col min="3621" max="3621" width="1.88671875" style="4" customWidth="1"/>
    <col min="3622" max="3854" width="8.88671875" style="4"/>
    <col min="3855" max="3855" width="7.5546875" style="4" customWidth="1"/>
    <col min="3856" max="3856" width="7.33203125" style="4" customWidth="1"/>
    <col min="3857" max="3857" width="9.6640625" style="4" customWidth="1"/>
    <col min="3858" max="3859" width="6.6640625" style="4" customWidth="1"/>
    <col min="3860" max="3869" width="6.33203125" style="4" customWidth="1"/>
    <col min="3870" max="3870" width="9.109375" style="4" customWidth="1"/>
    <col min="3871" max="3876" width="7.6640625" style="4" customWidth="1"/>
    <col min="3877" max="3877" width="1.88671875" style="4" customWidth="1"/>
    <col min="3878" max="4110" width="8.88671875" style="4"/>
    <col min="4111" max="4111" width="7.5546875" style="4" customWidth="1"/>
    <col min="4112" max="4112" width="7.33203125" style="4" customWidth="1"/>
    <col min="4113" max="4113" width="9.6640625" style="4" customWidth="1"/>
    <col min="4114" max="4115" width="6.6640625" style="4" customWidth="1"/>
    <col min="4116" max="4125" width="6.33203125" style="4" customWidth="1"/>
    <col min="4126" max="4126" width="9.109375" style="4" customWidth="1"/>
    <col min="4127" max="4132" width="7.6640625" style="4" customWidth="1"/>
    <col min="4133" max="4133" width="1.88671875" style="4" customWidth="1"/>
    <col min="4134" max="4366" width="8.88671875" style="4"/>
    <col min="4367" max="4367" width="7.5546875" style="4" customWidth="1"/>
    <col min="4368" max="4368" width="7.33203125" style="4" customWidth="1"/>
    <col min="4369" max="4369" width="9.6640625" style="4" customWidth="1"/>
    <col min="4370" max="4371" width="6.6640625" style="4" customWidth="1"/>
    <col min="4372" max="4381" width="6.33203125" style="4" customWidth="1"/>
    <col min="4382" max="4382" width="9.109375" style="4" customWidth="1"/>
    <col min="4383" max="4388" width="7.6640625" style="4" customWidth="1"/>
    <col min="4389" max="4389" width="1.88671875" style="4" customWidth="1"/>
    <col min="4390" max="4622" width="8.88671875" style="4"/>
    <col min="4623" max="4623" width="7.5546875" style="4" customWidth="1"/>
    <col min="4624" max="4624" width="7.33203125" style="4" customWidth="1"/>
    <col min="4625" max="4625" width="9.6640625" style="4" customWidth="1"/>
    <col min="4626" max="4627" width="6.6640625" style="4" customWidth="1"/>
    <col min="4628" max="4637" width="6.33203125" style="4" customWidth="1"/>
    <col min="4638" max="4638" width="9.109375" style="4" customWidth="1"/>
    <col min="4639" max="4644" width="7.6640625" style="4" customWidth="1"/>
    <col min="4645" max="4645" width="1.88671875" style="4" customWidth="1"/>
    <col min="4646" max="4878" width="8.88671875" style="4"/>
    <col min="4879" max="4879" width="7.5546875" style="4" customWidth="1"/>
    <col min="4880" max="4880" width="7.33203125" style="4" customWidth="1"/>
    <col min="4881" max="4881" width="9.6640625" style="4" customWidth="1"/>
    <col min="4882" max="4883" width="6.6640625" style="4" customWidth="1"/>
    <col min="4884" max="4893" width="6.33203125" style="4" customWidth="1"/>
    <col min="4894" max="4894" width="9.109375" style="4" customWidth="1"/>
    <col min="4895" max="4900" width="7.6640625" style="4" customWidth="1"/>
    <col min="4901" max="4901" width="1.88671875" style="4" customWidth="1"/>
    <col min="4902" max="5134" width="8.88671875" style="4"/>
    <col min="5135" max="5135" width="7.5546875" style="4" customWidth="1"/>
    <col min="5136" max="5136" width="7.33203125" style="4" customWidth="1"/>
    <col min="5137" max="5137" width="9.6640625" style="4" customWidth="1"/>
    <col min="5138" max="5139" width="6.6640625" style="4" customWidth="1"/>
    <col min="5140" max="5149" width="6.33203125" style="4" customWidth="1"/>
    <col min="5150" max="5150" width="9.109375" style="4" customWidth="1"/>
    <col min="5151" max="5156" width="7.6640625" style="4" customWidth="1"/>
    <col min="5157" max="5157" width="1.88671875" style="4" customWidth="1"/>
    <col min="5158" max="5390" width="8.88671875" style="4"/>
    <col min="5391" max="5391" width="7.5546875" style="4" customWidth="1"/>
    <col min="5392" max="5392" width="7.33203125" style="4" customWidth="1"/>
    <col min="5393" max="5393" width="9.6640625" style="4" customWidth="1"/>
    <col min="5394" max="5395" width="6.6640625" style="4" customWidth="1"/>
    <col min="5396" max="5405" width="6.33203125" style="4" customWidth="1"/>
    <col min="5406" max="5406" width="9.109375" style="4" customWidth="1"/>
    <col min="5407" max="5412" width="7.6640625" style="4" customWidth="1"/>
    <col min="5413" max="5413" width="1.88671875" style="4" customWidth="1"/>
    <col min="5414" max="5646" width="8.88671875" style="4"/>
    <col min="5647" max="5647" width="7.5546875" style="4" customWidth="1"/>
    <col min="5648" max="5648" width="7.33203125" style="4" customWidth="1"/>
    <col min="5649" max="5649" width="9.6640625" style="4" customWidth="1"/>
    <col min="5650" max="5651" width="6.6640625" style="4" customWidth="1"/>
    <col min="5652" max="5661" width="6.33203125" style="4" customWidth="1"/>
    <col min="5662" max="5662" width="9.109375" style="4" customWidth="1"/>
    <col min="5663" max="5668" width="7.6640625" style="4" customWidth="1"/>
    <col min="5669" max="5669" width="1.88671875" style="4" customWidth="1"/>
    <col min="5670" max="5902" width="8.88671875" style="4"/>
    <col min="5903" max="5903" width="7.5546875" style="4" customWidth="1"/>
    <col min="5904" max="5904" width="7.33203125" style="4" customWidth="1"/>
    <col min="5905" max="5905" width="9.6640625" style="4" customWidth="1"/>
    <col min="5906" max="5907" width="6.6640625" style="4" customWidth="1"/>
    <col min="5908" max="5917" width="6.33203125" style="4" customWidth="1"/>
    <col min="5918" max="5918" width="9.109375" style="4" customWidth="1"/>
    <col min="5919" max="5924" width="7.6640625" style="4" customWidth="1"/>
    <col min="5925" max="5925" width="1.88671875" style="4" customWidth="1"/>
    <col min="5926" max="6158" width="8.88671875" style="4"/>
    <col min="6159" max="6159" width="7.5546875" style="4" customWidth="1"/>
    <col min="6160" max="6160" width="7.33203125" style="4" customWidth="1"/>
    <col min="6161" max="6161" width="9.6640625" style="4" customWidth="1"/>
    <col min="6162" max="6163" width="6.6640625" style="4" customWidth="1"/>
    <col min="6164" max="6173" width="6.33203125" style="4" customWidth="1"/>
    <col min="6174" max="6174" width="9.109375" style="4" customWidth="1"/>
    <col min="6175" max="6180" width="7.6640625" style="4" customWidth="1"/>
    <col min="6181" max="6181" width="1.88671875" style="4" customWidth="1"/>
    <col min="6182" max="6414" width="8.88671875" style="4"/>
    <col min="6415" max="6415" width="7.5546875" style="4" customWidth="1"/>
    <col min="6416" max="6416" width="7.33203125" style="4" customWidth="1"/>
    <col min="6417" max="6417" width="9.6640625" style="4" customWidth="1"/>
    <col min="6418" max="6419" width="6.6640625" style="4" customWidth="1"/>
    <col min="6420" max="6429" width="6.33203125" style="4" customWidth="1"/>
    <col min="6430" max="6430" width="9.109375" style="4" customWidth="1"/>
    <col min="6431" max="6436" width="7.6640625" style="4" customWidth="1"/>
    <col min="6437" max="6437" width="1.88671875" style="4" customWidth="1"/>
    <col min="6438" max="6670" width="8.88671875" style="4"/>
    <col min="6671" max="6671" width="7.5546875" style="4" customWidth="1"/>
    <col min="6672" max="6672" width="7.33203125" style="4" customWidth="1"/>
    <col min="6673" max="6673" width="9.6640625" style="4" customWidth="1"/>
    <col min="6674" max="6675" width="6.6640625" style="4" customWidth="1"/>
    <col min="6676" max="6685" width="6.33203125" style="4" customWidth="1"/>
    <col min="6686" max="6686" width="9.109375" style="4" customWidth="1"/>
    <col min="6687" max="6692" width="7.6640625" style="4" customWidth="1"/>
    <col min="6693" max="6693" width="1.88671875" style="4" customWidth="1"/>
    <col min="6694" max="6926" width="8.88671875" style="4"/>
    <col min="6927" max="6927" width="7.5546875" style="4" customWidth="1"/>
    <col min="6928" max="6928" width="7.33203125" style="4" customWidth="1"/>
    <col min="6929" max="6929" width="9.6640625" style="4" customWidth="1"/>
    <col min="6930" max="6931" width="6.6640625" style="4" customWidth="1"/>
    <col min="6932" max="6941" width="6.33203125" style="4" customWidth="1"/>
    <col min="6942" max="6942" width="9.109375" style="4" customWidth="1"/>
    <col min="6943" max="6948" width="7.6640625" style="4" customWidth="1"/>
    <col min="6949" max="6949" width="1.88671875" style="4" customWidth="1"/>
    <col min="6950" max="7182" width="8.88671875" style="4"/>
    <col min="7183" max="7183" width="7.5546875" style="4" customWidth="1"/>
    <col min="7184" max="7184" width="7.33203125" style="4" customWidth="1"/>
    <col min="7185" max="7185" width="9.6640625" style="4" customWidth="1"/>
    <col min="7186" max="7187" width="6.6640625" style="4" customWidth="1"/>
    <col min="7188" max="7197" width="6.33203125" style="4" customWidth="1"/>
    <col min="7198" max="7198" width="9.109375" style="4" customWidth="1"/>
    <col min="7199" max="7204" width="7.6640625" style="4" customWidth="1"/>
    <col min="7205" max="7205" width="1.88671875" style="4" customWidth="1"/>
    <col min="7206" max="7438" width="8.88671875" style="4"/>
    <col min="7439" max="7439" width="7.5546875" style="4" customWidth="1"/>
    <col min="7440" max="7440" width="7.33203125" style="4" customWidth="1"/>
    <col min="7441" max="7441" width="9.6640625" style="4" customWidth="1"/>
    <col min="7442" max="7443" width="6.6640625" style="4" customWidth="1"/>
    <col min="7444" max="7453" width="6.33203125" style="4" customWidth="1"/>
    <col min="7454" max="7454" width="9.109375" style="4" customWidth="1"/>
    <col min="7455" max="7460" width="7.6640625" style="4" customWidth="1"/>
    <col min="7461" max="7461" width="1.88671875" style="4" customWidth="1"/>
    <col min="7462" max="7694" width="8.88671875" style="4"/>
    <col min="7695" max="7695" width="7.5546875" style="4" customWidth="1"/>
    <col min="7696" max="7696" width="7.33203125" style="4" customWidth="1"/>
    <col min="7697" max="7697" width="9.6640625" style="4" customWidth="1"/>
    <col min="7698" max="7699" width="6.6640625" style="4" customWidth="1"/>
    <col min="7700" max="7709" width="6.33203125" style="4" customWidth="1"/>
    <col min="7710" max="7710" width="9.109375" style="4" customWidth="1"/>
    <col min="7711" max="7716" width="7.6640625" style="4" customWidth="1"/>
    <col min="7717" max="7717" width="1.88671875" style="4" customWidth="1"/>
    <col min="7718" max="7950" width="8.88671875" style="4"/>
    <col min="7951" max="7951" width="7.5546875" style="4" customWidth="1"/>
    <col min="7952" max="7952" width="7.33203125" style="4" customWidth="1"/>
    <col min="7953" max="7953" width="9.6640625" style="4" customWidth="1"/>
    <col min="7954" max="7955" width="6.6640625" style="4" customWidth="1"/>
    <col min="7956" max="7965" width="6.33203125" style="4" customWidth="1"/>
    <col min="7966" max="7966" width="9.109375" style="4" customWidth="1"/>
    <col min="7967" max="7972" width="7.6640625" style="4" customWidth="1"/>
    <col min="7973" max="7973" width="1.88671875" style="4" customWidth="1"/>
    <col min="7974" max="8206" width="8.88671875" style="4"/>
    <col min="8207" max="8207" width="7.5546875" style="4" customWidth="1"/>
    <col min="8208" max="8208" width="7.33203125" style="4" customWidth="1"/>
    <col min="8209" max="8209" width="9.6640625" style="4" customWidth="1"/>
    <col min="8210" max="8211" width="6.6640625" style="4" customWidth="1"/>
    <col min="8212" max="8221" width="6.33203125" style="4" customWidth="1"/>
    <col min="8222" max="8222" width="9.109375" style="4" customWidth="1"/>
    <col min="8223" max="8228" width="7.6640625" style="4" customWidth="1"/>
    <col min="8229" max="8229" width="1.88671875" style="4" customWidth="1"/>
    <col min="8230" max="8462" width="8.88671875" style="4"/>
    <col min="8463" max="8463" width="7.5546875" style="4" customWidth="1"/>
    <col min="8464" max="8464" width="7.33203125" style="4" customWidth="1"/>
    <col min="8465" max="8465" width="9.6640625" style="4" customWidth="1"/>
    <col min="8466" max="8467" width="6.6640625" style="4" customWidth="1"/>
    <col min="8468" max="8477" width="6.33203125" style="4" customWidth="1"/>
    <col min="8478" max="8478" width="9.109375" style="4" customWidth="1"/>
    <col min="8479" max="8484" width="7.6640625" style="4" customWidth="1"/>
    <col min="8485" max="8485" width="1.88671875" style="4" customWidth="1"/>
    <col min="8486" max="8718" width="8.88671875" style="4"/>
    <col min="8719" max="8719" width="7.5546875" style="4" customWidth="1"/>
    <col min="8720" max="8720" width="7.33203125" style="4" customWidth="1"/>
    <col min="8721" max="8721" width="9.6640625" style="4" customWidth="1"/>
    <col min="8722" max="8723" width="6.6640625" style="4" customWidth="1"/>
    <col min="8724" max="8733" width="6.33203125" style="4" customWidth="1"/>
    <col min="8734" max="8734" width="9.109375" style="4" customWidth="1"/>
    <col min="8735" max="8740" width="7.6640625" style="4" customWidth="1"/>
    <col min="8741" max="8741" width="1.88671875" style="4" customWidth="1"/>
    <col min="8742" max="8974" width="8.88671875" style="4"/>
    <col min="8975" max="8975" width="7.5546875" style="4" customWidth="1"/>
    <col min="8976" max="8976" width="7.33203125" style="4" customWidth="1"/>
    <col min="8977" max="8977" width="9.6640625" style="4" customWidth="1"/>
    <col min="8978" max="8979" width="6.6640625" style="4" customWidth="1"/>
    <col min="8980" max="8989" width="6.33203125" style="4" customWidth="1"/>
    <col min="8990" max="8990" width="9.109375" style="4" customWidth="1"/>
    <col min="8991" max="8996" width="7.6640625" style="4" customWidth="1"/>
    <col min="8997" max="8997" width="1.88671875" style="4" customWidth="1"/>
    <col min="8998" max="9230" width="8.88671875" style="4"/>
    <col min="9231" max="9231" width="7.5546875" style="4" customWidth="1"/>
    <col min="9232" max="9232" width="7.33203125" style="4" customWidth="1"/>
    <col min="9233" max="9233" width="9.6640625" style="4" customWidth="1"/>
    <col min="9234" max="9235" width="6.6640625" style="4" customWidth="1"/>
    <col min="9236" max="9245" width="6.33203125" style="4" customWidth="1"/>
    <col min="9246" max="9246" width="9.109375" style="4" customWidth="1"/>
    <col min="9247" max="9252" width="7.6640625" style="4" customWidth="1"/>
    <col min="9253" max="9253" width="1.88671875" style="4" customWidth="1"/>
    <col min="9254" max="9486" width="8.88671875" style="4"/>
    <col min="9487" max="9487" width="7.5546875" style="4" customWidth="1"/>
    <col min="9488" max="9488" width="7.33203125" style="4" customWidth="1"/>
    <col min="9489" max="9489" width="9.6640625" style="4" customWidth="1"/>
    <col min="9490" max="9491" width="6.6640625" style="4" customWidth="1"/>
    <col min="9492" max="9501" width="6.33203125" style="4" customWidth="1"/>
    <col min="9502" max="9502" width="9.109375" style="4" customWidth="1"/>
    <col min="9503" max="9508" width="7.6640625" style="4" customWidth="1"/>
    <col min="9509" max="9509" width="1.88671875" style="4" customWidth="1"/>
    <col min="9510" max="9742" width="8.88671875" style="4"/>
    <col min="9743" max="9743" width="7.5546875" style="4" customWidth="1"/>
    <col min="9744" max="9744" width="7.33203125" style="4" customWidth="1"/>
    <col min="9745" max="9745" width="9.6640625" style="4" customWidth="1"/>
    <col min="9746" max="9747" width="6.6640625" style="4" customWidth="1"/>
    <col min="9748" max="9757" width="6.33203125" style="4" customWidth="1"/>
    <col min="9758" max="9758" width="9.109375" style="4" customWidth="1"/>
    <col min="9759" max="9764" width="7.6640625" style="4" customWidth="1"/>
    <col min="9765" max="9765" width="1.88671875" style="4" customWidth="1"/>
    <col min="9766" max="9998" width="8.88671875" style="4"/>
    <col min="9999" max="9999" width="7.5546875" style="4" customWidth="1"/>
    <col min="10000" max="10000" width="7.33203125" style="4" customWidth="1"/>
    <col min="10001" max="10001" width="9.6640625" style="4" customWidth="1"/>
    <col min="10002" max="10003" width="6.6640625" style="4" customWidth="1"/>
    <col min="10004" max="10013" width="6.33203125" style="4" customWidth="1"/>
    <col min="10014" max="10014" width="9.109375" style="4" customWidth="1"/>
    <col min="10015" max="10020" width="7.6640625" style="4" customWidth="1"/>
    <col min="10021" max="10021" width="1.88671875" style="4" customWidth="1"/>
    <col min="10022" max="10254" width="8.88671875" style="4"/>
    <col min="10255" max="10255" width="7.5546875" style="4" customWidth="1"/>
    <col min="10256" max="10256" width="7.33203125" style="4" customWidth="1"/>
    <col min="10257" max="10257" width="9.6640625" style="4" customWidth="1"/>
    <col min="10258" max="10259" width="6.6640625" style="4" customWidth="1"/>
    <col min="10260" max="10269" width="6.33203125" style="4" customWidth="1"/>
    <col min="10270" max="10270" width="9.109375" style="4" customWidth="1"/>
    <col min="10271" max="10276" width="7.6640625" style="4" customWidth="1"/>
    <col min="10277" max="10277" width="1.88671875" style="4" customWidth="1"/>
    <col min="10278" max="10510" width="8.88671875" style="4"/>
    <col min="10511" max="10511" width="7.5546875" style="4" customWidth="1"/>
    <col min="10512" max="10512" width="7.33203125" style="4" customWidth="1"/>
    <col min="10513" max="10513" width="9.6640625" style="4" customWidth="1"/>
    <col min="10514" max="10515" width="6.6640625" style="4" customWidth="1"/>
    <col min="10516" max="10525" width="6.33203125" style="4" customWidth="1"/>
    <col min="10526" max="10526" width="9.109375" style="4" customWidth="1"/>
    <col min="10527" max="10532" width="7.6640625" style="4" customWidth="1"/>
    <col min="10533" max="10533" width="1.88671875" style="4" customWidth="1"/>
    <col min="10534" max="10766" width="8.88671875" style="4"/>
    <col min="10767" max="10767" width="7.5546875" style="4" customWidth="1"/>
    <col min="10768" max="10768" width="7.33203125" style="4" customWidth="1"/>
    <col min="10769" max="10769" width="9.6640625" style="4" customWidth="1"/>
    <col min="10770" max="10771" width="6.6640625" style="4" customWidth="1"/>
    <col min="10772" max="10781" width="6.33203125" style="4" customWidth="1"/>
    <col min="10782" max="10782" width="9.109375" style="4" customWidth="1"/>
    <col min="10783" max="10788" width="7.6640625" style="4" customWidth="1"/>
    <col min="10789" max="10789" width="1.88671875" style="4" customWidth="1"/>
    <col min="10790" max="11022" width="8.88671875" style="4"/>
    <col min="11023" max="11023" width="7.5546875" style="4" customWidth="1"/>
    <col min="11024" max="11024" width="7.33203125" style="4" customWidth="1"/>
    <col min="11025" max="11025" width="9.6640625" style="4" customWidth="1"/>
    <col min="11026" max="11027" width="6.6640625" style="4" customWidth="1"/>
    <col min="11028" max="11037" width="6.33203125" style="4" customWidth="1"/>
    <col min="11038" max="11038" width="9.109375" style="4" customWidth="1"/>
    <col min="11039" max="11044" width="7.6640625" style="4" customWidth="1"/>
    <col min="11045" max="11045" width="1.88671875" style="4" customWidth="1"/>
    <col min="11046" max="11278" width="8.88671875" style="4"/>
    <col min="11279" max="11279" width="7.5546875" style="4" customWidth="1"/>
    <col min="11280" max="11280" width="7.33203125" style="4" customWidth="1"/>
    <col min="11281" max="11281" width="9.6640625" style="4" customWidth="1"/>
    <col min="11282" max="11283" width="6.6640625" style="4" customWidth="1"/>
    <col min="11284" max="11293" width="6.33203125" style="4" customWidth="1"/>
    <col min="11294" max="11294" width="9.109375" style="4" customWidth="1"/>
    <col min="11295" max="11300" width="7.6640625" style="4" customWidth="1"/>
    <col min="11301" max="11301" width="1.88671875" style="4" customWidth="1"/>
    <col min="11302" max="11534" width="8.88671875" style="4"/>
    <col min="11535" max="11535" width="7.5546875" style="4" customWidth="1"/>
    <col min="11536" max="11536" width="7.33203125" style="4" customWidth="1"/>
    <col min="11537" max="11537" width="9.6640625" style="4" customWidth="1"/>
    <col min="11538" max="11539" width="6.6640625" style="4" customWidth="1"/>
    <col min="11540" max="11549" width="6.33203125" style="4" customWidth="1"/>
    <col min="11550" max="11550" width="9.109375" style="4" customWidth="1"/>
    <col min="11551" max="11556" width="7.6640625" style="4" customWidth="1"/>
    <col min="11557" max="11557" width="1.88671875" style="4" customWidth="1"/>
    <col min="11558" max="11790" width="8.88671875" style="4"/>
    <col min="11791" max="11791" width="7.5546875" style="4" customWidth="1"/>
    <col min="11792" max="11792" width="7.33203125" style="4" customWidth="1"/>
    <col min="11793" max="11793" width="9.6640625" style="4" customWidth="1"/>
    <col min="11794" max="11795" width="6.6640625" style="4" customWidth="1"/>
    <col min="11796" max="11805" width="6.33203125" style="4" customWidth="1"/>
    <col min="11806" max="11806" width="9.109375" style="4" customWidth="1"/>
    <col min="11807" max="11812" width="7.6640625" style="4" customWidth="1"/>
    <col min="11813" max="11813" width="1.88671875" style="4" customWidth="1"/>
    <col min="11814" max="12046" width="8.88671875" style="4"/>
    <col min="12047" max="12047" width="7.5546875" style="4" customWidth="1"/>
    <col min="12048" max="12048" width="7.33203125" style="4" customWidth="1"/>
    <col min="12049" max="12049" width="9.6640625" style="4" customWidth="1"/>
    <col min="12050" max="12051" width="6.6640625" style="4" customWidth="1"/>
    <col min="12052" max="12061" width="6.33203125" style="4" customWidth="1"/>
    <col min="12062" max="12062" width="9.109375" style="4" customWidth="1"/>
    <col min="12063" max="12068" width="7.6640625" style="4" customWidth="1"/>
    <col min="12069" max="12069" width="1.88671875" style="4" customWidth="1"/>
    <col min="12070" max="12302" width="8.88671875" style="4"/>
    <col min="12303" max="12303" width="7.5546875" style="4" customWidth="1"/>
    <col min="12304" max="12304" width="7.33203125" style="4" customWidth="1"/>
    <col min="12305" max="12305" width="9.6640625" style="4" customWidth="1"/>
    <col min="12306" max="12307" width="6.6640625" style="4" customWidth="1"/>
    <col min="12308" max="12317" width="6.33203125" style="4" customWidth="1"/>
    <col min="12318" max="12318" width="9.109375" style="4" customWidth="1"/>
    <col min="12319" max="12324" width="7.6640625" style="4" customWidth="1"/>
    <col min="12325" max="12325" width="1.88671875" style="4" customWidth="1"/>
    <col min="12326" max="12558" width="8.88671875" style="4"/>
    <col min="12559" max="12559" width="7.5546875" style="4" customWidth="1"/>
    <col min="12560" max="12560" width="7.33203125" style="4" customWidth="1"/>
    <col min="12561" max="12561" width="9.6640625" style="4" customWidth="1"/>
    <col min="12562" max="12563" width="6.6640625" style="4" customWidth="1"/>
    <col min="12564" max="12573" width="6.33203125" style="4" customWidth="1"/>
    <col min="12574" max="12574" width="9.109375" style="4" customWidth="1"/>
    <col min="12575" max="12580" width="7.6640625" style="4" customWidth="1"/>
    <col min="12581" max="12581" width="1.88671875" style="4" customWidth="1"/>
    <col min="12582" max="12814" width="8.88671875" style="4"/>
    <col min="12815" max="12815" width="7.5546875" style="4" customWidth="1"/>
    <col min="12816" max="12816" width="7.33203125" style="4" customWidth="1"/>
    <col min="12817" max="12817" width="9.6640625" style="4" customWidth="1"/>
    <col min="12818" max="12819" width="6.6640625" style="4" customWidth="1"/>
    <col min="12820" max="12829" width="6.33203125" style="4" customWidth="1"/>
    <col min="12830" max="12830" width="9.109375" style="4" customWidth="1"/>
    <col min="12831" max="12836" width="7.6640625" style="4" customWidth="1"/>
    <col min="12837" max="12837" width="1.88671875" style="4" customWidth="1"/>
    <col min="12838" max="13070" width="8.88671875" style="4"/>
    <col min="13071" max="13071" width="7.5546875" style="4" customWidth="1"/>
    <col min="13072" max="13072" width="7.33203125" style="4" customWidth="1"/>
    <col min="13073" max="13073" width="9.6640625" style="4" customWidth="1"/>
    <col min="13074" max="13075" width="6.6640625" style="4" customWidth="1"/>
    <col min="13076" max="13085" width="6.33203125" style="4" customWidth="1"/>
    <col min="13086" max="13086" width="9.109375" style="4" customWidth="1"/>
    <col min="13087" max="13092" width="7.6640625" style="4" customWidth="1"/>
    <col min="13093" max="13093" width="1.88671875" style="4" customWidth="1"/>
    <col min="13094" max="13326" width="8.88671875" style="4"/>
    <col min="13327" max="13327" width="7.5546875" style="4" customWidth="1"/>
    <col min="13328" max="13328" width="7.33203125" style="4" customWidth="1"/>
    <col min="13329" max="13329" width="9.6640625" style="4" customWidth="1"/>
    <col min="13330" max="13331" width="6.6640625" style="4" customWidth="1"/>
    <col min="13332" max="13341" width="6.33203125" style="4" customWidth="1"/>
    <col min="13342" max="13342" width="9.109375" style="4" customWidth="1"/>
    <col min="13343" max="13348" width="7.6640625" style="4" customWidth="1"/>
    <col min="13349" max="13349" width="1.88671875" style="4" customWidth="1"/>
    <col min="13350" max="13582" width="8.88671875" style="4"/>
    <col min="13583" max="13583" width="7.5546875" style="4" customWidth="1"/>
    <col min="13584" max="13584" width="7.33203125" style="4" customWidth="1"/>
    <col min="13585" max="13585" width="9.6640625" style="4" customWidth="1"/>
    <col min="13586" max="13587" width="6.6640625" style="4" customWidth="1"/>
    <col min="13588" max="13597" width="6.33203125" style="4" customWidth="1"/>
    <col min="13598" max="13598" width="9.109375" style="4" customWidth="1"/>
    <col min="13599" max="13604" width="7.6640625" style="4" customWidth="1"/>
    <col min="13605" max="13605" width="1.88671875" style="4" customWidth="1"/>
    <col min="13606" max="13838" width="8.88671875" style="4"/>
    <col min="13839" max="13839" width="7.5546875" style="4" customWidth="1"/>
    <col min="13840" max="13840" width="7.33203125" style="4" customWidth="1"/>
    <col min="13841" max="13841" width="9.6640625" style="4" customWidth="1"/>
    <col min="13842" max="13843" width="6.6640625" style="4" customWidth="1"/>
    <col min="13844" max="13853" width="6.33203125" style="4" customWidth="1"/>
    <col min="13854" max="13854" width="9.109375" style="4" customWidth="1"/>
    <col min="13855" max="13860" width="7.6640625" style="4" customWidth="1"/>
    <col min="13861" max="13861" width="1.88671875" style="4" customWidth="1"/>
    <col min="13862" max="14094" width="8.88671875" style="4"/>
    <col min="14095" max="14095" width="7.5546875" style="4" customWidth="1"/>
    <col min="14096" max="14096" width="7.33203125" style="4" customWidth="1"/>
    <col min="14097" max="14097" width="9.6640625" style="4" customWidth="1"/>
    <col min="14098" max="14099" width="6.6640625" style="4" customWidth="1"/>
    <col min="14100" max="14109" width="6.33203125" style="4" customWidth="1"/>
    <col min="14110" max="14110" width="9.109375" style="4" customWidth="1"/>
    <col min="14111" max="14116" width="7.6640625" style="4" customWidth="1"/>
    <col min="14117" max="14117" width="1.88671875" style="4" customWidth="1"/>
    <col min="14118" max="14350" width="8.88671875" style="4"/>
    <col min="14351" max="14351" width="7.5546875" style="4" customWidth="1"/>
    <col min="14352" max="14352" width="7.33203125" style="4" customWidth="1"/>
    <col min="14353" max="14353" width="9.6640625" style="4" customWidth="1"/>
    <col min="14354" max="14355" width="6.6640625" style="4" customWidth="1"/>
    <col min="14356" max="14365" width="6.33203125" style="4" customWidth="1"/>
    <col min="14366" max="14366" width="9.109375" style="4" customWidth="1"/>
    <col min="14367" max="14372" width="7.6640625" style="4" customWidth="1"/>
    <col min="14373" max="14373" width="1.88671875" style="4" customWidth="1"/>
    <col min="14374" max="14606" width="8.88671875" style="4"/>
    <col min="14607" max="14607" width="7.5546875" style="4" customWidth="1"/>
    <col min="14608" max="14608" width="7.33203125" style="4" customWidth="1"/>
    <col min="14609" max="14609" width="9.6640625" style="4" customWidth="1"/>
    <col min="14610" max="14611" width="6.6640625" style="4" customWidth="1"/>
    <col min="14612" max="14621" width="6.33203125" style="4" customWidth="1"/>
    <col min="14622" max="14622" width="9.109375" style="4" customWidth="1"/>
    <col min="14623" max="14628" width="7.6640625" style="4" customWidth="1"/>
    <col min="14629" max="14629" width="1.88671875" style="4" customWidth="1"/>
    <col min="14630" max="14862" width="8.88671875" style="4"/>
    <col min="14863" max="14863" width="7.5546875" style="4" customWidth="1"/>
    <col min="14864" max="14864" width="7.33203125" style="4" customWidth="1"/>
    <col min="14865" max="14865" width="9.6640625" style="4" customWidth="1"/>
    <col min="14866" max="14867" width="6.6640625" style="4" customWidth="1"/>
    <col min="14868" max="14877" width="6.33203125" style="4" customWidth="1"/>
    <col min="14878" max="14878" width="9.109375" style="4" customWidth="1"/>
    <col min="14879" max="14884" width="7.6640625" style="4" customWidth="1"/>
    <col min="14885" max="14885" width="1.88671875" style="4" customWidth="1"/>
    <col min="14886" max="15118" width="8.88671875" style="4"/>
    <col min="15119" max="15119" width="7.5546875" style="4" customWidth="1"/>
    <col min="15120" max="15120" width="7.33203125" style="4" customWidth="1"/>
    <col min="15121" max="15121" width="9.6640625" style="4" customWidth="1"/>
    <col min="15122" max="15123" width="6.6640625" style="4" customWidth="1"/>
    <col min="15124" max="15133" width="6.33203125" style="4" customWidth="1"/>
    <col min="15134" max="15134" width="9.109375" style="4" customWidth="1"/>
    <col min="15135" max="15140" width="7.6640625" style="4" customWidth="1"/>
    <col min="15141" max="15141" width="1.88671875" style="4" customWidth="1"/>
    <col min="15142" max="15374" width="8.88671875" style="4"/>
    <col min="15375" max="15375" width="7.5546875" style="4" customWidth="1"/>
    <col min="15376" max="15376" width="7.33203125" style="4" customWidth="1"/>
    <col min="15377" max="15377" width="9.6640625" style="4" customWidth="1"/>
    <col min="15378" max="15379" width="6.6640625" style="4" customWidth="1"/>
    <col min="15380" max="15389" width="6.33203125" style="4" customWidth="1"/>
    <col min="15390" max="15390" width="9.109375" style="4" customWidth="1"/>
    <col min="15391" max="15396" width="7.6640625" style="4" customWidth="1"/>
    <col min="15397" max="15397" width="1.88671875" style="4" customWidth="1"/>
    <col min="15398" max="15630" width="8.88671875" style="4"/>
    <col min="15631" max="15631" width="7.5546875" style="4" customWidth="1"/>
    <col min="15632" max="15632" width="7.33203125" style="4" customWidth="1"/>
    <col min="15633" max="15633" width="9.6640625" style="4" customWidth="1"/>
    <col min="15634" max="15635" width="6.6640625" style="4" customWidth="1"/>
    <col min="15636" max="15645" width="6.33203125" style="4" customWidth="1"/>
    <col min="15646" max="15646" width="9.109375" style="4" customWidth="1"/>
    <col min="15647" max="15652" width="7.6640625" style="4" customWidth="1"/>
    <col min="15653" max="15653" width="1.88671875" style="4" customWidth="1"/>
    <col min="15654" max="15886" width="8.88671875" style="4"/>
    <col min="15887" max="15887" width="7.5546875" style="4" customWidth="1"/>
    <col min="15888" max="15888" width="7.33203125" style="4" customWidth="1"/>
    <col min="15889" max="15889" width="9.6640625" style="4" customWidth="1"/>
    <col min="15890" max="15891" width="6.6640625" style="4" customWidth="1"/>
    <col min="15892" max="15901" width="6.33203125" style="4" customWidth="1"/>
    <col min="15902" max="15902" width="9.109375" style="4" customWidth="1"/>
    <col min="15903" max="15908" width="7.6640625" style="4" customWidth="1"/>
    <col min="15909" max="15909" width="1.88671875" style="4" customWidth="1"/>
    <col min="15910" max="16142" width="8.88671875" style="4"/>
    <col min="16143" max="16143" width="7.5546875" style="4" customWidth="1"/>
    <col min="16144" max="16144" width="7.33203125" style="4" customWidth="1"/>
    <col min="16145" max="16145" width="9.6640625" style="4" customWidth="1"/>
    <col min="16146" max="16147" width="6.6640625" style="4" customWidth="1"/>
    <col min="16148" max="16157" width="6.33203125" style="4" customWidth="1"/>
    <col min="16158" max="16158" width="9.109375" style="4" customWidth="1"/>
    <col min="16159" max="16164" width="7.6640625" style="4" customWidth="1"/>
    <col min="16165" max="16165" width="1.88671875" style="4" customWidth="1"/>
    <col min="16166" max="16384" width="8.88671875" style="4"/>
  </cols>
  <sheetData>
    <row r="1" spans="2:37" ht="8.25" customHeight="1"/>
    <row r="2" spans="2:37" ht="15" customHeight="1">
      <c r="C2" s="5" t="s">
        <v>0</v>
      </c>
    </row>
    <row r="3" spans="2:37" ht="15" customHeight="1">
      <c r="C3" s="5" t="s">
        <v>1</v>
      </c>
    </row>
    <row r="4" spans="2:37" ht="9" customHeight="1"/>
    <row r="5" spans="2:37" ht="6" customHeight="1"/>
    <row r="6" spans="2:37" ht="16.95" customHeight="1">
      <c r="B6" s="332" t="s">
        <v>211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8"/>
    </row>
    <row r="7" spans="2:37" ht="6.75" customHeight="1" thickBot="1"/>
    <row r="8" spans="2:37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3"/>
    </row>
    <row r="9" spans="2:37" s="14" customFormat="1" ht="15" customHeight="1">
      <c r="B9" s="15" t="s">
        <v>3</v>
      </c>
      <c r="C9" s="16"/>
      <c r="D9" s="17"/>
      <c r="E9" s="17" t="s">
        <v>4</v>
      </c>
      <c r="F9" s="219" t="str">
        <f>'Link List'!D3</f>
        <v>044</v>
      </c>
      <c r="G9" s="17"/>
      <c r="H9" s="19"/>
      <c r="I9" s="20"/>
      <c r="J9" s="21"/>
      <c r="K9" s="19"/>
      <c r="L9" s="20"/>
      <c r="M9" s="21"/>
      <c r="N9" s="19"/>
      <c r="O9" s="20"/>
      <c r="P9" s="21"/>
      <c r="Q9" s="19"/>
      <c r="R9" s="20"/>
      <c r="S9" s="21"/>
      <c r="T9" s="19"/>
      <c r="U9" s="19"/>
      <c r="V9" s="19"/>
      <c r="W9" s="20"/>
      <c r="X9" s="21"/>
      <c r="Y9" s="19"/>
      <c r="Z9" s="19"/>
      <c r="AA9" s="19"/>
      <c r="AB9" s="19"/>
      <c r="AC9" s="20"/>
      <c r="AD9" s="21"/>
      <c r="AE9" s="19"/>
      <c r="AF9" s="20"/>
      <c r="AG9" s="21"/>
      <c r="AH9" s="19"/>
      <c r="AI9" s="19"/>
      <c r="AJ9" s="22"/>
    </row>
    <row r="10" spans="2:37" s="14" customFormat="1" ht="6.9" customHeight="1" thickBot="1">
      <c r="B10" s="15"/>
      <c r="C10" s="16"/>
      <c r="D10" s="17"/>
      <c r="E10" s="17"/>
      <c r="F10" s="219"/>
      <c r="G10" s="17"/>
      <c r="H10" s="24"/>
      <c r="I10" s="25"/>
      <c r="J10" s="25"/>
      <c r="K10" s="24"/>
      <c r="L10" s="25"/>
      <c r="M10" s="25"/>
      <c r="N10" s="24"/>
      <c r="O10" s="25"/>
      <c r="P10" s="25"/>
      <c r="Q10" s="24"/>
      <c r="R10" s="25"/>
      <c r="S10" s="25"/>
      <c r="T10" s="24"/>
      <c r="U10" s="24"/>
      <c r="V10" s="24"/>
      <c r="W10" s="25"/>
      <c r="X10" s="25"/>
      <c r="Y10" s="24"/>
      <c r="Z10" s="24"/>
      <c r="AA10" s="24"/>
      <c r="AB10" s="24"/>
      <c r="AC10" s="25"/>
      <c r="AD10" s="25"/>
      <c r="AE10" s="24"/>
      <c r="AF10" s="25"/>
      <c r="AG10" s="25"/>
      <c r="AH10" s="24"/>
      <c r="AI10" s="24"/>
      <c r="AJ10" s="26"/>
    </row>
    <row r="11" spans="2:37" s="14" customFormat="1" ht="6.9" customHeight="1">
      <c r="B11" s="9"/>
      <c r="C11" s="10"/>
      <c r="D11" s="11"/>
      <c r="E11" s="11"/>
      <c r="F11" s="220"/>
      <c r="G11" s="11"/>
      <c r="H11" s="28"/>
      <c r="I11" s="12"/>
      <c r="J11" s="12"/>
      <c r="K11" s="28"/>
      <c r="L11" s="12"/>
      <c r="M11" s="12"/>
      <c r="N11" s="28"/>
      <c r="O11" s="12"/>
      <c r="P11" s="12"/>
      <c r="Q11" s="28"/>
      <c r="R11" s="12"/>
      <c r="S11" s="12"/>
      <c r="T11" s="28"/>
      <c r="U11" s="28"/>
      <c r="V11" s="28"/>
      <c r="W11" s="12"/>
      <c r="X11" s="12"/>
      <c r="Y11" s="28"/>
      <c r="Z11" s="28"/>
      <c r="AA11" s="28"/>
      <c r="AB11" s="28"/>
      <c r="AC11" s="12"/>
      <c r="AD11" s="12"/>
      <c r="AE11" s="28"/>
      <c r="AF11" s="12"/>
      <c r="AG11" s="12"/>
      <c r="AH11" s="28"/>
      <c r="AI11" s="28"/>
      <c r="AJ11" s="13"/>
    </row>
    <row r="12" spans="2:37" s="14" customFormat="1" ht="15" customHeight="1">
      <c r="B12" s="15" t="s">
        <v>5</v>
      </c>
      <c r="C12" s="16"/>
      <c r="D12" s="17"/>
      <c r="E12" s="17" t="s">
        <v>4</v>
      </c>
      <c r="F12" s="219" t="str">
        <f>'Link List'!F3</f>
        <v>SP TELUK KILUAN - SP. UMBAR</v>
      </c>
      <c r="G12" s="17"/>
      <c r="H12" s="29"/>
      <c r="I12" s="30"/>
      <c r="J12" s="21"/>
      <c r="K12" s="29"/>
      <c r="L12" s="30"/>
      <c r="M12" s="21"/>
      <c r="N12" s="29"/>
      <c r="O12" s="30"/>
      <c r="P12" s="21"/>
      <c r="Q12" s="29"/>
      <c r="R12" s="30"/>
      <c r="S12" s="21"/>
      <c r="T12" s="29"/>
      <c r="U12" s="29"/>
      <c r="V12" s="29"/>
      <c r="W12" s="30"/>
      <c r="X12" s="21"/>
      <c r="Y12" s="29"/>
      <c r="Z12" s="29"/>
      <c r="AA12" s="29"/>
      <c r="AB12" s="29"/>
      <c r="AC12" s="30"/>
      <c r="AD12" s="21"/>
      <c r="AE12" s="29"/>
      <c r="AF12" s="30"/>
      <c r="AG12" s="21"/>
      <c r="AH12" s="29"/>
      <c r="AI12" s="29"/>
      <c r="AJ12" s="22"/>
    </row>
    <row r="13" spans="2:37" s="14" customFormat="1" ht="6.9" customHeight="1" thickBot="1">
      <c r="B13" s="15"/>
      <c r="C13" s="16"/>
      <c r="D13" s="31"/>
      <c r="E13" s="31"/>
      <c r="F13" s="221"/>
      <c r="G13" s="31"/>
      <c r="H13" s="24"/>
      <c r="I13" s="25"/>
      <c r="J13" s="25"/>
      <c r="K13" s="24"/>
      <c r="L13" s="25"/>
      <c r="M13" s="25"/>
      <c r="N13" s="24"/>
      <c r="O13" s="25"/>
      <c r="P13" s="25"/>
      <c r="Q13" s="24"/>
      <c r="R13" s="25"/>
      <c r="S13" s="25"/>
      <c r="T13" s="24"/>
      <c r="U13" s="24"/>
      <c r="V13" s="24"/>
      <c r="W13" s="25"/>
      <c r="X13" s="25"/>
      <c r="Y13" s="24"/>
      <c r="Z13" s="24"/>
      <c r="AA13" s="24"/>
      <c r="AB13" s="24"/>
      <c r="AC13" s="25"/>
      <c r="AD13" s="25"/>
      <c r="AE13" s="24"/>
      <c r="AF13" s="25"/>
      <c r="AG13" s="25"/>
      <c r="AH13" s="24"/>
      <c r="AI13" s="24"/>
      <c r="AJ13" s="26"/>
    </row>
    <row r="14" spans="2:37" s="14" customFormat="1" ht="6.9" customHeight="1">
      <c r="B14" s="9"/>
      <c r="C14" s="10"/>
      <c r="D14" s="11"/>
      <c r="E14" s="11"/>
      <c r="F14" s="220"/>
      <c r="G14" s="11"/>
      <c r="H14" s="28"/>
      <c r="I14" s="12"/>
      <c r="J14" s="12"/>
      <c r="K14" s="28"/>
      <c r="L14" s="12"/>
      <c r="M14" s="12"/>
      <c r="N14" s="28"/>
      <c r="O14" s="12"/>
      <c r="P14" s="12"/>
      <c r="Q14" s="28"/>
      <c r="R14" s="12"/>
      <c r="S14" s="12"/>
      <c r="T14" s="28"/>
      <c r="U14" s="28"/>
      <c r="V14" s="28"/>
      <c r="W14" s="12"/>
      <c r="X14" s="12"/>
      <c r="Y14" s="28"/>
      <c r="Z14" s="28"/>
      <c r="AA14" s="28"/>
      <c r="AB14" s="28"/>
      <c r="AC14" s="12"/>
      <c r="AD14" s="12"/>
      <c r="AE14" s="28"/>
      <c r="AF14" s="12"/>
      <c r="AG14" s="12"/>
      <c r="AH14" s="28"/>
      <c r="AI14" s="28"/>
      <c r="AJ14" s="13"/>
    </row>
    <row r="15" spans="2:37" s="14" customFormat="1" ht="15" customHeight="1">
      <c r="B15" s="15" t="s">
        <v>157</v>
      </c>
      <c r="C15" s="16"/>
      <c r="D15" s="17"/>
      <c r="E15" s="17" t="s">
        <v>4</v>
      </c>
      <c r="F15" s="219">
        <f>'Link List'!I3</f>
        <v>25.157</v>
      </c>
      <c r="G15" s="17"/>
      <c r="H15" s="92"/>
      <c r="I15" s="30"/>
      <c r="J15" s="21"/>
      <c r="K15" s="92"/>
      <c r="L15" s="30"/>
      <c r="M15" s="21"/>
      <c r="N15" s="92"/>
      <c r="O15" s="30"/>
      <c r="P15" s="21"/>
      <c r="Q15" s="92"/>
      <c r="R15" s="30"/>
      <c r="S15" s="21"/>
      <c r="T15" s="92"/>
      <c r="U15" s="92"/>
      <c r="V15" s="92"/>
      <c r="W15" s="30"/>
      <c r="X15" s="21"/>
      <c r="Y15" s="92"/>
      <c r="Z15" s="92"/>
      <c r="AA15" s="92"/>
      <c r="AB15" s="92"/>
      <c r="AC15" s="30"/>
      <c r="AD15" s="21"/>
      <c r="AE15" s="92"/>
      <c r="AF15" s="30"/>
      <c r="AG15" s="21"/>
      <c r="AH15" s="92"/>
      <c r="AI15" s="92"/>
      <c r="AJ15" s="22"/>
    </row>
    <row r="16" spans="2:37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6"/>
    </row>
    <row r="17" spans="2:36" s="34" customFormat="1" ht="9.9" customHeight="1" thickBot="1">
      <c r="C17" s="35"/>
      <c r="D17" s="35"/>
      <c r="E17" s="35"/>
      <c r="F17" s="35"/>
      <c r="G17" s="35"/>
    </row>
    <row r="18" spans="2:36" s="34" customFormat="1" ht="25.2" customHeight="1" thickBot="1">
      <c r="B18" s="95"/>
      <c r="C18" s="333" t="s">
        <v>7</v>
      </c>
      <c r="D18" s="333"/>
      <c r="E18" s="334"/>
      <c r="F18" s="335" t="s">
        <v>170</v>
      </c>
      <c r="G18" s="337" t="s">
        <v>173</v>
      </c>
      <c r="H18" s="358" t="s">
        <v>212</v>
      </c>
      <c r="I18" s="359"/>
      <c r="J18" s="359"/>
      <c r="K18" s="359"/>
      <c r="L18" s="359"/>
      <c r="M18" s="359"/>
      <c r="N18" s="359"/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  <c r="AA18" s="359"/>
      <c r="AB18" s="359"/>
      <c r="AC18" s="359"/>
      <c r="AD18" s="359"/>
      <c r="AE18" s="359"/>
      <c r="AF18" s="359"/>
      <c r="AG18" s="359"/>
      <c r="AH18" s="359"/>
      <c r="AI18" s="360"/>
      <c r="AJ18" s="327" t="s">
        <v>11</v>
      </c>
    </row>
    <row r="19" spans="2:36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36"/>
      <c r="G19" s="338"/>
      <c r="H19" s="178" t="s">
        <v>214</v>
      </c>
      <c r="I19" s="108" t="s">
        <v>15</v>
      </c>
      <c r="J19" s="108" t="s">
        <v>16</v>
      </c>
      <c r="K19" s="109" t="s">
        <v>210</v>
      </c>
      <c r="L19" s="107" t="s">
        <v>15</v>
      </c>
      <c r="M19" s="108" t="s">
        <v>16</v>
      </c>
      <c r="N19" s="109" t="s">
        <v>219</v>
      </c>
      <c r="O19" s="107" t="s">
        <v>15</v>
      </c>
      <c r="P19" s="108" t="s">
        <v>16</v>
      </c>
      <c r="Q19" s="110" t="s">
        <v>220</v>
      </c>
      <c r="R19" s="107" t="s">
        <v>15</v>
      </c>
      <c r="S19" s="108" t="s">
        <v>16</v>
      </c>
      <c r="T19" s="110" t="s">
        <v>221</v>
      </c>
      <c r="U19" s="107" t="s">
        <v>222</v>
      </c>
      <c r="V19" s="108" t="s">
        <v>223</v>
      </c>
      <c r="W19" s="108" t="s">
        <v>15</v>
      </c>
      <c r="X19" s="108" t="s">
        <v>16</v>
      </c>
      <c r="Y19" s="109" t="s">
        <v>224</v>
      </c>
      <c r="Z19" s="109" t="s">
        <v>225</v>
      </c>
      <c r="AA19" s="107" t="s">
        <v>226</v>
      </c>
      <c r="AB19" s="108" t="s">
        <v>227</v>
      </c>
      <c r="AC19" s="108" t="s">
        <v>15</v>
      </c>
      <c r="AD19" s="108" t="s">
        <v>16</v>
      </c>
      <c r="AE19" s="109" t="s">
        <v>228</v>
      </c>
      <c r="AF19" s="107" t="s">
        <v>15</v>
      </c>
      <c r="AG19" s="108" t="s">
        <v>16</v>
      </c>
      <c r="AH19" s="108" t="s">
        <v>229</v>
      </c>
      <c r="AI19" s="109" t="s">
        <v>230</v>
      </c>
      <c r="AJ19" s="328"/>
    </row>
    <row r="20" spans="2:36" s="103" customFormat="1" ht="12" customHeight="1">
      <c r="B20" s="329">
        <v>1</v>
      </c>
      <c r="C20" s="330"/>
      <c r="D20" s="330"/>
      <c r="E20" s="330"/>
      <c r="F20" s="330"/>
      <c r="G20" s="331"/>
      <c r="H20" s="355">
        <v>2</v>
      </c>
      <c r="I20" s="356"/>
      <c r="J20" s="356"/>
      <c r="K20" s="357"/>
      <c r="L20" s="329">
        <v>3</v>
      </c>
      <c r="M20" s="330"/>
      <c r="N20" s="331"/>
      <c r="O20" s="329">
        <v>4</v>
      </c>
      <c r="P20" s="330"/>
      <c r="Q20" s="331"/>
      <c r="R20" s="329">
        <v>5</v>
      </c>
      <c r="S20" s="330"/>
      <c r="T20" s="331"/>
      <c r="U20" s="355">
        <v>6</v>
      </c>
      <c r="V20" s="356"/>
      <c r="W20" s="356"/>
      <c r="X20" s="356"/>
      <c r="Y20" s="357"/>
      <c r="Z20" s="186">
        <v>7</v>
      </c>
      <c r="AA20" s="355">
        <v>8</v>
      </c>
      <c r="AB20" s="356"/>
      <c r="AC20" s="356"/>
      <c r="AD20" s="356"/>
      <c r="AE20" s="357"/>
      <c r="AF20" s="355">
        <v>9</v>
      </c>
      <c r="AG20" s="356"/>
      <c r="AH20" s="356"/>
      <c r="AI20" s="357"/>
      <c r="AJ20" s="104">
        <v>12</v>
      </c>
    </row>
    <row r="21" spans="2:36" s="35" customFormat="1" ht="17.100000000000001" customHeight="1">
      <c r="B21" s="105"/>
      <c r="C21" s="54">
        <f>'3. Rekap Back Up Non Aspal '!C21</f>
        <v>1000</v>
      </c>
      <c r="D21" s="96">
        <f>'3. Rekap Back Up Non Aspal '!D21</f>
        <v>1100</v>
      </c>
      <c r="E21" s="111">
        <f>'3. Rekap Back Up Non Aspal '!E21</f>
        <v>3</v>
      </c>
      <c r="F21" s="112">
        <f>(100/((D21-C21)*E21))*((K28*0.05)+(N28*0.05)+(Q28*0.05)+(T28)+(Y28)+(AE28*1.5)+(AH28*1))</f>
        <v>100</v>
      </c>
      <c r="G21" s="113" t="str">
        <f>IF(F21&lt;=25,"RB",IF(F21&lt;=75,"RB",IF(F21&lt;=100,"RB","RB")))</f>
        <v>RB</v>
      </c>
      <c r="H21" s="183">
        <v>1</v>
      </c>
      <c r="I21" s="98">
        <v>0</v>
      </c>
      <c r="J21" s="98">
        <v>0</v>
      </c>
      <c r="K21" s="101">
        <f t="shared" ref="K21:K27" si="0">I21*J21</f>
        <v>0</v>
      </c>
      <c r="L21" s="98">
        <v>0</v>
      </c>
      <c r="M21" s="98">
        <v>0</v>
      </c>
      <c r="N21" s="101">
        <f t="shared" ref="N21:N27" si="1">L21*M21</f>
        <v>0</v>
      </c>
      <c r="O21" s="98">
        <v>0</v>
      </c>
      <c r="P21" s="98">
        <v>0</v>
      </c>
      <c r="Q21" s="101">
        <f t="shared" ref="Q21:Q27" si="2">O21*P21</f>
        <v>0</v>
      </c>
      <c r="R21" s="98">
        <v>100</v>
      </c>
      <c r="S21" s="98">
        <v>3</v>
      </c>
      <c r="T21" s="101">
        <f t="shared" ref="T21:T27" si="3">R21*S21</f>
        <v>300</v>
      </c>
      <c r="U21" s="183">
        <v>1</v>
      </c>
      <c r="V21" s="99">
        <v>1</v>
      </c>
      <c r="W21" s="98">
        <v>0</v>
      </c>
      <c r="X21" s="98">
        <v>0</v>
      </c>
      <c r="Y21" s="101">
        <f>W21*X21</f>
        <v>0</v>
      </c>
      <c r="Z21" s="101">
        <v>1</v>
      </c>
      <c r="AA21" s="183">
        <v>0</v>
      </c>
      <c r="AB21" s="99">
        <v>1</v>
      </c>
      <c r="AC21" s="98">
        <v>0</v>
      </c>
      <c r="AD21" s="98">
        <v>0</v>
      </c>
      <c r="AE21" s="101">
        <f t="shared" ref="AE21:AE27" si="4">AC21*AD21</f>
        <v>0</v>
      </c>
      <c r="AF21" s="98">
        <v>0</v>
      </c>
      <c r="AG21" s="98">
        <v>3</v>
      </c>
      <c r="AH21" s="99">
        <f t="shared" ref="AH21:AH27" si="5">AF21*AG21</f>
        <v>0</v>
      </c>
      <c r="AI21" s="101">
        <v>1</v>
      </c>
      <c r="AJ21" s="106"/>
    </row>
    <row r="22" spans="2:36" s="35" customFormat="1" ht="17.100000000000001" customHeight="1">
      <c r="B22" s="105"/>
      <c r="C22" s="54"/>
      <c r="D22" s="96"/>
      <c r="E22" s="111"/>
      <c r="F22" s="112"/>
      <c r="G22" s="113"/>
      <c r="H22" s="183">
        <v>1</v>
      </c>
      <c r="I22" s="98">
        <v>0</v>
      </c>
      <c r="J22" s="98">
        <v>0</v>
      </c>
      <c r="K22" s="101">
        <f t="shared" si="0"/>
        <v>0</v>
      </c>
      <c r="L22" s="100">
        <v>0</v>
      </c>
      <c r="M22" s="98">
        <v>0</v>
      </c>
      <c r="N22" s="101">
        <f t="shared" si="1"/>
        <v>0</v>
      </c>
      <c r="O22" s="100">
        <v>0</v>
      </c>
      <c r="P22" s="98">
        <v>0</v>
      </c>
      <c r="Q22" s="101">
        <f t="shared" si="2"/>
        <v>0</v>
      </c>
      <c r="R22" s="100">
        <v>0</v>
      </c>
      <c r="S22" s="98">
        <v>0</v>
      </c>
      <c r="T22" s="101">
        <f t="shared" si="3"/>
        <v>0</v>
      </c>
      <c r="U22" s="183">
        <v>1</v>
      </c>
      <c r="V22" s="99">
        <v>1</v>
      </c>
      <c r="W22" s="98">
        <v>0</v>
      </c>
      <c r="X22" s="98">
        <v>0</v>
      </c>
      <c r="Y22" s="101">
        <f t="shared" ref="Y22:Y27" si="6">W22*X22</f>
        <v>0</v>
      </c>
      <c r="Z22" s="101">
        <v>1</v>
      </c>
      <c r="AA22" s="183">
        <v>0</v>
      </c>
      <c r="AB22" s="99">
        <v>1</v>
      </c>
      <c r="AC22" s="98">
        <v>0</v>
      </c>
      <c r="AD22" s="98">
        <v>0</v>
      </c>
      <c r="AE22" s="101">
        <f t="shared" si="4"/>
        <v>0</v>
      </c>
      <c r="AF22" s="100">
        <v>0</v>
      </c>
      <c r="AG22" s="98">
        <v>0</v>
      </c>
      <c r="AH22" s="99">
        <f t="shared" si="5"/>
        <v>0</v>
      </c>
      <c r="AI22" s="101">
        <v>1</v>
      </c>
      <c r="AJ22" s="106"/>
    </row>
    <row r="23" spans="2:36" s="35" customFormat="1" ht="17.100000000000001" customHeight="1">
      <c r="B23" s="105"/>
      <c r="C23" s="54"/>
      <c r="D23" s="96"/>
      <c r="E23" s="111"/>
      <c r="F23" s="112"/>
      <c r="G23" s="113"/>
      <c r="H23" s="183">
        <v>1</v>
      </c>
      <c r="I23" s="98">
        <v>0</v>
      </c>
      <c r="J23" s="98">
        <v>0</v>
      </c>
      <c r="K23" s="101">
        <f t="shared" si="0"/>
        <v>0</v>
      </c>
      <c r="L23" s="100">
        <v>0</v>
      </c>
      <c r="M23" s="98">
        <v>0</v>
      </c>
      <c r="N23" s="101">
        <f t="shared" si="1"/>
        <v>0</v>
      </c>
      <c r="O23" s="100">
        <v>0</v>
      </c>
      <c r="P23" s="98">
        <v>0</v>
      </c>
      <c r="Q23" s="101">
        <f t="shared" si="2"/>
        <v>0</v>
      </c>
      <c r="R23" s="100">
        <v>0</v>
      </c>
      <c r="S23" s="98">
        <v>0</v>
      </c>
      <c r="T23" s="101">
        <f t="shared" si="3"/>
        <v>0</v>
      </c>
      <c r="U23" s="183">
        <v>1</v>
      </c>
      <c r="V23" s="99">
        <v>1</v>
      </c>
      <c r="W23" s="98">
        <v>0</v>
      </c>
      <c r="X23" s="98">
        <v>0</v>
      </c>
      <c r="Y23" s="101">
        <f t="shared" si="6"/>
        <v>0</v>
      </c>
      <c r="Z23" s="101">
        <v>1</v>
      </c>
      <c r="AA23" s="183">
        <v>0</v>
      </c>
      <c r="AB23" s="99">
        <v>1</v>
      </c>
      <c r="AC23" s="98">
        <v>0</v>
      </c>
      <c r="AD23" s="98">
        <v>0</v>
      </c>
      <c r="AE23" s="101">
        <f t="shared" si="4"/>
        <v>0</v>
      </c>
      <c r="AF23" s="100">
        <v>0</v>
      </c>
      <c r="AG23" s="98">
        <v>0</v>
      </c>
      <c r="AH23" s="99">
        <f t="shared" si="5"/>
        <v>0</v>
      </c>
      <c r="AI23" s="101">
        <v>1</v>
      </c>
      <c r="AJ23" s="106"/>
    </row>
    <row r="24" spans="2:36" s="35" customFormat="1" ht="17.100000000000001" customHeight="1">
      <c r="B24" s="105"/>
      <c r="C24" s="54"/>
      <c r="D24" s="96"/>
      <c r="E24" s="111"/>
      <c r="F24" s="112"/>
      <c r="G24" s="113"/>
      <c r="H24" s="183">
        <v>1</v>
      </c>
      <c r="I24" s="98">
        <v>0</v>
      </c>
      <c r="J24" s="98">
        <v>0</v>
      </c>
      <c r="K24" s="101">
        <f t="shared" si="0"/>
        <v>0</v>
      </c>
      <c r="L24" s="100">
        <v>0</v>
      </c>
      <c r="M24" s="98">
        <v>0</v>
      </c>
      <c r="N24" s="101">
        <f t="shared" si="1"/>
        <v>0</v>
      </c>
      <c r="O24" s="100">
        <v>0</v>
      </c>
      <c r="P24" s="98">
        <v>0</v>
      </c>
      <c r="Q24" s="101">
        <f t="shared" si="2"/>
        <v>0</v>
      </c>
      <c r="R24" s="100">
        <v>0</v>
      </c>
      <c r="S24" s="98">
        <v>0</v>
      </c>
      <c r="T24" s="101">
        <f t="shared" si="3"/>
        <v>0</v>
      </c>
      <c r="U24" s="183">
        <v>1</v>
      </c>
      <c r="V24" s="99">
        <v>1</v>
      </c>
      <c r="W24" s="98">
        <v>0</v>
      </c>
      <c r="X24" s="98">
        <v>0</v>
      </c>
      <c r="Y24" s="101">
        <f t="shared" si="6"/>
        <v>0</v>
      </c>
      <c r="Z24" s="101">
        <v>1</v>
      </c>
      <c r="AA24" s="183">
        <v>0</v>
      </c>
      <c r="AB24" s="99">
        <v>1</v>
      </c>
      <c r="AC24" s="98">
        <v>0</v>
      </c>
      <c r="AD24" s="98">
        <v>0</v>
      </c>
      <c r="AE24" s="101">
        <f t="shared" si="4"/>
        <v>0</v>
      </c>
      <c r="AF24" s="100">
        <v>0</v>
      </c>
      <c r="AG24" s="98">
        <v>0</v>
      </c>
      <c r="AH24" s="99">
        <f t="shared" si="5"/>
        <v>0</v>
      </c>
      <c r="AI24" s="101">
        <v>1</v>
      </c>
      <c r="AJ24" s="106"/>
    </row>
    <row r="25" spans="2:36" s="35" customFormat="1" ht="17.100000000000001" customHeight="1">
      <c r="B25" s="105"/>
      <c r="C25" s="54"/>
      <c r="D25" s="96"/>
      <c r="E25" s="111"/>
      <c r="F25" s="112"/>
      <c r="G25" s="113"/>
      <c r="H25" s="183">
        <v>1</v>
      </c>
      <c r="I25" s="98">
        <v>0</v>
      </c>
      <c r="J25" s="98">
        <v>0</v>
      </c>
      <c r="K25" s="101">
        <f t="shared" si="0"/>
        <v>0</v>
      </c>
      <c r="L25" s="100">
        <v>0</v>
      </c>
      <c r="M25" s="98">
        <v>0</v>
      </c>
      <c r="N25" s="101">
        <f t="shared" si="1"/>
        <v>0</v>
      </c>
      <c r="O25" s="100">
        <v>0</v>
      </c>
      <c r="P25" s="98">
        <v>0</v>
      </c>
      <c r="Q25" s="101">
        <f t="shared" si="2"/>
        <v>0</v>
      </c>
      <c r="R25" s="100">
        <v>0</v>
      </c>
      <c r="S25" s="98">
        <v>0</v>
      </c>
      <c r="T25" s="101">
        <f t="shared" si="3"/>
        <v>0</v>
      </c>
      <c r="U25" s="183">
        <v>1</v>
      </c>
      <c r="V25" s="99">
        <v>1</v>
      </c>
      <c r="W25" s="98">
        <v>0</v>
      </c>
      <c r="X25" s="98">
        <v>0</v>
      </c>
      <c r="Y25" s="101">
        <f t="shared" si="6"/>
        <v>0</v>
      </c>
      <c r="Z25" s="101">
        <v>1</v>
      </c>
      <c r="AA25" s="183">
        <v>0</v>
      </c>
      <c r="AB25" s="99">
        <v>1</v>
      </c>
      <c r="AC25" s="98">
        <v>0</v>
      </c>
      <c r="AD25" s="98">
        <v>0</v>
      </c>
      <c r="AE25" s="101">
        <f t="shared" si="4"/>
        <v>0</v>
      </c>
      <c r="AF25" s="100">
        <v>0</v>
      </c>
      <c r="AG25" s="98">
        <v>0</v>
      </c>
      <c r="AH25" s="99">
        <f t="shared" si="5"/>
        <v>0</v>
      </c>
      <c r="AI25" s="101">
        <v>1</v>
      </c>
      <c r="AJ25" s="106"/>
    </row>
    <row r="26" spans="2:36" s="35" customFormat="1" ht="17.100000000000001" customHeight="1">
      <c r="B26" s="105"/>
      <c r="C26" s="54"/>
      <c r="D26" s="96"/>
      <c r="E26" s="111"/>
      <c r="F26" s="112"/>
      <c r="G26" s="113"/>
      <c r="H26" s="183">
        <v>1</v>
      </c>
      <c r="I26" s="98">
        <v>0</v>
      </c>
      <c r="J26" s="98">
        <v>0</v>
      </c>
      <c r="K26" s="101">
        <f t="shared" si="0"/>
        <v>0</v>
      </c>
      <c r="L26" s="100">
        <v>0</v>
      </c>
      <c r="M26" s="98">
        <v>0</v>
      </c>
      <c r="N26" s="101">
        <f t="shared" si="1"/>
        <v>0</v>
      </c>
      <c r="O26" s="100">
        <v>0</v>
      </c>
      <c r="P26" s="98">
        <v>0</v>
      </c>
      <c r="Q26" s="101">
        <f t="shared" si="2"/>
        <v>0</v>
      </c>
      <c r="R26" s="100">
        <v>0</v>
      </c>
      <c r="S26" s="98">
        <v>0</v>
      </c>
      <c r="T26" s="101">
        <f t="shared" si="3"/>
        <v>0</v>
      </c>
      <c r="U26" s="183">
        <v>1</v>
      </c>
      <c r="V26" s="99">
        <v>1</v>
      </c>
      <c r="W26" s="98">
        <v>0</v>
      </c>
      <c r="X26" s="98">
        <v>0</v>
      </c>
      <c r="Y26" s="101">
        <f t="shared" si="6"/>
        <v>0</v>
      </c>
      <c r="Z26" s="101">
        <v>1</v>
      </c>
      <c r="AA26" s="183">
        <v>0</v>
      </c>
      <c r="AB26" s="99">
        <v>1</v>
      </c>
      <c r="AC26" s="98">
        <v>0</v>
      </c>
      <c r="AD26" s="98">
        <v>0</v>
      </c>
      <c r="AE26" s="101">
        <f t="shared" si="4"/>
        <v>0</v>
      </c>
      <c r="AF26" s="100">
        <v>0</v>
      </c>
      <c r="AG26" s="98">
        <v>0</v>
      </c>
      <c r="AH26" s="99">
        <f t="shared" si="5"/>
        <v>0</v>
      </c>
      <c r="AI26" s="101">
        <v>1</v>
      </c>
      <c r="AJ26" s="106"/>
    </row>
    <row r="27" spans="2:36" s="35" customFormat="1" ht="17.100000000000001" customHeight="1">
      <c r="B27" s="105"/>
      <c r="C27" s="54"/>
      <c r="D27" s="96"/>
      <c r="E27" s="111"/>
      <c r="F27" s="112"/>
      <c r="G27" s="113"/>
      <c r="H27" s="183">
        <v>1</v>
      </c>
      <c r="I27" s="98">
        <v>0</v>
      </c>
      <c r="J27" s="98">
        <v>0</v>
      </c>
      <c r="K27" s="101">
        <f t="shared" si="0"/>
        <v>0</v>
      </c>
      <c r="L27" s="100">
        <v>0</v>
      </c>
      <c r="M27" s="98">
        <v>0</v>
      </c>
      <c r="N27" s="101">
        <f t="shared" si="1"/>
        <v>0</v>
      </c>
      <c r="O27" s="100">
        <v>0</v>
      </c>
      <c r="P27" s="98">
        <v>0</v>
      </c>
      <c r="Q27" s="101">
        <f t="shared" si="2"/>
        <v>0</v>
      </c>
      <c r="R27" s="100">
        <v>0</v>
      </c>
      <c r="S27" s="98">
        <v>0</v>
      </c>
      <c r="T27" s="101">
        <f t="shared" si="3"/>
        <v>0</v>
      </c>
      <c r="U27" s="183">
        <v>1</v>
      </c>
      <c r="V27" s="99">
        <v>1</v>
      </c>
      <c r="W27" s="98">
        <v>0</v>
      </c>
      <c r="X27" s="98">
        <v>0</v>
      </c>
      <c r="Y27" s="101">
        <f t="shared" si="6"/>
        <v>0</v>
      </c>
      <c r="Z27" s="101">
        <v>1</v>
      </c>
      <c r="AA27" s="183">
        <v>0</v>
      </c>
      <c r="AB27" s="99">
        <v>1</v>
      </c>
      <c r="AC27" s="98">
        <v>0</v>
      </c>
      <c r="AD27" s="98">
        <v>0</v>
      </c>
      <c r="AE27" s="101">
        <f t="shared" si="4"/>
        <v>0</v>
      </c>
      <c r="AF27" s="100">
        <v>0</v>
      </c>
      <c r="AG27" s="98">
        <v>0</v>
      </c>
      <c r="AH27" s="99">
        <f t="shared" si="5"/>
        <v>0</v>
      </c>
      <c r="AI27" s="101">
        <v>1</v>
      </c>
      <c r="AJ27" s="106"/>
    </row>
    <row r="28" spans="2:36" s="126" customFormat="1" ht="17.100000000000001" customHeight="1">
      <c r="B28" s="118"/>
      <c r="C28" s="119"/>
      <c r="D28" s="120"/>
      <c r="E28" s="121"/>
      <c r="F28" s="122"/>
      <c r="G28" s="123"/>
      <c r="H28" s="183">
        <v>1</v>
      </c>
      <c r="I28" s="363" t="s">
        <v>201</v>
      </c>
      <c r="J28" s="363"/>
      <c r="K28" s="124">
        <f>SUM(K21:K27)</f>
        <v>0</v>
      </c>
      <c r="L28" s="341" t="s">
        <v>201</v>
      </c>
      <c r="M28" s="342"/>
      <c r="N28" s="124">
        <f>SUM(N21:N27)</f>
        <v>0</v>
      </c>
      <c r="O28" s="341" t="s">
        <v>201</v>
      </c>
      <c r="P28" s="342"/>
      <c r="Q28" s="124">
        <f>SUM(Q21:Q27)</f>
        <v>0</v>
      </c>
      <c r="R28" s="341" t="s">
        <v>201</v>
      </c>
      <c r="S28" s="342"/>
      <c r="T28" s="124">
        <f>SUM(T21:T27)</f>
        <v>300</v>
      </c>
      <c r="U28" s="183">
        <v>1</v>
      </c>
      <c r="V28" s="99">
        <v>1</v>
      </c>
      <c r="W28" s="363" t="s">
        <v>201</v>
      </c>
      <c r="X28" s="363"/>
      <c r="Y28" s="124">
        <f>SUM(Y21:Y27)</f>
        <v>0</v>
      </c>
      <c r="Z28" s="101">
        <v>1</v>
      </c>
      <c r="AA28" s="183">
        <v>0</v>
      </c>
      <c r="AB28" s="99">
        <v>1</v>
      </c>
      <c r="AC28" s="363" t="s">
        <v>201</v>
      </c>
      <c r="AD28" s="363"/>
      <c r="AE28" s="124">
        <f>SUM(AE21:AE27)</f>
        <v>0</v>
      </c>
      <c r="AF28" s="364" t="s">
        <v>201</v>
      </c>
      <c r="AG28" s="363"/>
      <c r="AH28" s="143">
        <f>SUM(AH21:AH27)</f>
        <v>0</v>
      </c>
      <c r="AI28" s="101">
        <v>1</v>
      </c>
      <c r="AJ28" s="125"/>
    </row>
    <row r="29" spans="2:36" s="35" customFormat="1" ht="17.100000000000001" customHeight="1">
      <c r="B29" s="105"/>
      <c r="C29" s="54">
        <f>'3. Rekap Back Up Non Aspal '!C22</f>
        <v>1100</v>
      </c>
      <c r="D29" s="96">
        <f>'3. Rekap Back Up Non Aspal '!D22</f>
        <v>1200</v>
      </c>
      <c r="E29" s="111">
        <f>'3. Rekap Back Up Non Aspal '!E22</f>
        <v>3</v>
      </c>
      <c r="F29" s="112">
        <f>(100/((D29-C29)*E29))*((K36*0.05)+(N36*0.05)+(Q36*0.05)+(T36)+(Y36)+(AE36*1.5)+(AH36*1))</f>
        <v>100</v>
      </c>
      <c r="G29" s="113" t="str">
        <f>IF(F29&lt;=25,"RB",IF(F29&lt;=75,"RB",IF(F29&lt;=100,"RB","RB")))</f>
        <v>RB</v>
      </c>
      <c r="H29" s="183">
        <v>1</v>
      </c>
      <c r="I29" s="98">
        <v>0</v>
      </c>
      <c r="J29" s="98">
        <v>0</v>
      </c>
      <c r="K29" s="101">
        <f t="shared" ref="K29:K35" si="7">I29*J29</f>
        <v>0</v>
      </c>
      <c r="L29" s="98">
        <v>0</v>
      </c>
      <c r="M29" s="98">
        <v>0</v>
      </c>
      <c r="N29" s="101">
        <f t="shared" ref="N29:N35" si="8">L29*M29</f>
        <v>0</v>
      </c>
      <c r="O29" s="98">
        <v>0</v>
      </c>
      <c r="P29" s="98">
        <v>0</v>
      </c>
      <c r="Q29" s="101">
        <f t="shared" ref="Q29:Q35" si="9">O29*P29</f>
        <v>0</v>
      </c>
      <c r="R29" s="98">
        <v>100</v>
      </c>
      <c r="S29" s="98">
        <v>3</v>
      </c>
      <c r="T29" s="101">
        <f t="shared" ref="T29:T35" si="10">R29*S29</f>
        <v>300</v>
      </c>
      <c r="U29" s="183">
        <v>1</v>
      </c>
      <c r="V29" s="99">
        <v>1</v>
      </c>
      <c r="W29" s="98">
        <v>0</v>
      </c>
      <c r="X29" s="98">
        <v>0</v>
      </c>
      <c r="Y29" s="101">
        <f>W29*X29</f>
        <v>0</v>
      </c>
      <c r="Z29" s="101">
        <v>1</v>
      </c>
      <c r="AA29" s="183">
        <v>0</v>
      </c>
      <c r="AB29" s="99">
        <v>1</v>
      </c>
      <c r="AC29" s="98">
        <v>0</v>
      </c>
      <c r="AD29" s="98">
        <v>0</v>
      </c>
      <c r="AE29" s="101">
        <f t="shared" ref="AE29:AE35" si="11">AC29*AD29</f>
        <v>0</v>
      </c>
      <c r="AF29" s="98">
        <v>0</v>
      </c>
      <c r="AG29" s="98">
        <v>3</v>
      </c>
      <c r="AH29" s="99">
        <f t="shared" ref="AH29:AH35" si="12">AF29*AG29</f>
        <v>0</v>
      </c>
      <c r="AI29" s="101">
        <v>1</v>
      </c>
      <c r="AJ29" s="106"/>
    </row>
    <row r="30" spans="2:36" s="35" customFormat="1" ht="17.100000000000001" customHeight="1">
      <c r="B30" s="105"/>
      <c r="C30" s="54"/>
      <c r="D30" s="96"/>
      <c r="E30" s="111"/>
      <c r="F30" s="112"/>
      <c r="G30" s="113"/>
      <c r="H30" s="183">
        <v>1</v>
      </c>
      <c r="I30" s="98">
        <v>0</v>
      </c>
      <c r="J30" s="98">
        <v>0</v>
      </c>
      <c r="K30" s="101">
        <f t="shared" si="7"/>
        <v>0</v>
      </c>
      <c r="L30" s="100">
        <v>0</v>
      </c>
      <c r="M30" s="98">
        <v>0</v>
      </c>
      <c r="N30" s="101">
        <f t="shared" si="8"/>
        <v>0</v>
      </c>
      <c r="O30" s="100">
        <v>0</v>
      </c>
      <c r="P30" s="98">
        <v>0</v>
      </c>
      <c r="Q30" s="101">
        <f t="shared" si="9"/>
        <v>0</v>
      </c>
      <c r="R30" s="100">
        <v>0</v>
      </c>
      <c r="S30" s="98">
        <v>0</v>
      </c>
      <c r="T30" s="101">
        <f t="shared" si="10"/>
        <v>0</v>
      </c>
      <c r="U30" s="183">
        <v>1</v>
      </c>
      <c r="V30" s="99">
        <v>1</v>
      </c>
      <c r="W30" s="98">
        <v>0</v>
      </c>
      <c r="X30" s="98">
        <v>0</v>
      </c>
      <c r="Y30" s="101">
        <f t="shared" ref="Y30:Y35" si="13">W30*X30</f>
        <v>0</v>
      </c>
      <c r="Z30" s="101">
        <v>1</v>
      </c>
      <c r="AA30" s="183">
        <v>0</v>
      </c>
      <c r="AB30" s="99">
        <v>1</v>
      </c>
      <c r="AC30" s="98">
        <v>0</v>
      </c>
      <c r="AD30" s="98">
        <v>0</v>
      </c>
      <c r="AE30" s="101">
        <f t="shared" si="11"/>
        <v>0</v>
      </c>
      <c r="AF30" s="100">
        <v>0</v>
      </c>
      <c r="AG30" s="98">
        <v>0</v>
      </c>
      <c r="AH30" s="99">
        <f t="shared" si="12"/>
        <v>0</v>
      </c>
      <c r="AI30" s="101">
        <v>1</v>
      </c>
      <c r="AJ30" s="106"/>
    </row>
    <row r="31" spans="2:36" s="35" customFormat="1" ht="17.100000000000001" customHeight="1">
      <c r="B31" s="105"/>
      <c r="C31" s="54"/>
      <c r="D31" s="96"/>
      <c r="E31" s="111"/>
      <c r="F31" s="112"/>
      <c r="G31" s="113"/>
      <c r="H31" s="183">
        <v>1</v>
      </c>
      <c r="I31" s="98">
        <v>0</v>
      </c>
      <c r="J31" s="98">
        <v>0</v>
      </c>
      <c r="K31" s="101">
        <f t="shared" si="7"/>
        <v>0</v>
      </c>
      <c r="L31" s="100">
        <v>0</v>
      </c>
      <c r="M31" s="98">
        <v>0</v>
      </c>
      <c r="N31" s="101">
        <f t="shared" si="8"/>
        <v>0</v>
      </c>
      <c r="O31" s="100">
        <v>0</v>
      </c>
      <c r="P31" s="98">
        <v>0</v>
      </c>
      <c r="Q31" s="101">
        <f t="shared" si="9"/>
        <v>0</v>
      </c>
      <c r="R31" s="100">
        <v>0</v>
      </c>
      <c r="S31" s="98">
        <v>0</v>
      </c>
      <c r="T31" s="101">
        <f t="shared" si="10"/>
        <v>0</v>
      </c>
      <c r="U31" s="183">
        <v>1</v>
      </c>
      <c r="V31" s="99">
        <v>1</v>
      </c>
      <c r="W31" s="98">
        <v>0</v>
      </c>
      <c r="X31" s="98">
        <v>0</v>
      </c>
      <c r="Y31" s="101">
        <f t="shared" si="13"/>
        <v>0</v>
      </c>
      <c r="Z31" s="101">
        <v>1</v>
      </c>
      <c r="AA31" s="183">
        <v>0</v>
      </c>
      <c r="AB31" s="99">
        <v>1</v>
      </c>
      <c r="AC31" s="98">
        <v>0</v>
      </c>
      <c r="AD31" s="98">
        <v>0</v>
      </c>
      <c r="AE31" s="101">
        <f t="shared" si="11"/>
        <v>0</v>
      </c>
      <c r="AF31" s="100">
        <v>0</v>
      </c>
      <c r="AG31" s="98">
        <v>0</v>
      </c>
      <c r="AH31" s="99">
        <f t="shared" si="12"/>
        <v>0</v>
      </c>
      <c r="AI31" s="101">
        <v>1</v>
      </c>
      <c r="AJ31" s="106"/>
    </row>
    <row r="32" spans="2:36" s="35" customFormat="1" ht="17.100000000000001" customHeight="1">
      <c r="B32" s="105"/>
      <c r="C32" s="54"/>
      <c r="D32" s="96"/>
      <c r="E32" s="111"/>
      <c r="F32" s="112"/>
      <c r="G32" s="113"/>
      <c r="H32" s="183">
        <v>1</v>
      </c>
      <c r="I32" s="98">
        <v>0</v>
      </c>
      <c r="J32" s="98">
        <v>0</v>
      </c>
      <c r="K32" s="101">
        <f t="shared" si="7"/>
        <v>0</v>
      </c>
      <c r="L32" s="100">
        <v>0</v>
      </c>
      <c r="M32" s="98">
        <v>0</v>
      </c>
      <c r="N32" s="101">
        <f t="shared" si="8"/>
        <v>0</v>
      </c>
      <c r="O32" s="100">
        <v>0</v>
      </c>
      <c r="P32" s="98">
        <v>0</v>
      </c>
      <c r="Q32" s="101">
        <f t="shared" si="9"/>
        <v>0</v>
      </c>
      <c r="R32" s="100">
        <v>0</v>
      </c>
      <c r="S32" s="98">
        <v>0</v>
      </c>
      <c r="T32" s="101">
        <f t="shared" si="10"/>
        <v>0</v>
      </c>
      <c r="U32" s="183">
        <v>1</v>
      </c>
      <c r="V32" s="99">
        <v>1</v>
      </c>
      <c r="W32" s="98">
        <v>0</v>
      </c>
      <c r="X32" s="98">
        <v>0</v>
      </c>
      <c r="Y32" s="101">
        <f t="shared" si="13"/>
        <v>0</v>
      </c>
      <c r="Z32" s="101">
        <v>1</v>
      </c>
      <c r="AA32" s="183">
        <v>0</v>
      </c>
      <c r="AB32" s="99">
        <v>1</v>
      </c>
      <c r="AC32" s="98">
        <v>0</v>
      </c>
      <c r="AD32" s="98">
        <v>0</v>
      </c>
      <c r="AE32" s="101">
        <f t="shared" si="11"/>
        <v>0</v>
      </c>
      <c r="AF32" s="100">
        <v>0</v>
      </c>
      <c r="AG32" s="98">
        <v>0</v>
      </c>
      <c r="AH32" s="99">
        <f t="shared" si="12"/>
        <v>0</v>
      </c>
      <c r="AI32" s="101">
        <v>1</v>
      </c>
      <c r="AJ32" s="106"/>
    </row>
    <row r="33" spans="2:36" s="35" customFormat="1" ht="17.100000000000001" customHeight="1">
      <c r="B33" s="105"/>
      <c r="C33" s="54"/>
      <c r="D33" s="96"/>
      <c r="E33" s="111"/>
      <c r="F33" s="112"/>
      <c r="G33" s="113"/>
      <c r="H33" s="183">
        <v>1</v>
      </c>
      <c r="I33" s="98">
        <v>0</v>
      </c>
      <c r="J33" s="98">
        <v>0</v>
      </c>
      <c r="K33" s="101">
        <f t="shared" si="7"/>
        <v>0</v>
      </c>
      <c r="L33" s="100">
        <v>0</v>
      </c>
      <c r="M33" s="98">
        <v>0</v>
      </c>
      <c r="N33" s="101">
        <f t="shared" si="8"/>
        <v>0</v>
      </c>
      <c r="O33" s="100">
        <v>0</v>
      </c>
      <c r="P33" s="98">
        <v>0</v>
      </c>
      <c r="Q33" s="101">
        <f t="shared" si="9"/>
        <v>0</v>
      </c>
      <c r="R33" s="100">
        <v>0</v>
      </c>
      <c r="S33" s="98">
        <v>0</v>
      </c>
      <c r="T33" s="101">
        <f t="shared" si="10"/>
        <v>0</v>
      </c>
      <c r="U33" s="183">
        <v>1</v>
      </c>
      <c r="V33" s="99">
        <v>1</v>
      </c>
      <c r="W33" s="98">
        <v>0</v>
      </c>
      <c r="X33" s="98">
        <v>0</v>
      </c>
      <c r="Y33" s="101">
        <f t="shared" si="13"/>
        <v>0</v>
      </c>
      <c r="Z33" s="101">
        <v>1</v>
      </c>
      <c r="AA33" s="183">
        <v>0</v>
      </c>
      <c r="AB33" s="99">
        <v>1</v>
      </c>
      <c r="AC33" s="98">
        <v>0</v>
      </c>
      <c r="AD33" s="98">
        <v>0</v>
      </c>
      <c r="AE33" s="101">
        <f t="shared" si="11"/>
        <v>0</v>
      </c>
      <c r="AF33" s="100">
        <v>0</v>
      </c>
      <c r="AG33" s="98">
        <v>0</v>
      </c>
      <c r="AH33" s="99">
        <f t="shared" si="12"/>
        <v>0</v>
      </c>
      <c r="AI33" s="101">
        <v>1</v>
      </c>
      <c r="AJ33" s="106"/>
    </row>
    <row r="34" spans="2:36" s="35" customFormat="1" ht="17.100000000000001" customHeight="1">
      <c r="B34" s="105"/>
      <c r="C34" s="54"/>
      <c r="D34" s="96"/>
      <c r="E34" s="111"/>
      <c r="F34" s="112"/>
      <c r="G34" s="113"/>
      <c r="H34" s="183">
        <v>1</v>
      </c>
      <c r="I34" s="98">
        <v>0</v>
      </c>
      <c r="J34" s="98">
        <v>0</v>
      </c>
      <c r="K34" s="101">
        <f t="shared" si="7"/>
        <v>0</v>
      </c>
      <c r="L34" s="100">
        <v>0</v>
      </c>
      <c r="M34" s="98">
        <v>0</v>
      </c>
      <c r="N34" s="101">
        <f t="shared" si="8"/>
        <v>0</v>
      </c>
      <c r="O34" s="100">
        <v>0</v>
      </c>
      <c r="P34" s="98">
        <v>0</v>
      </c>
      <c r="Q34" s="101">
        <f t="shared" si="9"/>
        <v>0</v>
      </c>
      <c r="R34" s="100">
        <v>0</v>
      </c>
      <c r="S34" s="98">
        <v>0</v>
      </c>
      <c r="T34" s="101">
        <f t="shared" si="10"/>
        <v>0</v>
      </c>
      <c r="U34" s="183">
        <v>1</v>
      </c>
      <c r="V34" s="99">
        <v>1</v>
      </c>
      <c r="W34" s="98">
        <v>0</v>
      </c>
      <c r="X34" s="98">
        <v>0</v>
      </c>
      <c r="Y34" s="101">
        <f t="shared" si="13"/>
        <v>0</v>
      </c>
      <c r="Z34" s="101">
        <v>1</v>
      </c>
      <c r="AA34" s="183">
        <v>0</v>
      </c>
      <c r="AB34" s="99">
        <v>1</v>
      </c>
      <c r="AC34" s="98">
        <v>0</v>
      </c>
      <c r="AD34" s="98">
        <v>0</v>
      </c>
      <c r="AE34" s="101">
        <f t="shared" si="11"/>
        <v>0</v>
      </c>
      <c r="AF34" s="100">
        <v>0</v>
      </c>
      <c r="AG34" s="98">
        <v>0</v>
      </c>
      <c r="AH34" s="99">
        <f t="shared" si="12"/>
        <v>0</v>
      </c>
      <c r="AI34" s="101">
        <v>1</v>
      </c>
      <c r="AJ34" s="106"/>
    </row>
    <row r="35" spans="2:36" s="35" customFormat="1" ht="17.100000000000001" customHeight="1">
      <c r="B35" s="105"/>
      <c r="C35" s="54"/>
      <c r="D35" s="96"/>
      <c r="E35" s="111"/>
      <c r="F35" s="112"/>
      <c r="G35" s="113"/>
      <c r="H35" s="183">
        <v>1</v>
      </c>
      <c r="I35" s="98">
        <v>0</v>
      </c>
      <c r="J35" s="98">
        <v>0</v>
      </c>
      <c r="K35" s="101">
        <f t="shared" si="7"/>
        <v>0</v>
      </c>
      <c r="L35" s="100">
        <v>0</v>
      </c>
      <c r="M35" s="98">
        <v>0</v>
      </c>
      <c r="N35" s="101">
        <f t="shared" si="8"/>
        <v>0</v>
      </c>
      <c r="O35" s="100">
        <v>0</v>
      </c>
      <c r="P35" s="98">
        <v>0</v>
      </c>
      <c r="Q35" s="101">
        <f t="shared" si="9"/>
        <v>0</v>
      </c>
      <c r="R35" s="100">
        <v>0</v>
      </c>
      <c r="S35" s="98">
        <v>0</v>
      </c>
      <c r="T35" s="101">
        <f t="shared" si="10"/>
        <v>0</v>
      </c>
      <c r="U35" s="183">
        <v>1</v>
      </c>
      <c r="V35" s="99">
        <v>1</v>
      </c>
      <c r="W35" s="98">
        <v>0</v>
      </c>
      <c r="X35" s="98">
        <v>0</v>
      </c>
      <c r="Y35" s="101">
        <f t="shared" si="13"/>
        <v>0</v>
      </c>
      <c r="Z35" s="101">
        <v>1</v>
      </c>
      <c r="AA35" s="183">
        <v>0</v>
      </c>
      <c r="AB35" s="99">
        <v>1</v>
      </c>
      <c r="AC35" s="98">
        <v>0</v>
      </c>
      <c r="AD35" s="98">
        <v>0</v>
      </c>
      <c r="AE35" s="101">
        <f t="shared" si="11"/>
        <v>0</v>
      </c>
      <c r="AF35" s="100">
        <v>0</v>
      </c>
      <c r="AG35" s="98">
        <v>0</v>
      </c>
      <c r="AH35" s="99">
        <f t="shared" si="12"/>
        <v>0</v>
      </c>
      <c r="AI35" s="101">
        <v>1</v>
      </c>
      <c r="AJ35" s="106"/>
    </row>
    <row r="36" spans="2:36" s="126" customFormat="1" ht="17.100000000000001" customHeight="1">
      <c r="B36" s="118"/>
      <c r="C36" s="119"/>
      <c r="D36" s="120"/>
      <c r="E36" s="121"/>
      <c r="F36" s="122"/>
      <c r="G36" s="123"/>
      <c r="H36" s="183">
        <v>1</v>
      </c>
      <c r="I36" s="363" t="s">
        <v>201</v>
      </c>
      <c r="J36" s="363"/>
      <c r="K36" s="124">
        <f>SUM(K29:K35)</f>
        <v>0</v>
      </c>
      <c r="L36" s="341" t="s">
        <v>201</v>
      </c>
      <c r="M36" s="342"/>
      <c r="N36" s="124">
        <f>SUM(N29:N35)</f>
        <v>0</v>
      </c>
      <c r="O36" s="341" t="s">
        <v>201</v>
      </c>
      <c r="P36" s="342"/>
      <c r="Q36" s="124">
        <f>SUM(Q29:Q35)</f>
        <v>0</v>
      </c>
      <c r="R36" s="341" t="s">
        <v>201</v>
      </c>
      <c r="S36" s="342"/>
      <c r="T36" s="124">
        <f>SUM(T29:T35)</f>
        <v>300</v>
      </c>
      <c r="U36" s="183">
        <v>1</v>
      </c>
      <c r="V36" s="99">
        <v>1</v>
      </c>
      <c r="W36" s="363" t="s">
        <v>201</v>
      </c>
      <c r="X36" s="363"/>
      <c r="Y36" s="124">
        <f>SUM(Y29:Y35)</f>
        <v>0</v>
      </c>
      <c r="Z36" s="101">
        <v>1</v>
      </c>
      <c r="AA36" s="183">
        <v>0</v>
      </c>
      <c r="AB36" s="99">
        <v>1</v>
      </c>
      <c r="AC36" s="363" t="s">
        <v>201</v>
      </c>
      <c r="AD36" s="363"/>
      <c r="AE36" s="124">
        <f>SUM(AE29:AE35)</f>
        <v>0</v>
      </c>
      <c r="AF36" s="364" t="s">
        <v>201</v>
      </c>
      <c r="AG36" s="363"/>
      <c r="AH36" s="143">
        <f>SUM(AH29:AH35)</f>
        <v>0</v>
      </c>
      <c r="AI36" s="101">
        <v>1</v>
      </c>
      <c r="AJ36" s="125"/>
    </row>
    <row r="37" spans="2:36" s="35" customFormat="1" ht="17.100000000000001" customHeight="1">
      <c r="B37" s="105"/>
      <c r="C37" s="54">
        <f>'3. Rekap Back Up Non Aspal '!C23</f>
        <v>1200</v>
      </c>
      <c r="D37" s="96">
        <f>'3. Rekap Back Up Non Aspal '!D23</f>
        <v>1300</v>
      </c>
      <c r="E37" s="111">
        <f>'3. Rekap Back Up Non Aspal '!E23</f>
        <v>3</v>
      </c>
      <c r="F37" s="112">
        <f>(100/((D37-C37)*E37))*((K44*0.05)+(N44*0.05)+(Q44*0.05)+(T44)+(Y44)+(AE44*1.5)+(AH44*1))</f>
        <v>100</v>
      </c>
      <c r="G37" s="113" t="str">
        <f>IF(F37&lt;=25,"RB",IF(F37&lt;=75,"RB",IF(F37&lt;=100,"RB","RB")))</f>
        <v>RB</v>
      </c>
      <c r="H37" s="183">
        <v>1</v>
      </c>
      <c r="I37" s="98">
        <v>0</v>
      </c>
      <c r="J37" s="98">
        <v>0</v>
      </c>
      <c r="K37" s="101">
        <f t="shared" ref="K37:K43" si="14">I37*J37</f>
        <v>0</v>
      </c>
      <c r="L37" s="98">
        <v>0</v>
      </c>
      <c r="M37" s="98">
        <v>0</v>
      </c>
      <c r="N37" s="101">
        <f t="shared" ref="N37:N43" si="15">L37*M37</f>
        <v>0</v>
      </c>
      <c r="O37" s="98">
        <v>0</v>
      </c>
      <c r="P37" s="98">
        <v>0</v>
      </c>
      <c r="Q37" s="101">
        <f t="shared" ref="Q37:Q43" si="16">O37*P37</f>
        <v>0</v>
      </c>
      <c r="R37" s="98">
        <v>100</v>
      </c>
      <c r="S37" s="98">
        <v>3</v>
      </c>
      <c r="T37" s="101">
        <f t="shared" ref="T37:T43" si="17">R37*S37</f>
        <v>300</v>
      </c>
      <c r="U37" s="183">
        <v>1</v>
      </c>
      <c r="V37" s="99">
        <v>1</v>
      </c>
      <c r="W37" s="98">
        <v>0</v>
      </c>
      <c r="X37" s="98">
        <v>0</v>
      </c>
      <c r="Y37" s="101">
        <f>W37*X37</f>
        <v>0</v>
      </c>
      <c r="Z37" s="101">
        <v>1</v>
      </c>
      <c r="AA37" s="183">
        <v>0</v>
      </c>
      <c r="AB37" s="99">
        <v>1</v>
      </c>
      <c r="AC37" s="98">
        <v>0</v>
      </c>
      <c r="AD37" s="98">
        <v>0</v>
      </c>
      <c r="AE37" s="101">
        <f t="shared" ref="AE37:AE43" si="18">AC37*AD37</f>
        <v>0</v>
      </c>
      <c r="AF37" s="98">
        <v>0</v>
      </c>
      <c r="AG37" s="98">
        <v>3</v>
      </c>
      <c r="AH37" s="99">
        <f t="shared" ref="AH37:AH43" si="19">AF37*AG37</f>
        <v>0</v>
      </c>
      <c r="AI37" s="101">
        <v>1</v>
      </c>
      <c r="AJ37" s="106"/>
    </row>
    <row r="38" spans="2:36" s="35" customFormat="1" ht="17.100000000000001" customHeight="1">
      <c r="B38" s="105"/>
      <c r="C38" s="54"/>
      <c r="D38" s="96"/>
      <c r="E38" s="111"/>
      <c r="F38" s="112"/>
      <c r="G38" s="113"/>
      <c r="H38" s="183">
        <v>1</v>
      </c>
      <c r="I38" s="98">
        <v>0</v>
      </c>
      <c r="J38" s="98">
        <v>0</v>
      </c>
      <c r="K38" s="101">
        <f t="shared" si="14"/>
        <v>0</v>
      </c>
      <c r="L38" s="100">
        <v>0</v>
      </c>
      <c r="M38" s="98">
        <v>0</v>
      </c>
      <c r="N38" s="101">
        <f t="shared" si="15"/>
        <v>0</v>
      </c>
      <c r="O38" s="100">
        <v>0</v>
      </c>
      <c r="P38" s="98">
        <v>0</v>
      </c>
      <c r="Q38" s="101">
        <f t="shared" si="16"/>
        <v>0</v>
      </c>
      <c r="R38" s="100">
        <v>0</v>
      </c>
      <c r="S38" s="98">
        <v>0</v>
      </c>
      <c r="T38" s="101">
        <f t="shared" si="17"/>
        <v>0</v>
      </c>
      <c r="U38" s="183">
        <v>1</v>
      </c>
      <c r="V38" s="99">
        <v>1</v>
      </c>
      <c r="W38" s="98">
        <v>0</v>
      </c>
      <c r="X38" s="98">
        <v>0</v>
      </c>
      <c r="Y38" s="101">
        <f t="shared" ref="Y38:Y43" si="20">W38*X38</f>
        <v>0</v>
      </c>
      <c r="Z38" s="101">
        <v>1</v>
      </c>
      <c r="AA38" s="183">
        <v>0</v>
      </c>
      <c r="AB38" s="99">
        <v>1</v>
      </c>
      <c r="AC38" s="98">
        <v>0</v>
      </c>
      <c r="AD38" s="98">
        <v>0</v>
      </c>
      <c r="AE38" s="101">
        <f t="shared" si="18"/>
        <v>0</v>
      </c>
      <c r="AF38" s="100">
        <v>0</v>
      </c>
      <c r="AG38" s="98">
        <v>0</v>
      </c>
      <c r="AH38" s="99">
        <f t="shared" si="19"/>
        <v>0</v>
      </c>
      <c r="AI38" s="101">
        <v>1</v>
      </c>
      <c r="AJ38" s="106"/>
    </row>
    <row r="39" spans="2:36" s="35" customFormat="1" ht="17.100000000000001" customHeight="1">
      <c r="B39" s="105"/>
      <c r="C39" s="54"/>
      <c r="D39" s="96"/>
      <c r="E39" s="111"/>
      <c r="F39" s="112"/>
      <c r="G39" s="113"/>
      <c r="H39" s="183">
        <v>1</v>
      </c>
      <c r="I39" s="98">
        <v>0</v>
      </c>
      <c r="J39" s="98">
        <v>0</v>
      </c>
      <c r="K39" s="101">
        <f t="shared" si="14"/>
        <v>0</v>
      </c>
      <c r="L39" s="100">
        <v>0</v>
      </c>
      <c r="M39" s="98">
        <v>0</v>
      </c>
      <c r="N39" s="101">
        <f t="shared" si="15"/>
        <v>0</v>
      </c>
      <c r="O39" s="100">
        <v>0</v>
      </c>
      <c r="P39" s="98">
        <v>0</v>
      </c>
      <c r="Q39" s="101">
        <f t="shared" si="16"/>
        <v>0</v>
      </c>
      <c r="R39" s="100">
        <v>0</v>
      </c>
      <c r="S39" s="98">
        <v>0</v>
      </c>
      <c r="T39" s="101">
        <f t="shared" si="17"/>
        <v>0</v>
      </c>
      <c r="U39" s="183">
        <v>1</v>
      </c>
      <c r="V39" s="99">
        <v>1</v>
      </c>
      <c r="W39" s="98">
        <v>0</v>
      </c>
      <c r="X39" s="98">
        <v>0</v>
      </c>
      <c r="Y39" s="101">
        <f t="shared" si="20"/>
        <v>0</v>
      </c>
      <c r="Z39" s="101">
        <v>1</v>
      </c>
      <c r="AA39" s="183">
        <v>0</v>
      </c>
      <c r="AB39" s="99">
        <v>1</v>
      </c>
      <c r="AC39" s="98">
        <v>0</v>
      </c>
      <c r="AD39" s="98">
        <v>0</v>
      </c>
      <c r="AE39" s="101">
        <f t="shared" si="18"/>
        <v>0</v>
      </c>
      <c r="AF39" s="100">
        <v>0</v>
      </c>
      <c r="AG39" s="98">
        <v>0</v>
      </c>
      <c r="AH39" s="99">
        <f t="shared" si="19"/>
        <v>0</v>
      </c>
      <c r="AI39" s="101">
        <v>1</v>
      </c>
      <c r="AJ39" s="106"/>
    </row>
    <row r="40" spans="2:36" s="35" customFormat="1" ht="17.100000000000001" customHeight="1">
      <c r="B40" s="105"/>
      <c r="C40" s="54"/>
      <c r="D40" s="96"/>
      <c r="E40" s="111"/>
      <c r="F40" s="112"/>
      <c r="G40" s="113"/>
      <c r="H40" s="183">
        <v>1</v>
      </c>
      <c r="I40" s="98">
        <v>0</v>
      </c>
      <c r="J40" s="98">
        <v>0</v>
      </c>
      <c r="K40" s="101">
        <f t="shared" si="14"/>
        <v>0</v>
      </c>
      <c r="L40" s="100">
        <v>0</v>
      </c>
      <c r="M40" s="98">
        <v>0</v>
      </c>
      <c r="N40" s="101">
        <f t="shared" si="15"/>
        <v>0</v>
      </c>
      <c r="O40" s="100">
        <v>0</v>
      </c>
      <c r="P40" s="98">
        <v>0</v>
      </c>
      <c r="Q40" s="101">
        <f t="shared" si="16"/>
        <v>0</v>
      </c>
      <c r="R40" s="100">
        <v>0</v>
      </c>
      <c r="S40" s="98">
        <v>0</v>
      </c>
      <c r="T40" s="101">
        <f t="shared" si="17"/>
        <v>0</v>
      </c>
      <c r="U40" s="183">
        <v>1</v>
      </c>
      <c r="V40" s="99">
        <v>1</v>
      </c>
      <c r="W40" s="98">
        <v>0</v>
      </c>
      <c r="X40" s="98">
        <v>0</v>
      </c>
      <c r="Y40" s="101">
        <f t="shared" si="20"/>
        <v>0</v>
      </c>
      <c r="Z40" s="101">
        <v>1</v>
      </c>
      <c r="AA40" s="183">
        <v>0</v>
      </c>
      <c r="AB40" s="99">
        <v>1</v>
      </c>
      <c r="AC40" s="98">
        <v>0</v>
      </c>
      <c r="AD40" s="98">
        <v>0</v>
      </c>
      <c r="AE40" s="101">
        <f t="shared" si="18"/>
        <v>0</v>
      </c>
      <c r="AF40" s="100">
        <v>0</v>
      </c>
      <c r="AG40" s="98">
        <v>0</v>
      </c>
      <c r="AH40" s="99">
        <f t="shared" si="19"/>
        <v>0</v>
      </c>
      <c r="AI40" s="101">
        <v>1</v>
      </c>
      <c r="AJ40" s="106"/>
    </row>
    <row r="41" spans="2:36" s="35" customFormat="1" ht="17.100000000000001" customHeight="1">
      <c r="B41" s="105"/>
      <c r="C41" s="54"/>
      <c r="D41" s="96"/>
      <c r="E41" s="111"/>
      <c r="F41" s="112"/>
      <c r="G41" s="113"/>
      <c r="H41" s="183">
        <v>1</v>
      </c>
      <c r="I41" s="98">
        <v>0</v>
      </c>
      <c r="J41" s="98">
        <v>0</v>
      </c>
      <c r="K41" s="101">
        <f t="shared" si="14"/>
        <v>0</v>
      </c>
      <c r="L41" s="100">
        <v>0</v>
      </c>
      <c r="M41" s="98">
        <v>0</v>
      </c>
      <c r="N41" s="101">
        <f t="shared" si="15"/>
        <v>0</v>
      </c>
      <c r="O41" s="100">
        <v>0</v>
      </c>
      <c r="P41" s="98">
        <v>0</v>
      </c>
      <c r="Q41" s="101">
        <f t="shared" si="16"/>
        <v>0</v>
      </c>
      <c r="R41" s="100">
        <v>0</v>
      </c>
      <c r="S41" s="98">
        <v>0</v>
      </c>
      <c r="T41" s="101">
        <f t="shared" si="17"/>
        <v>0</v>
      </c>
      <c r="U41" s="183">
        <v>1</v>
      </c>
      <c r="V41" s="99">
        <v>1</v>
      </c>
      <c r="W41" s="98">
        <v>0</v>
      </c>
      <c r="X41" s="98">
        <v>0</v>
      </c>
      <c r="Y41" s="101">
        <f t="shared" si="20"/>
        <v>0</v>
      </c>
      <c r="Z41" s="101">
        <v>1</v>
      </c>
      <c r="AA41" s="183">
        <v>0</v>
      </c>
      <c r="AB41" s="99">
        <v>1</v>
      </c>
      <c r="AC41" s="98">
        <v>0</v>
      </c>
      <c r="AD41" s="98">
        <v>0</v>
      </c>
      <c r="AE41" s="101">
        <f t="shared" si="18"/>
        <v>0</v>
      </c>
      <c r="AF41" s="100">
        <v>0</v>
      </c>
      <c r="AG41" s="98">
        <v>0</v>
      </c>
      <c r="AH41" s="99">
        <f t="shared" si="19"/>
        <v>0</v>
      </c>
      <c r="AI41" s="101">
        <v>1</v>
      </c>
      <c r="AJ41" s="106"/>
    </row>
    <row r="42" spans="2:36" s="35" customFormat="1" ht="17.100000000000001" customHeight="1">
      <c r="B42" s="105"/>
      <c r="C42" s="54"/>
      <c r="D42" s="96"/>
      <c r="E42" s="111"/>
      <c r="F42" s="112"/>
      <c r="G42" s="113"/>
      <c r="H42" s="183">
        <v>1</v>
      </c>
      <c r="I42" s="98">
        <v>0</v>
      </c>
      <c r="J42" s="98">
        <v>0</v>
      </c>
      <c r="K42" s="101">
        <f t="shared" si="14"/>
        <v>0</v>
      </c>
      <c r="L42" s="100">
        <v>0</v>
      </c>
      <c r="M42" s="98">
        <v>0</v>
      </c>
      <c r="N42" s="101">
        <f t="shared" si="15"/>
        <v>0</v>
      </c>
      <c r="O42" s="100">
        <v>0</v>
      </c>
      <c r="P42" s="98">
        <v>0</v>
      </c>
      <c r="Q42" s="101">
        <f t="shared" si="16"/>
        <v>0</v>
      </c>
      <c r="R42" s="100">
        <v>0</v>
      </c>
      <c r="S42" s="98">
        <v>0</v>
      </c>
      <c r="T42" s="101">
        <f t="shared" si="17"/>
        <v>0</v>
      </c>
      <c r="U42" s="183">
        <v>1</v>
      </c>
      <c r="V42" s="99">
        <v>1</v>
      </c>
      <c r="W42" s="98">
        <v>0</v>
      </c>
      <c r="X42" s="98">
        <v>0</v>
      </c>
      <c r="Y42" s="101">
        <f t="shared" si="20"/>
        <v>0</v>
      </c>
      <c r="Z42" s="101">
        <v>1</v>
      </c>
      <c r="AA42" s="183">
        <v>0</v>
      </c>
      <c r="AB42" s="99">
        <v>1</v>
      </c>
      <c r="AC42" s="98">
        <v>0</v>
      </c>
      <c r="AD42" s="98">
        <v>0</v>
      </c>
      <c r="AE42" s="101">
        <f t="shared" si="18"/>
        <v>0</v>
      </c>
      <c r="AF42" s="100">
        <v>0</v>
      </c>
      <c r="AG42" s="98">
        <v>0</v>
      </c>
      <c r="AH42" s="99">
        <f t="shared" si="19"/>
        <v>0</v>
      </c>
      <c r="AI42" s="101">
        <v>1</v>
      </c>
      <c r="AJ42" s="106"/>
    </row>
    <row r="43" spans="2:36" s="35" customFormat="1" ht="17.100000000000001" customHeight="1">
      <c r="B43" s="105"/>
      <c r="C43" s="54"/>
      <c r="D43" s="96"/>
      <c r="E43" s="111"/>
      <c r="F43" s="112"/>
      <c r="G43" s="113"/>
      <c r="H43" s="183">
        <v>1</v>
      </c>
      <c r="I43" s="98">
        <v>0</v>
      </c>
      <c r="J43" s="98">
        <v>0</v>
      </c>
      <c r="K43" s="101">
        <f t="shared" si="14"/>
        <v>0</v>
      </c>
      <c r="L43" s="100">
        <v>0</v>
      </c>
      <c r="M43" s="98">
        <v>0</v>
      </c>
      <c r="N43" s="101">
        <f t="shared" si="15"/>
        <v>0</v>
      </c>
      <c r="O43" s="100">
        <v>0</v>
      </c>
      <c r="P43" s="98">
        <v>0</v>
      </c>
      <c r="Q43" s="101">
        <f t="shared" si="16"/>
        <v>0</v>
      </c>
      <c r="R43" s="100">
        <v>0</v>
      </c>
      <c r="S43" s="98">
        <v>0</v>
      </c>
      <c r="T43" s="101">
        <f t="shared" si="17"/>
        <v>0</v>
      </c>
      <c r="U43" s="183">
        <v>1</v>
      </c>
      <c r="V43" s="99">
        <v>1</v>
      </c>
      <c r="W43" s="98">
        <v>0</v>
      </c>
      <c r="X43" s="98">
        <v>0</v>
      </c>
      <c r="Y43" s="101">
        <f t="shared" si="20"/>
        <v>0</v>
      </c>
      <c r="Z43" s="101">
        <v>1</v>
      </c>
      <c r="AA43" s="183">
        <v>0</v>
      </c>
      <c r="AB43" s="99">
        <v>1</v>
      </c>
      <c r="AC43" s="98">
        <v>0</v>
      </c>
      <c r="AD43" s="98">
        <v>0</v>
      </c>
      <c r="AE43" s="101">
        <f t="shared" si="18"/>
        <v>0</v>
      </c>
      <c r="AF43" s="100">
        <v>0</v>
      </c>
      <c r="AG43" s="98">
        <v>0</v>
      </c>
      <c r="AH43" s="99">
        <f t="shared" si="19"/>
        <v>0</v>
      </c>
      <c r="AI43" s="101">
        <v>1</v>
      </c>
      <c r="AJ43" s="106"/>
    </row>
    <row r="44" spans="2:36" s="126" customFormat="1" ht="17.100000000000001" customHeight="1">
      <c r="B44" s="118"/>
      <c r="C44" s="119"/>
      <c r="D44" s="120"/>
      <c r="E44" s="121"/>
      <c r="F44" s="122"/>
      <c r="G44" s="123"/>
      <c r="H44" s="183">
        <v>1</v>
      </c>
      <c r="I44" s="363" t="s">
        <v>201</v>
      </c>
      <c r="J44" s="363"/>
      <c r="K44" s="124">
        <f>SUM(K37:K43)</f>
        <v>0</v>
      </c>
      <c r="L44" s="341" t="s">
        <v>201</v>
      </c>
      <c r="M44" s="342"/>
      <c r="N44" s="124">
        <f>SUM(N37:N43)</f>
        <v>0</v>
      </c>
      <c r="O44" s="341" t="s">
        <v>201</v>
      </c>
      <c r="P44" s="342"/>
      <c r="Q44" s="124">
        <f>SUM(Q37:Q43)</f>
        <v>0</v>
      </c>
      <c r="R44" s="341" t="s">
        <v>201</v>
      </c>
      <c r="S44" s="342"/>
      <c r="T44" s="124">
        <f>SUM(T37:T43)</f>
        <v>300</v>
      </c>
      <c r="U44" s="183">
        <v>1</v>
      </c>
      <c r="V44" s="99">
        <v>1</v>
      </c>
      <c r="W44" s="363" t="s">
        <v>201</v>
      </c>
      <c r="X44" s="363"/>
      <c r="Y44" s="124">
        <f>SUM(Y37:Y43)</f>
        <v>0</v>
      </c>
      <c r="Z44" s="101">
        <v>1</v>
      </c>
      <c r="AA44" s="183">
        <v>0</v>
      </c>
      <c r="AB44" s="99">
        <v>1</v>
      </c>
      <c r="AC44" s="363" t="s">
        <v>201</v>
      </c>
      <c r="AD44" s="363"/>
      <c r="AE44" s="124">
        <f>SUM(AE37:AE43)</f>
        <v>0</v>
      </c>
      <c r="AF44" s="364" t="s">
        <v>201</v>
      </c>
      <c r="AG44" s="363"/>
      <c r="AH44" s="143">
        <f>SUM(AH37:AH43)</f>
        <v>0</v>
      </c>
      <c r="AI44" s="101">
        <v>1</v>
      </c>
      <c r="AJ44" s="125"/>
    </row>
    <row r="45" spans="2:36" s="35" customFormat="1" ht="17.100000000000001" customHeight="1">
      <c r="B45" s="105"/>
      <c r="C45" s="54">
        <f>'3. Rekap Back Up Non Aspal '!C24</f>
        <v>1300</v>
      </c>
      <c r="D45" s="96">
        <f>'3. Rekap Back Up Non Aspal '!D24</f>
        <v>1400</v>
      </c>
      <c r="E45" s="111">
        <f>'3. Rekap Back Up Non Aspal '!E24</f>
        <v>3</v>
      </c>
      <c r="F45" s="112">
        <f>(100/((D45-C45)*E45))*((K52*0.05)+(N52*0.05)+(Q52*0.05)+(T52)+(Y52)+(AE52*1.5)+(AH52*1))</f>
        <v>100</v>
      </c>
      <c r="G45" s="113" t="str">
        <f>IF(F45&lt;=25,"RB",IF(F45&lt;=75,"RB",IF(F45&lt;=100,"RB","RB")))</f>
        <v>RB</v>
      </c>
      <c r="H45" s="183">
        <v>1</v>
      </c>
      <c r="I45" s="98">
        <v>0</v>
      </c>
      <c r="J45" s="98">
        <v>0</v>
      </c>
      <c r="K45" s="101">
        <f t="shared" ref="K45" si="21">I45*J45</f>
        <v>0</v>
      </c>
      <c r="L45" s="98">
        <v>0</v>
      </c>
      <c r="M45" s="98">
        <v>0</v>
      </c>
      <c r="N45" s="101">
        <f t="shared" ref="N45" si="22">L45*M45</f>
        <v>0</v>
      </c>
      <c r="O45" s="98">
        <v>0</v>
      </c>
      <c r="P45" s="98">
        <v>0</v>
      </c>
      <c r="Q45" s="101">
        <f t="shared" ref="Q45" si="23">O45*P45</f>
        <v>0</v>
      </c>
      <c r="R45" s="98">
        <v>100</v>
      </c>
      <c r="S45" s="98">
        <v>3</v>
      </c>
      <c r="T45" s="101">
        <f t="shared" ref="T45" si="24">R45*S45</f>
        <v>300</v>
      </c>
      <c r="U45" s="183">
        <v>1</v>
      </c>
      <c r="V45" s="99">
        <v>1</v>
      </c>
      <c r="W45" s="98">
        <v>0</v>
      </c>
      <c r="X45" s="98">
        <v>0</v>
      </c>
      <c r="Y45" s="101">
        <f>W45*X45</f>
        <v>0</v>
      </c>
      <c r="Z45" s="101">
        <v>1</v>
      </c>
      <c r="AA45" s="183">
        <v>0</v>
      </c>
      <c r="AB45" s="99">
        <v>1</v>
      </c>
      <c r="AC45" s="98">
        <v>0</v>
      </c>
      <c r="AD45" s="98">
        <v>0</v>
      </c>
      <c r="AE45" s="101">
        <f t="shared" ref="AE45" si="25">AC45*AD45</f>
        <v>0</v>
      </c>
      <c r="AF45" s="98">
        <v>0</v>
      </c>
      <c r="AG45" s="98">
        <v>3</v>
      </c>
      <c r="AH45" s="99">
        <f t="shared" ref="AH45:AH51" si="26">AF45*AG45</f>
        <v>0</v>
      </c>
      <c r="AI45" s="101">
        <v>1</v>
      </c>
      <c r="AJ45" s="106"/>
    </row>
    <row r="46" spans="2:36" s="35" customFormat="1" ht="17.100000000000001" customHeight="1">
      <c r="B46" s="105"/>
      <c r="C46" s="54"/>
      <c r="D46" s="96"/>
      <c r="E46" s="111"/>
      <c r="F46" s="112"/>
      <c r="G46" s="113"/>
      <c r="H46" s="183">
        <v>1</v>
      </c>
      <c r="I46" s="98">
        <v>0</v>
      </c>
      <c r="J46" s="98">
        <v>0</v>
      </c>
      <c r="K46" s="101">
        <f t="shared" ref="K46:K51" si="27">I46*J46</f>
        <v>0</v>
      </c>
      <c r="L46" s="100">
        <v>0</v>
      </c>
      <c r="M46" s="98">
        <v>0</v>
      </c>
      <c r="N46" s="101">
        <f t="shared" ref="N46:N51" si="28">L46*M46</f>
        <v>0</v>
      </c>
      <c r="O46" s="100">
        <v>0</v>
      </c>
      <c r="P46" s="98">
        <v>0</v>
      </c>
      <c r="Q46" s="101">
        <f t="shared" ref="Q46:Q51" si="29">O46*P46</f>
        <v>0</v>
      </c>
      <c r="R46" s="100">
        <v>0</v>
      </c>
      <c r="S46" s="98">
        <v>0</v>
      </c>
      <c r="T46" s="101">
        <f t="shared" ref="T46:T51" si="30">R46*S46</f>
        <v>0</v>
      </c>
      <c r="U46" s="183">
        <v>1</v>
      </c>
      <c r="V46" s="99">
        <v>1</v>
      </c>
      <c r="W46" s="98">
        <v>0</v>
      </c>
      <c r="X46" s="98">
        <v>0</v>
      </c>
      <c r="Y46" s="101">
        <f t="shared" ref="Y46:Y51" si="31">W46*X46</f>
        <v>0</v>
      </c>
      <c r="Z46" s="101">
        <v>1</v>
      </c>
      <c r="AA46" s="183">
        <v>0</v>
      </c>
      <c r="AB46" s="99">
        <v>1</v>
      </c>
      <c r="AC46" s="98">
        <v>0</v>
      </c>
      <c r="AD46" s="98">
        <v>0</v>
      </c>
      <c r="AE46" s="101">
        <f t="shared" ref="AE46:AE51" si="32">AC46*AD46</f>
        <v>0</v>
      </c>
      <c r="AF46" s="100">
        <v>0</v>
      </c>
      <c r="AG46" s="98">
        <v>0</v>
      </c>
      <c r="AH46" s="99">
        <f t="shared" si="26"/>
        <v>0</v>
      </c>
      <c r="AI46" s="101">
        <v>1</v>
      </c>
      <c r="AJ46" s="106"/>
    </row>
    <row r="47" spans="2:36" s="35" customFormat="1" ht="17.100000000000001" customHeight="1">
      <c r="B47" s="105"/>
      <c r="C47" s="54"/>
      <c r="D47" s="96"/>
      <c r="E47" s="111"/>
      <c r="F47" s="112"/>
      <c r="G47" s="113"/>
      <c r="H47" s="183">
        <v>1</v>
      </c>
      <c r="I47" s="98">
        <v>0</v>
      </c>
      <c r="J47" s="98">
        <v>0</v>
      </c>
      <c r="K47" s="101">
        <f t="shared" si="27"/>
        <v>0</v>
      </c>
      <c r="L47" s="100">
        <v>0</v>
      </c>
      <c r="M47" s="98">
        <v>0</v>
      </c>
      <c r="N47" s="101">
        <f t="shared" si="28"/>
        <v>0</v>
      </c>
      <c r="O47" s="100">
        <v>0</v>
      </c>
      <c r="P47" s="98">
        <v>0</v>
      </c>
      <c r="Q47" s="101">
        <f t="shared" si="29"/>
        <v>0</v>
      </c>
      <c r="R47" s="100">
        <v>0</v>
      </c>
      <c r="S47" s="98">
        <v>0</v>
      </c>
      <c r="T47" s="101">
        <f t="shared" si="30"/>
        <v>0</v>
      </c>
      <c r="U47" s="183">
        <v>1</v>
      </c>
      <c r="V47" s="99">
        <v>1</v>
      </c>
      <c r="W47" s="98">
        <v>0</v>
      </c>
      <c r="X47" s="98">
        <v>0</v>
      </c>
      <c r="Y47" s="101">
        <f t="shared" si="31"/>
        <v>0</v>
      </c>
      <c r="Z47" s="101">
        <v>1</v>
      </c>
      <c r="AA47" s="183">
        <v>0</v>
      </c>
      <c r="AB47" s="99">
        <v>1</v>
      </c>
      <c r="AC47" s="98">
        <v>0</v>
      </c>
      <c r="AD47" s="98">
        <v>0</v>
      </c>
      <c r="AE47" s="101">
        <f t="shared" si="32"/>
        <v>0</v>
      </c>
      <c r="AF47" s="100">
        <v>0</v>
      </c>
      <c r="AG47" s="98">
        <v>0</v>
      </c>
      <c r="AH47" s="99">
        <f t="shared" si="26"/>
        <v>0</v>
      </c>
      <c r="AI47" s="101">
        <v>1</v>
      </c>
      <c r="AJ47" s="106"/>
    </row>
    <row r="48" spans="2:36" s="35" customFormat="1" ht="17.100000000000001" customHeight="1">
      <c r="B48" s="105"/>
      <c r="C48" s="54"/>
      <c r="D48" s="96"/>
      <c r="E48" s="111"/>
      <c r="F48" s="112"/>
      <c r="G48" s="113"/>
      <c r="H48" s="183">
        <v>1</v>
      </c>
      <c r="I48" s="98">
        <v>0</v>
      </c>
      <c r="J48" s="98">
        <v>0</v>
      </c>
      <c r="K48" s="101">
        <f t="shared" si="27"/>
        <v>0</v>
      </c>
      <c r="L48" s="100">
        <v>0</v>
      </c>
      <c r="M48" s="98">
        <v>0</v>
      </c>
      <c r="N48" s="101">
        <f t="shared" si="28"/>
        <v>0</v>
      </c>
      <c r="O48" s="100">
        <v>0</v>
      </c>
      <c r="P48" s="98">
        <v>0</v>
      </c>
      <c r="Q48" s="101">
        <f t="shared" si="29"/>
        <v>0</v>
      </c>
      <c r="R48" s="100">
        <v>0</v>
      </c>
      <c r="S48" s="98">
        <v>0</v>
      </c>
      <c r="T48" s="101">
        <f t="shared" si="30"/>
        <v>0</v>
      </c>
      <c r="U48" s="183">
        <v>1</v>
      </c>
      <c r="V48" s="99">
        <v>1</v>
      </c>
      <c r="W48" s="98">
        <v>0</v>
      </c>
      <c r="X48" s="98">
        <v>0</v>
      </c>
      <c r="Y48" s="101">
        <f t="shared" si="31"/>
        <v>0</v>
      </c>
      <c r="Z48" s="101">
        <v>1</v>
      </c>
      <c r="AA48" s="183">
        <v>0</v>
      </c>
      <c r="AB48" s="99">
        <v>1</v>
      </c>
      <c r="AC48" s="98">
        <v>0</v>
      </c>
      <c r="AD48" s="98">
        <v>0</v>
      </c>
      <c r="AE48" s="101">
        <f t="shared" si="32"/>
        <v>0</v>
      </c>
      <c r="AF48" s="100">
        <v>0</v>
      </c>
      <c r="AG48" s="98">
        <v>0</v>
      </c>
      <c r="AH48" s="99">
        <f t="shared" si="26"/>
        <v>0</v>
      </c>
      <c r="AI48" s="101">
        <v>1</v>
      </c>
      <c r="AJ48" s="106"/>
    </row>
    <row r="49" spans="2:36" s="35" customFormat="1" ht="17.100000000000001" customHeight="1">
      <c r="B49" s="105"/>
      <c r="C49" s="54"/>
      <c r="D49" s="96"/>
      <c r="E49" s="111"/>
      <c r="F49" s="112"/>
      <c r="G49" s="113"/>
      <c r="H49" s="183">
        <v>1</v>
      </c>
      <c r="I49" s="98">
        <v>0</v>
      </c>
      <c r="J49" s="98">
        <v>0</v>
      </c>
      <c r="K49" s="101">
        <f t="shared" si="27"/>
        <v>0</v>
      </c>
      <c r="L49" s="100">
        <v>0</v>
      </c>
      <c r="M49" s="98">
        <v>0</v>
      </c>
      <c r="N49" s="101">
        <f t="shared" si="28"/>
        <v>0</v>
      </c>
      <c r="O49" s="100">
        <v>0</v>
      </c>
      <c r="P49" s="98">
        <v>0</v>
      </c>
      <c r="Q49" s="101">
        <f t="shared" si="29"/>
        <v>0</v>
      </c>
      <c r="R49" s="100">
        <v>0</v>
      </c>
      <c r="S49" s="98">
        <v>0</v>
      </c>
      <c r="T49" s="101">
        <f t="shared" si="30"/>
        <v>0</v>
      </c>
      <c r="U49" s="183">
        <v>1</v>
      </c>
      <c r="V49" s="99">
        <v>1</v>
      </c>
      <c r="W49" s="98">
        <v>0</v>
      </c>
      <c r="X49" s="98">
        <v>0</v>
      </c>
      <c r="Y49" s="101">
        <f t="shared" si="31"/>
        <v>0</v>
      </c>
      <c r="Z49" s="101">
        <v>1</v>
      </c>
      <c r="AA49" s="183">
        <v>0</v>
      </c>
      <c r="AB49" s="99">
        <v>1</v>
      </c>
      <c r="AC49" s="98">
        <v>0</v>
      </c>
      <c r="AD49" s="98">
        <v>0</v>
      </c>
      <c r="AE49" s="101">
        <f t="shared" si="32"/>
        <v>0</v>
      </c>
      <c r="AF49" s="100">
        <v>0</v>
      </c>
      <c r="AG49" s="98">
        <v>0</v>
      </c>
      <c r="AH49" s="99">
        <f t="shared" si="26"/>
        <v>0</v>
      </c>
      <c r="AI49" s="101">
        <v>1</v>
      </c>
      <c r="AJ49" s="106"/>
    </row>
    <row r="50" spans="2:36" s="35" customFormat="1" ht="17.100000000000001" customHeight="1">
      <c r="B50" s="105"/>
      <c r="C50" s="54"/>
      <c r="D50" s="96"/>
      <c r="E50" s="111"/>
      <c r="F50" s="112"/>
      <c r="G50" s="113"/>
      <c r="H50" s="183">
        <v>1</v>
      </c>
      <c r="I50" s="98">
        <v>0</v>
      </c>
      <c r="J50" s="98">
        <v>0</v>
      </c>
      <c r="K50" s="101">
        <f t="shared" si="27"/>
        <v>0</v>
      </c>
      <c r="L50" s="100">
        <v>0</v>
      </c>
      <c r="M50" s="98">
        <v>0</v>
      </c>
      <c r="N50" s="101">
        <f t="shared" si="28"/>
        <v>0</v>
      </c>
      <c r="O50" s="100">
        <v>0</v>
      </c>
      <c r="P50" s="98">
        <v>0</v>
      </c>
      <c r="Q50" s="101">
        <f t="shared" si="29"/>
        <v>0</v>
      </c>
      <c r="R50" s="100">
        <v>0</v>
      </c>
      <c r="S50" s="98">
        <v>0</v>
      </c>
      <c r="T50" s="101">
        <f t="shared" si="30"/>
        <v>0</v>
      </c>
      <c r="U50" s="183">
        <v>1</v>
      </c>
      <c r="V50" s="99">
        <v>1</v>
      </c>
      <c r="W50" s="98">
        <v>0</v>
      </c>
      <c r="X50" s="98">
        <v>0</v>
      </c>
      <c r="Y50" s="101">
        <f t="shared" si="31"/>
        <v>0</v>
      </c>
      <c r="Z50" s="101">
        <v>1</v>
      </c>
      <c r="AA50" s="183">
        <v>0</v>
      </c>
      <c r="AB50" s="99">
        <v>1</v>
      </c>
      <c r="AC50" s="98">
        <v>0</v>
      </c>
      <c r="AD50" s="98">
        <v>0</v>
      </c>
      <c r="AE50" s="101">
        <f t="shared" si="32"/>
        <v>0</v>
      </c>
      <c r="AF50" s="100">
        <v>0</v>
      </c>
      <c r="AG50" s="98">
        <v>0</v>
      </c>
      <c r="AH50" s="99">
        <f t="shared" si="26"/>
        <v>0</v>
      </c>
      <c r="AI50" s="101">
        <v>1</v>
      </c>
      <c r="AJ50" s="106"/>
    </row>
    <row r="51" spans="2:36" s="35" customFormat="1" ht="17.100000000000001" customHeight="1">
      <c r="B51" s="105"/>
      <c r="C51" s="54"/>
      <c r="D51" s="96"/>
      <c r="E51" s="111"/>
      <c r="F51" s="112"/>
      <c r="G51" s="113"/>
      <c r="H51" s="183">
        <v>1</v>
      </c>
      <c r="I51" s="98">
        <v>0</v>
      </c>
      <c r="J51" s="98">
        <v>0</v>
      </c>
      <c r="K51" s="101">
        <f t="shared" si="27"/>
        <v>0</v>
      </c>
      <c r="L51" s="100">
        <v>0</v>
      </c>
      <c r="M51" s="98">
        <v>0</v>
      </c>
      <c r="N51" s="101">
        <f t="shared" si="28"/>
        <v>0</v>
      </c>
      <c r="O51" s="100">
        <v>0</v>
      </c>
      <c r="P51" s="98">
        <v>0</v>
      </c>
      <c r="Q51" s="101">
        <f t="shared" si="29"/>
        <v>0</v>
      </c>
      <c r="R51" s="100">
        <v>0</v>
      </c>
      <c r="S51" s="98">
        <v>0</v>
      </c>
      <c r="T51" s="101">
        <f t="shared" si="30"/>
        <v>0</v>
      </c>
      <c r="U51" s="183">
        <v>1</v>
      </c>
      <c r="V51" s="99">
        <v>1</v>
      </c>
      <c r="W51" s="98">
        <v>0</v>
      </c>
      <c r="X51" s="98">
        <v>0</v>
      </c>
      <c r="Y51" s="101">
        <f t="shared" si="31"/>
        <v>0</v>
      </c>
      <c r="Z51" s="101">
        <v>1</v>
      </c>
      <c r="AA51" s="183">
        <v>0</v>
      </c>
      <c r="AB51" s="99">
        <v>1</v>
      </c>
      <c r="AC51" s="98">
        <v>0</v>
      </c>
      <c r="AD51" s="98">
        <v>0</v>
      </c>
      <c r="AE51" s="101">
        <f t="shared" si="32"/>
        <v>0</v>
      </c>
      <c r="AF51" s="100">
        <v>0</v>
      </c>
      <c r="AG51" s="98">
        <v>0</v>
      </c>
      <c r="AH51" s="99">
        <f t="shared" si="26"/>
        <v>0</v>
      </c>
      <c r="AI51" s="101">
        <v>1</v>
      </c>
      <c r="AJ51" s="106"/>
    </row>
    <row r="52" spans="2:36" s="126" customFormat="1" ht="17.100000000000001" customHeight="1">
      <c r="B52" s="118"/>
      <c r="C52" s="119"/>
      <c r="D52" s="120"/>
      <c r="E52" s="121"/>
      <c r="F52" s="122"/>
      <c r="G52" s="123"/>
      <c r="H52" s="183">
        <v>1</v>
      </c>
      <c r="I52" s="363" t="s">
        <v>201</v>
      </c>
      <c r="J52" s="363"/>
      <c r="K52" s="124">
        <f>SUM(K45:K51)</f>
        <v>0</v>
      </c>
      <c r="L52" s="341" t="s">
        <v>201</v>
      </c>
      <c r="M52" s="342"/>
      <c r="N52" s="124">
        <f>SUM(N45:N51)</f>
        <v>0</v>
      </c>
      <c r="O52" s="341" t="s">
        <v>201</v>
      </c>
      <c r="P52" s="342"/>
      <c r="Q52" s="124">
        <f>SUM(Q45:Q51)</f>
        <v>0</v>
      </c>
      <c r="R52" s="341" t="s">
        <v>201</v>
      </c>
      <c r="S52" s="342"/>
      <c r="T52" s="124">
        <f>SUM(T45:T51)</f>
        <v>300</v>
      </c>
      <c r="U52" s="183">
        <v>1</v>
      </c>
      <c r="V52" s="99">
        <v>1</v>
      </c>
      <c r="W52" s="363" t="s">
        <v>201</v>
      </c>
      <c r="X52" s="363"/>
      <c r="Y52" s="124">
        <f>SUM(Y45:Y51)</f>
        <v>0</v>
      </c>
      <c r="Z52" s="101">
        <v>1</v>
      </c>
      <c r="AA52" s="183">
        <v>0</v>
      </c>
      <c r="AB52" s="99">
        <v>1</v>
      </c>
      <c r="AC52" s="363" t="s">
        <v>201</v>
      </c>
      <c r="AD52" s="363"/>
      <c r="AE52" s="124">
        <f>SUM(AE45:AE51)</f>
        <v>0</v>
      </c>
      <c r="AF52" s="364" t="s">
        <v>201</v>
      </c>
      <c r="AG52" s="363"/>
      <c r="AH52" s="143">
        <f>SUM(AH45:AH51)</f>
        <v>0</v>
      </c>
      <c r="AI52" s="101">
        <v>1</v>
      </c>
      <c r="AJ52" s="125"/>
    </row>
    <row r="53" spans="2:36" s="35" customFormat="1" ht="16.95" customHeight="1">
      <c r="B53" s="105"/>
      <c r="C53" s="54">
        <f>'3. Rekap Back Up Non Aspal '!C25</f>
        <v>1400</v>
      </c>
      <c r="D53" s="96">
        <f>'3. Rekap Back Up Non Aspal '!D25</f>
        <v>1500</v>
      </c>
      <c r="E53" s="111">
        <f>'3. Rekap Back Up Non Aspal '!E25</f>
        <v>3</v>
      </c>
      <c r="F53" s="112">
        <f>(100/((D53-C53)*E53))*((K60*0.05)+(N60*0.05)+(Q60*0.05)+(T60)+(Y60)+(AE60*1.5)+(AH60*1))</f>
        <v>166.66666666666666</v>
      </c>
      <c r="G53" s="113" t="str">
        <f>IF(F53&lt;=25,"RB",IF(F53&lt;=75,"RB",IF(F53&lt;=100,"RB","RB")))</f>
        <v>RB</v>
      </c>
      <c r="H53" s="183">
        <v>1</v>
      </c>
      <c r="I53" s="98">
        <v>0</v>
      </c>
      <c r="J53" s="98">
        <v>0</v>
      </c>
      <c r="K53" s="101">
        <f t="shared" ref="K53" si="33">I53*J53</f>
        <v>0</v>
      </c>
      <c r="L53" s="98">
        <v>0</v>
      </c>
      <c r="M53" s="98">
        <v>0</v>
      </c>
      <c r="N53" s="101">
        <f t="shared" ref="N53" si="34">L53*M53</f>
        <v>0</v>
      </c>
      <c r="O53" s="98">
        <v>0</v>
      </c>
      <c r="P53" s="98">
        <v>0</v>
      </c>
      <c r="Q53" s="101">
        <f t="shared" ref="Q53" si="35">O53*P53</f>
        <v>0</v>
      </c>
      <c r="R53" s="98">
        <v>100</v>
      </c>
      <c r="S53" s="98">
        <v>3</v>
      </c>
      <c r="T53" s="101">
        <f t="shared" ref="T53" si="36">R53*S53</f>
        <v>300</v>
      </c>
      <c r="U53" s="183">
        <v>3</v>
      </c>
      <c r="V53" s="99">
        <v>4</v>
      </c>
      <c r="W53" s="98">
        <v>100</v>
      </c>
      <c r="X53" s="98">
        <v>2</v>
      </c>
      <c r="Y53" s="101">
        <f>W53*X53</f>
        <v>200</v>
      </c>
      <c r="Z53" s="101">
        <v>1</v>
      </c>
      <c r="AA53" s="183">
        <v>0</v>
      </c>
      <c r="AB53" s="99">
        <v>1</v>
      </c>
      <c r="AC53" s="98">
        <v>0</v>
      </c>
      <c r="AD53" s="98">
        <v>0</v>
      </c>
      <c r="AE53" s="101">
        <f t="shared" ref="AE53" si="37">AC53*AD53</f>
        <v>0</v>
      </c>
      <c r="AF53" s="98">
        <v>0</v>
      </c>
      <c r="AG53" s="98">
        <v>3</v>
      </c>
      <c r="AH53" s="99">
        <f t="shared" ref="AH53:AH59" si="38">AF53*AG53</f>
        <v>0</v>
      </c>
      <c r="AI53" s="101">
        <v>1</v>
      </c>
      <c r="AJ53" s="106"/>
    </row>
    <row r="54" spans="2:36" s="35" customFormat="1" ht="17.100000000000001" customHeight="1">
      <c r="B54" s="105"/>
      <c r="C54" s="54"/>
      <c r="D54" s="96"/>
      <c r="E54" s="111"/>
      <c r="F54" s="112"/>
      <c r="G54" s="113"/>
      <c r="H54" s="183">
        <v>1</v>
      </c>
      <c r="I54" s="98">
        <v>0</v>
      </c>
      <c r="J54" s="98">
        <v>0</v>
      </c>
      <c r="K54" s="101">
        <f t="shared" ref="K54:K59" si="39">I54*J54</f>
        <v>0</v>
      </c>
      <c r="L54" s="100">
        <v>0</v>
      </c>
      <c r="M54" s="98">
        <v>0</v>
      </c>
      <c r="N54" s="101">
        <f t="shared" ref="N54:N59" si="40">L54*M54</f>
        <v>0</v>
      </c>
      <c r="O54" s="100">
        <v>0</v>
      </c>
      <c r="P54" s="98">
        <v>0</v>
      </c>
      <c r="Q54" s="101">
        <f t="shared" ref="Q54:Q59" si="41">O54*P54</f>
        <v>0</v>
      </c>
      <c r="R54" s="100">
        <v>0</v>
      </c>
      <c r="S54" s="98">
        <v>0</v>
      </c>
      <c r="T54" s="101">
        <f t="shared" ref="T54:T59" si="42">R54*S54</f>
        <v>0</v>
      </c>
      <c r="U54" s="183">
        <v>1</v>
      </c>
      <c r="V54" s="99">
        <v>1</v>
      </c>
      <c r="W54" s="98">
        <v>0</v>
      </c>
      <c r="X54" s="98">
        <v>0</v>
      </c>
      <c r="Y54" s="101">
        <f t="shared" ref="Y54:Y59" si="43">W54*X54</f>
        <v>0</v>
      </c>
      <c r="Z54" s="101">
        <v>1</v>
      </c>
      <c r="AA54" s="183">
        <v>0</v>
      </c>
      <c r="AB54" s="99">
        <v>1</v>
      </c>
      <c r="AC54" s="98">
        <v>0</v>
      </c>
      <c r="AD54" s="98">
        <v>0</v>
      </c>
      <c r="AE54" s="101">
        <f t="shared" ref="AE54:AE59" si="44">AC54*AD54</f>
        <v>0</v>
      </c>
      <c r="AF54" s="100">
        <v>0</v>
      </c>
      <c r="AG54" s="98">
        <v>0</v>
      </c>
      <c r="AH54" s="99">
        <f t="shared" si="38"/>
        <v>0</v>
      </c>
      <c r="AI54" s="101">
        <v>1</v>
      </c>
      <c r="AJ54" s="106"/>
    </row>
    <row r="55" spans="2:36" s="35" customFormat="1" ht="17.100000000000001" customHeight="1">
      <c r="B55" s="105"/>
      <c r="C55" s="54"/>
      <c r="D55" s="96"/>
      <c r="E55" s="111"/>
      <c r="F55" s="112"/>
      <c r="G55" s="113"/>
      <c r="H55" s="183">
        <v>1</v>
      </c>
      <c r="I55" s="98">
        <v>0</v>
      </c>
      <c r="J55" s="98">
        <v>0</v>
      </c>
      <c r="K55" s="101">
        <f t="shared" si="39"/>
        <v>0</v>
      </c>
      <c r="L55" s="100">
        <v>0</v>
      </c>
      <c r="M55" s="98">
        <v>0</v>
      </c>
      <c r="N55" s="101">
        <f t="shared" si="40"/>
        <v>0</v>
      </c>
      <c r="O55" s="100">
        <v>0</v>
      </c>
      <c r="P55" s="98">
        <v>0</v>
      </c>
      <c r="Q55" s="101">
        <f t="shared" si="41"/>
        <v>0</v>
      </c>
      <c r="R55" s="100">
        <v>0</v>
      </c>
      <c r="S55" s="98">
        <v>0</v>
      </c>
      <c r="T55" s="101">
        <f t="shared" si="42"/>
        <v>0</v>
      </c>
      <c r="U55" s="183">
        <v>1</v>
      </c>
      <c r="V55" s="99">
        <v>1</v>
      </c>
      <c r="W55" s="98">
        <v>0</v>
      </c>
      <c r="X55" s="98">
        <v>0</v>
      </c>
      <c r="Y55" s="101">
        <f t="shared" si="43"/>
        <v>0</v>
      </c>
      <c r="Z55" s="101">
        <v>1</v>
      </c>
      <c r="AA55" s="183">
        <v>0</v>
      </c>
      <c r="AB55" s="99">
        <v>1</v>
      </c>
      <c r="AC55" s="98">
        <v>0</v>
      </c>
      <c r="AD55" s="98">
        <v>0</v>
      </c>
      <c r="AE55" s="101">
        <f t="shared" si="44"/>
        <v>0</v>
      </c>
      <c r="AF55" s="100">
        <v>0</v>
      </c>
      <c r="AG55" s="98">
        <v>0</v>
      </c>
      <c r="AH55" s="99">
        <f t="shared" si="38"/>
        <v>0</v>
      </c>
      <c r="AI55" s="101">
        <v>1</v>
      </c>
      <c r="AJ55" s="106"/>
    </row>
    <row r="56" spans="2:36" s="35" customFormat="1" ht="17.100000000000001" customHeight="1">
      <c r="B56" s="105"/>
      <c r="C56" s="54"/>
      <c r="D56" s="96"/>
      <c r="E56" s="111"/>
      <c r="F56" s="112"/>
      <c r="G56" s="113"/>
      <c r="H56" s="183">
        <v>1</v>
      </c>
      <c r="I56" s="98">
        <v>0</v>
      </c>
      <c r="J56" s="98">
        <v>0</v>
      </c>
      <c r="K56" s="101">
        <f t="shared" si="39"/>
        <v>0</v>
      </c>
      <c r="L56" s="100">
        <v>0</v>
      </c>
      <c r="M56" s="98">
        <v>0</v>
      </c>
      <c r="N56" s="101">
        <f t="shared" si="40"/>
        <v>0</v>
      </c>
      <c r="O56" s="100">
        <v>0</v>
      </c>
      <c r="P56" s="98">
        <v>0</v>
      </c>
      <c r="Q56" s="101">
        <f t="shared" si="41"/>
        <v>0</v>
      </c>
      <c r="R56" s="100">
        <v>0</v>
      </c>
      <c r="S56" s="98">
        <v>0</v>
      </c>
      <c r="T56" s="101">
        <f t="shared" si="42"/>
        <v>0</v>
      </c>
      <c r="U56" s="183">
        <v>1</v>
      </c>
      <c r="V56" s="99">
        <v>1</v>
      </c>
      <c r="W56" s="98">
        <v>0</v>
      </c>
      <c r="X56" s="98">
        <v>0</v>
      </c>
      <c r="Y56" s="101">
        <f t="shared" si="43"/>
        <v>0</v>
      </c>
      <c r="Z56" s="101">
        <v>1</v>
      </c>
      <c r="AA56" s="183">
        <v>0</v>
      </c>
      <c r="AB56" s="99">
        <v>1</v>
      </c>
      <c r="AC56" s="98">
        <v>0</v>
      </c>
      <c r="AD56" s="98">
        <v>0</v>
      </c>
      <c r="AE56" s="101">
        <f t="shared" si="44"/>
        <v>0</v>
      </c>
      <c r="AF56" s="100">
        <v>0</v>
      </c>
      <c r="AG56" s="98">
        <v>0</v>
      </c>
      <c r="AH56" s="99">
        <f t="shared" si="38"/>
        <v>0</v>
      </c>
      <c r="AI56" s="101">
        <v>1</v>
      </c>
      <c r="AJ56" s="106"/>
    </row>
    <row r="57" spans="2:36" s="35" customFormat="1" ht="17.100000000000001" customHeight="1">
      <c r="B57" s="105"/>
      <c r="C57" s="54"/>
      <c r="D57" s="96"/>
      <c r="E57" s="111"/>
      <c r="F57" s="112"/>
      <c r="G57" s="113"/>
      <c r="H57" s="183">
        <v>1</v>
      </c>
      <c r="I57" s="98">
        <v>0</v>
      </c>
      <c r="J57" s="98">
        <v>0</v>
      </c>
      <c r="K57" s="101">
        <f t="shared" si="39"/>
        <v>0</v>
      </c>
      <c r="L57" s="100">
        <v>0</v>
      </c>
      <c r="M57" s="98">
        <v>0</v>
      </c>
      <c r="N57" s="101">
        <f t="shared" si="40"/>
        <v>0</v>
      </c>
      <c r="O57" s="100">
        <v>0</v>
      </c>
      <c r="P57" s="98">
        <v>0</v>
      </c>
      <c r="Q57" s="101">
        <f t="shared" si="41"/>
        <v>0</v>
      </c>
      <c r="R57" s="100">
        <v>0</v>
      </c>
      <c r="S57" s="98">
        <v>0</v>
      </c>
      <c r="T57" s="101">
        <f t="shared" si="42"/>
        <v>0</v>
      </c>
      <c r="U57" s="183">
        <v>1</v>
      </c>
      <c r="V57" s="99">
        <v>1</v>
      </c>
      <c r="W57" s="98">
        <v>0</v>
      </c>
      <c r="X57" s="98">
        <v>0</v>
      </c>
      <c r="Y57" s="101">
        <f t="shared" si="43"/>
        <v>0</v>
      </c>
      <c r="Z57" s="101">
        <v>1</v>
      </c>
      <c r="AA57" s="183">
        <v>0</v>
      </c>
      <c r="AB57" s="99">
        <v>1</v>
      </c>
      <c r="AC57" s="98">
        <v>0</v>
      </c>
      <c r="AD57" s="98">
        <v>0</v>
      </c>
      <c r="AE57" s="101">
        <f t="shared" si="44"/>
        <v>0</v>
      </c>
      <c r="AF57" s="100">
        <v>0</v>
      </c>
      <c r="AG57" s="98">
        <v>0</v>
      </c>
      <c r="AH57" s="99">
        <f t="shared" si="38"/>
        <v>0</v>
      </c>
      <c r="AI57" s="101">
        <v>1</v>
      </c>
      <c r="AJ57" s="106"/>
    </row>
    <row r="58" spans="2:36" s="35" customFormat="1" ht="17.100000000000001" customHeight="1">
      <c r="B58" s="105"/>
      <c r="C58" s="54"/>
      <c r="D58" s="96"/>
      <c r="E58" s="111"/>
      <c r="F58" s="112"/>
      <c r="G58" s="113"/>
      <c r="H58" s="183">
        <v>1</v>
      </c>
      <c r="I58" s="98">
        <v>0</v>
      </c>
      <c r="J58" s="98">
        <v>0</v>
      </c>
      <c r="K58" s="101">
        <f t="shared" si="39"/>
        <v>0</v>
      </c>
      <c r="L58" s="100">
        <v>0</v>
      </c>
      <c r="M58" s="98">
        <v>0</v>
      </c>
      <c r="N58" s="101">
        <f t="shared" si="40"/>
        <v>0</v>
      </c>
      <c r="O58" s="100">
        <v>0</v>
      </c>
      <c r="P58" s="98">
        <v>0</v>
      </c>
      <c r="Q58" s="101">
        <f t="shared" si="41"/>
        <v>0</v>
      </c>
      <c r="R58" s="100">
        <v>0</v>
      </c>
      <c r="S58" s="98">
        <v>0</v>
      </c>
      <c r="T58" s="101">
        <f t="shared" si="42"/>
        <v>0</v>
      </c>
      <c r="U58" s="183">
        <v>1</v>
      </c>
      <c r="V58" s="99">
        <v>1</v>
      </c>
      <c r="W58" s="98">
        <v>0</v>
      </c>
      <c r="X58" s="98">
        <v>0</v>
      </c>
      <c r="Y58" s="101">
        <f t="shared" si="43"/>
        <v>0</v>
      </c>
      <c r="Z58" s="101">
        <v>1</v>
      </c>
      <c r="AA58" s="183">
        <v>0</v>
      </c>
      <c r="AB58" s="99">
        <v>1</v>
      </c>
      <c r="AC58" s="98">
        <v>0</v>
      </c>
      <c r="AD58" s="98">
        <v>0</v>
      </c>
      <c r="AE58" s="101">
        <f t="shared" si="44"/>
        <v>0</v>
      </c>
      <c r="AF58" s="100">
        <v>0</v>
      </c>
      <c r="AG58" s="98">
        <v>0</v>
      </c>
      <c r="AH58" s="99">
        <f t="shared" si="38"/>
        <v>0</v>
      </c>
      <c r="AI58" s="101">
        <v>1</v>
      </c>
      <c r="AJ58" s="106"/>
    </row>
    <row r="59" spans="2:36" s="35" customFormat="1" ht="17.100000000000001" customHeight="1">
      <c r="B59" s="105"/>
      <c r="C59" s="54"/>
      <c r="D59" s="96"/>
      <c r="E59" s="111"/>
      <c r="F59" s="112"/>
      <c r="G59" s="113"/>
      <c r="H59" s="183">
        <v>1</v>
      </c>
      <c r="I59" s="98">
        <v>0</v>
      </c>
      <c r="J59" s="98">
        <v>0</v>
      </c>
      <c r="K59" s="101">
        <f t="shared" si="39"/>
        <v>0</v>
      </c>
      <c r="L59" s="100">
        <v>0</v>
      </c>
      <c r="M59" s="98">
        <v>0</v>
      </c>
      <c r="N59" s="101">
        <f t="shared" si="40"/>
        <v>0</v>
      </c>
      <c r="O59" s="100">
        <v>0</v>
      </c>
      <c r="P59" s="98">
        <v>0</v>
      </c>
      <c r="Q59" s="101">
        <f t="shared" si="41"/>
        <v>0</v>
      </c>
      <c r="R59" s="100">
        <v>0</v>
      </c>
      <c r="S59" s="98">
        <v>0</v>
      </c>
      <c r="T59" s="101">
        <f t="shared" si="42"/>
        <v>0</v>
      </c>
      <c r="U59" s="183">
        <v>1</v>
      </c>
      <c r="V59" s="99">
        <v>1</v>
      </c>
      <c r="W59" s="98">
        <v>0</v>
      </c>
      <c r="X59" s="98">
        <v>0</v>
      </c>
      <c r="Y59" s="101">
        <f t="shared" si="43"/>
        <v>0</v>
      </c>
      <c r="Z59" s="101">
        <v>1</v>
      </c>
      <c r="AA59" s="183">
        <v>0</v>
      </c>
      <c r="AB59" s="99">
        <v>1</v>
      </c>
      <c r="AC59" s="98">
        <v>0</v>
      </c>
      <c r="AD59" s="98">
        <v>0</v>
      </c>
      <c r="AE59" s="101">
        <f t="shared" si="44"/>
        <v>0</v>
      </c>
      <c r="AF59" s="100">
        <v>0</v>
      </c>
      <c r="AG59" s="98">
        <v>0</v>
      </c>
      <c r="AH59" s="99">
        <f t="shared" si="38"/>
        <v>0</v>
      </c>
      <c r="AI59" s="101">
        <v>1</v>
      </c>
      <c r="AJ59" s="106"/>
    </row>
    <row r="60" spans="2:36" s="126" customFormat="1" ht="17.100000000000001" customHeight="1" thickBot="1">
      <c r="B60" s="128"/>
      <c r="C60" s="154"/>
      <c r="D60" s="155"/>
      <c r="E60" s="156"/>
      <c r="F60" s="129"/>
      <c r="G60" s="130"/>
      <c r="H60" s="184">
        <v>1</v>
      </c>
      <c r="I60" s="361" t="s">
        <v>201</v>
      </c>
      <c r="J60" s="361"/>
      <c r="K60" s="131">
        <f>SUM(K53:K59)</f>
        <v>0</v>
      </c>
      <c r="L60" s="344" t="s">
        <v>201</v>
      </c>
      <c r="M60" s="345"/>
      <c r="N60" s="131">
        <f>SUM(N53:N59)</f>
        <v>0</v>
      </c>
      <c r="O60" s="344" t="s">
        <v>201</v>
      </c>
      <c r="P60" s="345"/>
      <c r="Q60" s="131">
        <f>SUM(Q53:Q59)</f>
        <v>0</v>
      </c>
      <c r="R60" s="344" t="s">
        <v>201</v>
      </c>
      <c r="S60" s="345"/>
      <c r="T60" s="131">
        <f>SUM(T53:T59)</f>
        <v>300</v>
      </c>
      <c r="U60" s="184">
        <v>3</v>
      </c>
      <c r="V60" s="160">
        <v>4</v>
      </c>
      <c r="W60" s="361" t="s">
        <v>201</v>
      </c>
      <c r="X60" s="361"/>
      <c r="Y60" s="131">
        <f>SUM(Y53:Y59)</f>
        <v>200</v>
      </c>
      <c r="Z60" s="133">
        <v>1</v>
      </c>
      <c r="AA60" s="184">
        <v>0</v>
      </c>
      <c r="AB60" s="160">
        <v>1</v>
      </c>
      <c r="AC60" s="361" t="s">
        <v>201</v>
      </c>
      <c r="AD60" s="361"/>
      <c r="AE60" s="131">
        <f>SUM(AE53:AE59)</f>
        <v>0</v>
      </c>
      <c r="AF60" s="362" t="s">
        <v>201</v>
      </c>
      <c r="AG60" s="361"/>
      <c r="AH60" s="144">
        <f>SUM(AH53:AH59)</f>
        <v>0</v>
      </c>
      <c r="AI60" s="133">
        <v>1</v>
      </c>
      <c r="AJ60" s="134"/>
    </row>
    <row r="61" spans="2:36" s="35" customFormat="1" ht="16.95" customHeight="1">
      <c r="B61" s="114"/>
      <c r="C61" s="157">
        <f>'3. Rekap Back Up Non Aspal '!C26</f>
        <v>1500</v>
      </c>
      <c r="D61" s="158">
        <f>'3. Rekap Back Up Non Aspal '!D26</f>
        <v>1600</v>
      </c>
      <c r="E61" s="159">
        <f>'3. Rekap Back Up Non Aspal '!E26</f>
        <v>3</v>
      </c>
      <c r="F61" s="115">
        <f>(100/((D61-C61)*E61))*((K68*0.05)+(N68*0.05)+(Q68*0.05)+(T68)+(Y68)+(AE68*1.5)+(AH68*1))</f>
        <v>66.666666666666657</v>
      </c>
      <c r="G61" s="116" t="str">
        <f>IF(F61&lt;=25,"RB",IF(F61&lt;=75,"RB",IF(F61&lt;=100,"RB","RB")))</f>
        <v>RB</v>
      </c>
      <c r="H61" s="185">
        <v>1</v>
      </c>
      <c r="I61" s="136">
        <v>0</v>
      </c>
      <c r="J61" s="136">
        <v>0</v>
      </c>
      <c r="K61" s="137">
        <f t="shared" ref="K61:K67" si="45">I61*J61</f>
        <v>0</v>
      </c>
      <c r="L61" s="136">
        <v>0</v>
      </c>
      <c r="M61" s="136">
        <v>0</v>
      </c>
      <c r="N61" s="137">
        <f t="shared" ref="N61:N67" si="46">L61*M61</f>
        <v>0</v>
      </c>
      <c r="O61" s="136">
        <v>0</v>
      </c>
      <c r="P61" s="136">
        <v>3</v>
      </c>
      <c r="Q61" s="137">
        <f t="shared" ref="Q61:Q67" si="47">O61*P61</f>
        <v>0</v>
      </c>
      <c r="R61" s="136">
        <v>100</v>
      </c>
      <c r="S61" s="136">
        <v>2</v>
      </c>
      <c r="T61" s="137">
        <f t="shared" ref="T61:T67" si="48">R61*S61</f>
        <v>200</v>
      </c>
      <c r="U61" s="185">
        <v>1</v>
      </c>
      <c r="V61" s="138">
        <v>1</v>
      </c>
      <c r="W61" s="136">
        <v>0</v>
      </c>
      <c r="X61" s="136">
        <v>0</v>
      </c>
      <c r="Y61" s="137">
        <f>W61*X61</f>
        <v>0</v>
      </c>
      <c r="Z61" s="137">
        <v>1</v>
      </c>
      <c r="AA61" s="185">
        <v>0</v>
      </c>
      <c r="AB61" s="138">
        <v>1</v>
      </c>
      <c r="AC61" s="136">
        <v>0</v>
      </c>
      <c r="AD61" s="136">
        <v>0</v>
      </c>
      <c r="AE61" s="137">
        <f t="shared" ref="AE61:AE67" si="49">AC61*AD61</f>
        <v>0</v>
      </c>
      <c r="AF61" s="136">
        <v>0</v>
      </c>
      <c r="AG61" s="136">
        <v>0</v>
      </c>
      <c r="AH61" s="138">
        <f t="shared" ref="AH61:AH67" si="50">AF61*AG61</f>
        <v>0</v>
      </c>
      <c r="AI61" s="137">
        <v>1</v>
      </c>
      <c r="AJ61" s="139"/>
    </row>
    <row r="62" spans="2:36" s="35" customFormat="1" ht="17.100000000000001" customHeight="1">
      <c r="B62" s="105"/>
      <c r="C62" s="54"/>
      <c r="D62" s="96"/>
      <c r="E62" s="111"/>
      <c r="F62" s="112"/>
      <c r="G62" s="113"/>
      <c r="H62" s="183">
        <v>1</v>
      </c>
      <c r="I62" s="98">
        <v>0</v>
      </c>
      <c r="J62" s="98">
        <v>0</v>
      </c>
      <c r="K62" s="101">
        <f t="shared" si="45"/>
        <v>0</v>
      </c>
      <c r="L62" s="100">
        <v>0</v>
      </c>
      <c r="M62" s="98">
        <v>0</v>
      </c>
      <c r="N62" s="101">
        <f t="shared" si="46"/>
        <v>0</v>
      </c>
      <c r="O62" s="100">
        <v>0</v>
      </c>
      <c r="P62" s="98">
        <v>0</v>
      </c>
      <c r="Q62" s="101">
        <f t="shared" si="47"/>
        <v>0</v>
      </c>
      <c r="R62" s="100">
        <v>0</v>
      </c>
      <c r="S62" s="98">
        <v>0</v>
      </c>
      <c r="T62" s="101">
        <f t="shared" si="48"/>
        <v>0</v>
      </c>
      <c r="U62" s="183">
        <v>1</v>
      </c>
      <c r="V62" s="99">
        <v>1</v>
      </c>
      <c r="W62" s="98">
        <v>0</v>
      </c>
      <c r="X62" s="98">
        <v>0</v>
      </c>
      <c r="Y62" s="101">
        <f t="shared" ref="Y62:Y67" si="51">W62*X62</f>
        <v>0</v>
      </c>
      <c r="Z62" s="101">
        <v>1</v>
      </c>
      <c r="AA62" s="183">
        <v>0</v>
      </c>
      <c r="AB62" s="99">
        <v>1</v>
      </c>
      <c r="AC62" s="98">
        <v>0</v>
      </c>
      <c r="AD62" s="98">
        <v>0</v>
      </c>
      <c r="AE62" s="101">
        <f t="shared" si="49"/>
        <v>0</v>
      </c>
      <c r="AF62" s="100">
        <v>0</v>
      </c>
      <c r="AG62" s="98">
        <v>0</v>
      </c>
      <c r="AH62" s="99">
        <f t="shared" si="50"/>
        <v>0</v>
      </c>
      <c r="AI62" s="101">
        <v>1</v>
      </c>
      <c r="AJ62" s="106"/>
    </row>
    <row r="63" spans="2:36" s="35" customFormat="1" ht="17.100000000000001" customHeight="1">
      <c r="B63" s="105"/>
      <c r="C63" s="54"/>
      <c r="D63" s="96"/>
      <c r="E63" s="111"/>
      <c r="F63" s="112"/>
      <c r="G63" s="113"/>
      <c r="H63" s="183">
        <v>1</v>
      </c>
      <c r="I63" s="98">
        <v>0</v>
      </c>
      <c r="J63" s="98">
        <v>0</v>
      </c>
      <c r="K63" s="101">
        <f t="shared" si="45"/>
        <v>0</v>
      </c>
      <c r="L63" s="100">
        <v>0</v>
      </c>
      <c r="M63" s="98">
        <v>0</v>
      </c>
      <c r="N63" s="101">
        <f t="shared" si="46"/>
        <v>0</v>
      </c>
      <c r="O63" s="100">
        <v>0</v>
      </c>
      <c r="P63" s="98">
        <v>0</v>
      </c>
      <c r="Q63" s="101">
        <f t="shared" si="47"/>
        <v>0</v>
      </c>
      <c r="R63" s="100">
        <v>0</v>
      </c>
      <c r="S63" s="98">
        <v>0</v>
      </c>
      <c r="T63" s="101">
        <f t="shared" si="48"/>
        <v>0</v>
      </c>
      <c r="U63" s="183">
        <v>1</v>
      </c>
      <c r="V63" s="99">
        <v>1</v>
      </c>
      <c r="W63" s="98">
        <v>0</v>
      </c>
      <c r="X63" s="98">
        <v>0</v>
      </c>
      <c r="Y63" s="101">
        <f t="shared" si="51"/>
        <v>0</v>
      </c>
      <c r="Z63" s="101">
        <v>1</v>
      </c>
      <c r="AA63" s="183">
        <v>0</v>
      </c>
      <c r="AB63" s="99">
        <v>1</v>
      </c>
      <c r="AC63" s="98">
        <v>0</v>
      </c>
      <c r="AD63" s="98">
        <v>0</v>
      </c>
      <c r="AE63" s="101">
        <f t="shared" si="49"/>
        <v>0</v>
      </c>
      <c r="AF63" s="100">
        <v>0</v>
      </c>
      <c r="AG63" s="98">
        <v>0</v>
      </c>
      <c r="AH63" s="99">
        <f t="shared" si="50"/>
        <v>0</v>
      </c>
      <c r="AI63" s="101">
        <v>1</v>
      </c>
      <c r="AJ63" s="106"/>
    </row>
    <row r="64" spans="2:36" s="35" customFormat="1" ht="17.100000000000001" customHeight="1">
      <c r="B64" s="105"/>
      <c r="C64" s="54"/>
      <c r="D64" s="96"/>
      <c r="E64" s="111"/>
      <c r="F64" s="112"/>
      <c r="G64" s="113"/>
      <c r="H64" s="183">
        <v>1</v>
      </c>
      <c r="I64" s="98">
        <v>0</v>
      </c>
      <c r="J64" s="98">
        <v>0</v>
      </c>
      <c r="K64" s="101">
        <f t="shared" si="45"/>
        <v>0</v>
      </c>
      <c r="L64" s="100">
        <v>0</v>
      </c>
      <c r="M64" s="98">
        <v>0</v>
      </c>
      <c r="N64" s="101">
        <f t="shared" si="46"/>
        <v>0</v>
      </c>
      <c r="O64" s="100">
        <v>0</v>
      </c>
      <c r="P64" s="98">
        <v>0</v>
      </c>
      <c r="Q64" s="101">
        <f t="shared" si="47"/>
        <v>0</v>
      </c>
      <c r="R64" s="100">
        <v>0</v>
      </c>
      <c r="S64" s="98">
        <v>0</v>
      </c>
      <c r="T64" s="101">
        <f t="shared" si="48"/>
        <v>0</v>
      </c>
      <c r="U64" s="183">
        <v>1</v>
      </c>
      <c r="V64" s="99">
        <v>1</v>
      </c>
      <c r="W64" s="98">
        <v>0</v>
      </c>
      <c r="X64" s="98">
        <v>0</v>
      </c>
      <c r="Y64" s="101">
        <f t="shared" si="51"/>
        <v>0</v>
      </c>
      <c r="Z64" s="101">
        <v>1</v>
      </c>
      <c r="AA64" s="183">
        <v>0</v>
      </c>
      <c r="AB64" s="99">
        <v>1</v>
      </c>
      <c r="AC64" s="98">
        <v>0</v>
      </c>
      <c r="AD64" s="98">
        <v>0</v>
      </c>
      <c r="AE64" s="101">
        <f t="shared" si="49"/>
        <v>0</v>
      </c>
      <c r="AF64" s="100">
        <v>0</v>
      </c>
      <c r="AG64" s="98">
        <v>0</v>
      </c>
      <c r="AH64" s="99">
        <f t="shared" si="50"/>
        <v>0</v>
      </c>
      <c r="AI64" s="101">
        <v>1</v>
      </c>
      <c r="AJ64" s="106"/>
    </row>
    <row r="65" spans="2:36" s="35" customFormat="1" ht="17.100000000000001" customHeight="1">
      <c r="B65" s="105"/>
      <c r="C65" s="54"/>
      <c r="D65" s="96"/>
      <c r="E65" s="111"/>
      <c r="F65" s="112"/>
      <c r="G65" s="113"/>
      <c r="H65" s="183">
        <v>1</v>
      </c>
      <c r="I65" s="98">
        <v>0</v>
      </c>
      <c r="J65" s="98">
        <v>0</v>
      </c>
      <c r="K65" s="101">
        <f t="shared" si="45"/>
        <v>0</v>
      </c>
      <c r="L65" s="100">
        <v>0</v>
      </c>
      <c r="M65" s="98">
        <v>0</v>
      </c>
      <c r="N65" s="101">
        <f t="shared" si="46"/>
        <v>0</v>
      </c>
      <c r="O65" s="100">
        <v>0</v>
      </c>
      <c r="P65" s="98">
        <v>0</v>
      </c>
      <c r="Q65" s="101">
        <f t="shared" si="47"/>
        <v>0</v>
      </c>
      <c r="R65" s="100">
        <v>0</v>
      </c>
      <c r="S65" s="98">
        <v>0</v>
      </c>
      <c r="T65" s="101">
        <f t="shared" si="48"/>
        <v>0</v>
      </c>
      <c r="U65" s="183">
        <v>1</v>
      </c>
      <c r="V65" s="99">
        <v>1</v>
      </c>
      <c r="W65" s="98">
        <v>0</v>
      </c>
      <c r="X65" s="98">
        <v>0</v>
      </c>
      <c r="Y65" s="101">
        <f t="shared" si="51"/>
        <v>0</v>
      </c>
      <c r="Z65" s="101">
        <v>1</v>
      </c>
      <c r="AA65" s="183">
        <v>0</v>
      </c>
      <c r="AB65" s="99">
        <v>1</v>
      </c>
      <c r="AC65" s="98">
        <v>0</v>
      </c>
      <c r="AD65" s="98">
        <v>0</v>
      </c>
      <c r="AE65" s="101">
        <f t="shared" si="49"/>
        <v>0</v>
      </c>
      <c r="AF65" s="100">
        <v>0</v>
      </c>
      <c r="AG65" s="98">
        <v>0</v>
      </c>
      <c r="AH65" s="99">
        <f t="shared" si="50"/>
        <v>0</v>
      </c>
      <c r="AI65" s="101">
        <v>1</v>
      </c>
      <c r="AJ65" s="106"/>
    </row>
    <row r="66" spans="2:36" s="35" customFormat="1" ht="17.100000000000001" customHeight="1">
      <c r="B66" s="105"/>
      <c r="C66" s="54"/>
      <c r="D66" s="96"/>
      <c r="E66" s="111"/>
      <c r="F66" s="112"/>
      <c r="G66" s="113"/>
      <c r="H66" s="183">
        <v>1</v>
      </c>
      <c r="I66" s="98">
        <v>0</v>
      </c>
      <c r="J66" s="98">
        <v>0</v>
      </c>
      <c r="K66" s="101">
        <f t="shared" si="45"/>
        <v>0</v>
      </c>
      <c r="L66" s="100">
        <v>0</v>
      </c>
      <c r="M66" s="98">
        <v>0</v>
      </c>
      <c r="N66" s="101">
        <f t="shared" si="46"/>
        <v>0</v>
      </c>
      <c r="O66" s="100">
        <v>0</v>
      </c>
      <c r="P66" s="98">
        <v>0</v>
      </c>
      <c r="Q66" s="101">
        <f t="shared" si="47"/>
        <v>0</v>
      </c>
      <c r="R66" s="100">
        <v>0</v>
      </c>
      <c r="S66" s="98">
        <v>0</v>
      </c>
      <c r="T66" s="101">
        <f t="shared" si="48"/>
        <v>0</v>
      </c>
      <c r="U66" s="183">
        <v>1</v>
      </c>
      <c r="V66" s="99">
        <v>1</v>
      </c>
      <c r="W66" s="98">
        <v>0</v>
      </c>
      <c r="X66" s="98">
        <v>0</v>
      </c>
      <c r="Y66" s="101">
        <f t="shared" si="51"/>
        <v>0</v>
      </c>
      <c r="Z66" s="101">
        <v>1</v>
      </c>
      <c r="AA66" s="183">
        <v>0</v>
      </c>
      <c r="AB66" s="99">
        <v>1</v>
      </c>
      <c r="AC66" s="98">
        <v>0</v>
      </c>
      <c r="AD66" s="98">
        <v>0</v>
      </c>
      <c r="AE66" s="101">
        <f t="shared" si="49"/>
        <v>0</v>
      </c>
      <c r="AF66" s="100">
        <v>0</v>
      </c>
      <c r="AG66" s="98">
        <v>0</v>
      </c>
      <c r="AH66" s="99">
        <f t="shared" si="50"/>
        <v>0</v>
      </c>
      <c r="AI66" s="101">
        <v>1</v>
      </c>
      <c r="AJ66" s="106"/>
    </row>
    <row r="67" spans="2:36" s="35" customFormat="1" ht="17.100000000000001" customHeight="1">
      <c r="B67" s="105"/>
      <c r="C67" s="54"/>
      <c r="D67" s="96"/>
      <c r="E67" s="111"/>
      <c r="F67" s="112"/>
      <c r="G67" s="113"/>
      <c r="H67" s="183">
        <v>1</v>
      </c>
      <c r="I67" s="98">
        <v>0</v>
      </c>
      <c r="J67" s="98">
        <v>0</v>
      </c>
      <c r="K67" s="101">
        <f t="shared" si="45"/>
        <v>0</v>
      </c>
      <c r="L67" s="100">
        <v>0</v>
      </c>
      <c r="M67" s="98">
        <v>0</v>
      </c>
      <c r="N67" s="101">
        <f t="shared" si="46"/>
        <v>0</v>
      </c>
      <c r="O67" s="100">
        <v>0</v>
      </c>
      <c r="P67" s="98">
        <v>0</v>
      </c>
      <c r="Q67" s="101">
        <f t="shared" si="47"/>
        <v>0</v>
      </c>
      <c r="R67" s="100">
        <v>0</v>
      </c>
      <c r="S67" s="98">
        <v>0</v>
      </c>
      <c r="T67" s="101">
        <f t="shared" si="48"/>
        <v>0</v>
      </c>
      <c r="U67" s="183">
        <v>1</v>
      </c>
      <c r="V67" s="99">
        <v>1</v>
      </c>
      <c r="W67" s="98">
        <v>0</v>
      </c>
      <c r="X67" s="98">
        <v>0</v>
      </c>
      <c r="Y67" s="101">
        <f t="shared" si="51"/>
        <v>0</v>
      </c>
      <c r="Z67" s="101">
        <v>1</v>
      </c>
      <c r="AA67" s="183">
        <v>0</v>
      </c>
      <c r="AB67" s="99">
        <v>1</v>
      </c>
      <c r="AC67" s="98">
        <v>0</v>
      </c>
      <c r="AD67" s="98">
        <v>0</v>
      </c>
      <c r="AE67" s="101">
        <f t="shared" si="49"/>
        <v>0</v>
      </c>
      <c r="AF67" s="100">
        <v>0</v>
      </c>
      <c r="AG67" s="98">
        <v>0</v>
      </c>
      <c r="AH67" s="99">
        <f t="shared" si="50"/>
        <v>0</v>
      </c>
      <c r="AI67" s="101">
        <v>1</v>
      </c>
      <c r="AJ67" s="106"/>
    </row>
    <row r="68" spans="2:36" s="126" customFormat="1" ht="17.100000000000001" customHeight="1">
      <c r="B68" s="118"/>
      <c r="C68" s="119"/>
      <c r="D68" s="120"/>
      <c r="E68" s="121"/>
      <c r="F68" s="122"/>
      <c r="G68" s="123"/>
      <c r="H68" s="183">
        <v>1</v>
      </c>
      <c r="I68" s="363" t="s">
        <v>201</v>
      </c>
      <c r="J68" s="363"/>
      <c r="K68" s="124">
        <f>SUM(K61:K67)</f>
        <v>0</v>
      </c>
      <c r="L68" s="341" t="s">
        <v>201</v>
      </c>
      <c r="M68" s="342"/>
      <c r="N68" s="124">
        <f>SUM(N61:N67)</f>
        <v>0</v>
      </c>
      <c r="O68" s="341" t="s">
        <v>201</v>
      </c>
      <c r="P68" s="342"/>
      <c r="Q68" s="124">
        <f>SUM(Q61:Q67)</f>
        <v>0</v>
      </c>
      <c r="R68" s="341" t="s">
        <v>201</v>
      </c>
      <c r="S68" s="342"/>
      <c r="T68" s="124">
        <f>SUM(T61:T67)</f>
        <v>200</v>
      </c>
      <c r="U68" s="183">
        <v>1</v>
      </c>
      <c r="V68" s="99">
        <v>1</v>
      </c>
      <c r="W68" s="363" t="s">
        <v>201</v>
      </c>
      <c r="X68" s="363"/>
      <c r="Y68" s="124">
        <f>SUM(Y61:Y67)</f>
        <v>0</v>
      </c>
      <c r="Z68" s="101">
        <v>1</v>
      </c>
      <c r="AA68" s="183">
        <v>0</v>
      </c>
      <c r="AB68" s="99">
        <v>1</v>
      </c>
      <c r="AC68" s="363" t="s">
        <v>201</v>
      </c>
      <c r="AD68" s="363"/>
      <c r="AE68" s="124">
        <f>SUM(AE61:AE67)</f>
        <v>0</v>
      </c>
      <c r="AF68" s="364" t="s">
        <v>201</v>
      </c>
      <c r="AG68" s="363"/>
      <c r="AH68" s="143">
        <f>SUM(AH61:AH67)</f>
        <v>0</v>
      </c>
      <c r="AI68" s="101">
        <v>1</v>
      </c>
      <c r="AJ68" s="125"/>
    </row>
    <row r="69" spans="2:36" s="35" customFormat="1" ht="16.95" customHeight="1">
      <c r="B69" s="105"/>
      <c r="C69" s="54">
        <f>'3. Rekap Back Up Non Aspal '!C27</f>
        <v>1600</v>
      </c>
      <c r="D69" s="96">
        <f>'3. Rekap Back Up Non Aspal '!D27</f>
        <v>1700</v>
      </c>
      <c r="E69" s="111">
        <f>'3. Rekap Back Up Non Aspal '!E27</f>
        <v>3</v>
      </c>
      <c r="F69" s="112">
        <f>(100/((D69-C69)*E69))*((K76*0.05)+(N76*0.05)+(Q76*0.05)+(T76)+(Y76)+(AE76*1.5)+(AH76*1))</f>
        <v>66.666666666666657</v>
      </c>
      <c r="G69" s="113" t="str">
        <f>IF(F69&lt;=25,"RB",IF(F69&lt;=75,"RB",IF(F69&lt;=100,"RB","RB")))</f>
        <v>RB</v>
      </c>
      <c r="H69" s="183">
        <v>1</v>
      </c>
      <c r="I69" s="98">
        <v>0</v>
      </c>
      <c r="J69" s="98">
        <v>0</v>
      </c>
      <c r="K69" s="101">
        <f t="shared" ref="K69" si="52">I69*J69</f>
        <v>0</v>
      </c>
      <c r="L69" s="98">
        <v>0</v>
      </c>
      <c r="M69" s="98">
        <v>0</v>
      </c>
      <c r="N69" s="101">
        <f t="shared" ref="N69" si="53">L69*M69</f>
        <v>0</v>
      </c>
      <c r="O69" s="98">
        <v>0</v>
      </c>
      <c r="P69" s="98">
        <v>0</v>
      </c>
      <c r="Q69" s="101">
        <f t="shared" ref="Q69" si="54">O69*P69</f>
        <v>0</v>
      </c>
      <c r="R69" s="98">
        <v>100</v>
      </c>
      <c r="S69" s="98">
        <v>2</v>
      </c>
      <c r="T69" s="101">
        <f t="shared" ref="T69" si="55">R69*S69</f>
        <v>200</v>
      </c>
      <c r="U69" s="183">
        <v>1</v>
      </c>
      <c r="V69" s="99">
        <v>1</v>
      </c>
      <c r="W69" s="98">
        <v>0</v>
      </c>
      <c r="X69" s="98">
        <v>0</v>
      </c>
      <c r="Y69" s="101">
        <f>W69*X69</f>
        <v>0</v>
      </c>
      <c r="Z69" s="101">
        <v>1</v>
      </c>
      <c r="AA69" s="183">
        <v>0</v>
      </c>
      <c r="AB69" s="99">
        <v>1</v>
      </c>
      <c r="AC69" s="98">
        <v>0</v>
      </c>
      <c r="AD69" s="98">
        <v>0</v>
      </c>
      <c r="AE69" s="101">
        <f t="shared" ref="AE69" si="56">AC69*AD69</f>
        <v>0</v>
      </c>
      <c r="AF69" s="98">
        <v>0</v>
      </c>
      <c r="AG69" s="98">
        <v>3</v>
      </c>
      <c r="AH69" s="99">
        <f t="shared" ref="AH69:AH75" si="57">AF69*AG69</f>
        <v>0</v>
      </c>
      <c r="AI69" s="101">
        <v>1</v>
      </c>
      <c r="AJ69" s="106"/>
    </row>
    <row r="70" spans="2:36" s="35" customFormat="1" ht="17.100000000000001" customHeight="1">
      <c r="B70" s="105"/>
      <c r="C70" s="54"/>
      <c r="D70" s="96"/>
      <c r="E70" s="111"/>
      <c r="F70" s="112"/>
      <c r="G70" s="113"/>
      <c r="H70" s="183">
        <v>1</v>
      </c>
      <c r="I70" s="98">
        <v>0</v>
      </c>
      <c r="J70" s="98">
        <v>0</v>
      </c>
      <c r="K70" s="101">
        <f t="shared" ref="K70:K75" si="58">I70*J70</f>
        <v>0</v>
      </c>
      <c r="L70" s="100">
        <v>0</v>
      </c>
      <c r="M70" s="98">
        <v>0</v>
      </c>
      <c r="N70" s="101">
        <f t="shared" ref="N70:N75" si="59">L70*M70</f>
        <v>0</v>
      </c>
      <c r="O70" s="100">
        <v>0</v>
      </c>
      <c r="P70" s="98">
        <v>0</v>
      </c>
      <c r="Q70" s="101">
        <f t="shared" ref="Q70:Q75" si="60">O70*P70</f>
        <v>0</v>
      </c>
      <c r="R70" s="100">
        <v>0</v>
      </c>
      <c r="S70" s="98">
        <v>0</v>
      </c>
      <c r="T70" s="101">
        <f t="shared" ref="T70:T75" si="61">R70*S70</f>
        <v>0</v>
      </c>
      <c r="U70" s="183">
        <v>1</v>
      </c>
      <c r="V70" s="99">
        <v>1</v>
      </c>
      <c r="W70" s="98">
        <v>0</v>
      </c>
      <c r="X70" s="98">
        <v>0</v>
      </c>
      <c r="Y70" s="101">
        <f t="shared" ref="Y70:Y75" si="62">W70*X70</f>
        <v>0</v>
      </c>
      <c r="Z70" s="101">
        <v>1</v>
      </c>
      <c r="AA70" s="183">
        <v>0</v>
      </c>
      <c r="AB70" s="99">
        <v>1</v>
      </c>
      <c r="AC70" s="98">
        <v>0</v>
      </c>
      <c r="AD70" s="98">
        <v>0</v>
      </c>
      <c r="AE70" s="101">
        <f t="shared" ref="AE70:AE75" si="63">AC70*AD70</f>
        <v>0</v>
      </c>
      <c r="AF70" s="100">
        <v>0</v>
      </c>
      <c r="AG70" s="98">
        <v>0</v>
      </c>
      <c r="AH70" s="99">
        <f t="shared" si="57"/>
        <v>0</v>
      </c>
      <c r="AI70" s="101">
        <v>1</v>
      </c>
      <c r="AJ70" s="106"/>
    </row>
    <row r="71" spans="2:36" s="35" customFormat="1" ht="17.100000000000001" customHeight="1">
      <c r="B71" s="105"/>
      <c r="C71" s="54"/>
      <c r="D71" s="96"/>
      <c r="E71" s="111"/>
      <c r="F71" s="112"/>
      <c r="G71" s="113"/>
      <c r="H71" s="183">
        <v>1</v>
      </c>
      <c r="I71" s="98">
        <v>0</v>
      </c>
      <c r="J71" s="98">
        <v>0</v>
      </c>
      <c r="K71" s="101">
        <f t="shared" si="58"/>
        <v>0</v>
      </c>
      <c r="L71" s="100">
        <v>0</v>
      </c>
      <c r="M71" s="98">
        <v>0</v>
      </c>
      <c r="N71" s="101">
        <f t="shared" si="59"/>
        <v>0</v>
      </c>
      <c r="O71" s="100">
        <v>0</v>
      </c>
      <c r="P71" s="98">
        <v>0</v>
      </c>
      <c r="Q71" s="101">
        <f t="shared" si="60"/>
        <v>0</v>
      </c>
      <c r="R71" s="100">
        <v>0</v>
      </c>
      <c r="S71" s="98">
        <v>0</v>
      </c>
      <c r="T71" s="101">
        <f t="shared" si="61"/>
        <v>0</v>
      </c>
      <c r="U71" s="183">
        <v>1</v>
      </c>
      <c r="V71" s="99">
        <v>1</v>
      </c>
      <c r="W71" s="98">
        <v>0</v>
      </c>
      <c r="X71" s="98">
        <v>0</v>
      </c>
      <c r="Y71" s="101">
        <f t="shared" si="62"/>
        <v>0</v>
      </c>
      <c r="Z71" s="101">
        <v>1</v>
      </c>
      <c r="AA71" s="183">
        <v>0</v>
      </c>
      <c r="AB71" s="99">
        <v>1</v>
      </c>
      <c r="AC71" s="98">
        <v>0</v>
      </c>
      <c r="AD71" s="98">
        <v>0</v>
      </c>
      <c r="AE71" s="101">
        <f t="shared" si="63"/>
        <v>0</v>
      </c>
      <c r="AF71" s="100">
        <v>0</v>
      </c>
      <c r="AG71" s="98">
        <v>0</v>
      </c>
      <c r="AH71" s="99">
        <f t="shared" si="57"/>
        <v>0</v>
      </c>
      <c r="AI71" s="101">
        <v>1</v>
      </c>
      <c r="AJ71" s="106"/>
    </row>
    <row r="72" spans="2:36" s="35" customFormat="1" ht="17.100000000000001" customHeight="1">
      <c r="B72" s="105"/>
      <c r="C72" s="54"/>
      <c r="D72" s="96"/>
      <c r="E72" s="111"/>
      <c r="F72" s="112"/>
      <c r="G72" s="113"/>
      <c r="H72" s="183">
        <v>1</v>
      </c>
      <c r="I72" s="98">
        <v>0</v>
      </c>
      <c r="J72" s="98">
        <v>0</v>
      </c>
      <c r="K72" s="101">
        <f t="shared" si="58"/>
        <v>0</v>
      </c>
      <c r="L72" s="100">
        <v>0</v>
      </c>
      <c r="M72" s="98">
        <v>0</v>
      </c>
      <c r="N72" s="101">
        <f t="shared" si="59"/>
        <v>0</v>
      </c>
      <c r="O72" s="100">
        <v>0</v>
      </c>
      <c r="P72" s="98">
        <v>0</v>
      </c>
      <c r="Q72" s="101">
        <f t="shared" si="60"/>
        <v>0</v>
      </c>
      <c r="R72" s="100">
        <v>0</v>
      </c>
      <c r="S72" s="98">
        <v>0</v>
      </c>
      <c r="T72" s="101">
        <f t="shared" si="61"/>
        <v>0</v>
      </c>
      <c r="U72" s="183">
        <v>1</v>
      </c>
      <c r="V72" s="99">
        <v>1</v>
      </c>
      <c r="W72" s="98">
        <v>0</v>
      </c>
      <c r="X72" s="98">
        <v>0</v>
      </c>
      <c r="Y72" s="101">
        <f t="shared" si="62"/>
        <v>0</v>
      </c>
      <c r="Z72" s="101">
        <v>1</v>
      </c>
      <c r="AA72" s="183">
        <v>0</v>
      </c>
      <c r="AB72" s="99">
        <v>1</v>
      </c>
      <c r="AC72" s="98">
        <v>0</v>
      </c>
      <c r="AD72" s="98">
        <v>0</v>
      </c>
      <c r="AE72" s="101">
        <f t="shared" si="63"/>
        <v>0</v>
      </c>
      <c r="AF72" s="100">
        <v>0</v>
      </c>
      <c r="AG72" s="98">
        <v>0</v>
      </c>
      <c r="AH72" s="99">
        <f t="shared" si="57"/>
        <v>0</v>
      </c>
      <c r="AI72" s="101">
        <v>1</v>
      </c>
      <c r="AJ72" s="106"/>
    </row>
    <row r="73" spans="2:36" s="35" customFormat="1" ht="17.100000000000001" customHeight="1">
      <c r="B73" s="105"/>
      <c r="C73" s="54"/>
      <c r="D73" s="96"/>
      <c r="E73" s="111"/>
      <c r="F73" s="112"/>
      <c r="G73" s="113"/>
      <c r="H73" s="183">
        <v>1</v>
      </c>
      <c r="I73" s="98">
        <v>0</v>
      </c>
      <c r="J73" s="98">
        <v>0</v>
      </c>
      <c r="K73" s="101">
        <f t="shared" si="58"/>
        <v>0</v>
      </c>
      <c r="L73" s="100">
        <v>0</v>
      </c>
      <c r="M73" s="98">
        <v>0</v>
      </c>
      <c r="N73" s="101">
        <f t="shared" si="59"/>
        <v>0</v>
      </c>
      <c r="O73" s="100">
        <v>0</v>
      </c>
      <c r="P73" s="98">
        <v>0</v>
      </c>
      <c r="Q73" s="101">
        <f t="shared" si="60"/>
        <v>0</v>
      </c>
      <c r="R73" s="100">
        <v>0</v>
      </c>
      <c r="S73" s="98">
        <v>0</v>
      </c>
      <c r="T73" s="101">
        <f t="shared" si="61"/>
        <v>0</v>
      </c>
      <c r="U73" s="183">
        <v>1</v>
      </c>
      <c r="V73" s="99">
        <v>1</v>
      </c>
      <c r="W73" s="98">
        <v>0</v>
      </c>
      <c r="X73" s="98">
        <v>0</v>
      </c>
      <c r="Y73" s="101">
        <f t="shared" si="62"/>
        <v>0</v>
      </c>
      <c r="Z73" s="101">
        <v>1</v>
      </c>
      <c r="AA73" s="183">
        <v>0</v>
      </c>
      <c r="AB73" s="99">
        <v>1</v>
      </c>
      <c r="AC73" s="98">
        <v>0</v>
      </c>
      <c r="AD73" s="98">
        <v>0</v>
      </c>
      <c r="AE73" s="101">
        <f t="shared" si="63"/>
        <v>0</v>
      </c>
      <c r="AF73" s="100">
        <v>0</v>
      </c>
      <c r="AG73" s="98">
        <v>0</v>
      </c>
      <c r="AH73" s="99">
        <f t="shared" si="57"/>
        <v>0</v>
      </c>
      <c r="AI73" s="101">
        <v>1</v>
      </c>
      <c r="AJ73" s="106"/>
    </row>
    <row r="74" spans="2:36" s="35" customFormat="1" ht="17.100000000000001" customHeight="1">
      <c r="B74" s="105"/>
      <c r="C74" s="54"/>
      <c r="D74" s="96"/>
      <c r="E74" s="111"/>
      <c r="F74" s="112"/>
      <c r="G74" s="113"/>
      <c r="H74" s="183">
        <v>1</v>
      </c>
      <c r="I74" s="98">
        <v>0</v>
      </c>
      <c r="J74" s="98">
        <v>0</v>
      </c>
      <c r="K74" s="101">
        <f t="shared" si="58"/>
        <v>0</v>
      </c>
      <c r="L74" s="100">
        <v>0</v>
      </c>
      <c r="M74" s="98">
        <v>0</v>
      </c>
      <c r="N74" s="101">
        <f t="shared" si="59"/>
        <v>0</v>
      </c>
      <c r="O74" s="100">
        <v>0</v>
      </c>
      <c r="P74" s="98">
        <v>0</v>
      </c>
      <c r="Q74" s="101">
        <f t="shared" si="60"/>
        <v>0</v>
      </c>
      <c r="R74" s="100">
        <v>0</v>
      </c>
      <c r="S74" s="98">
        <v>0</v>
      </c>
      <c r="T74" s="101">
        <f t="shared" si="61"/>
        <v>0</v>
      </c>
      <c r="U74" s="183">
        <v>1</v>
      </c>
      <c r="V74" s="99">
        <v>1</v>
      </c>
      <c r="W74" s="98">
        <v>0</v>
      </c>
      <c r="X74" s="98">
        <v>0</v>
      </c>
      <c r="Y74" s="101">
        <f t="shared" si="62"/>
        <v>0</v>
      </c>
      <c r="Z74" s="101">
        <v>1</v>
      </c>
      <c r="AA74" s="183">
        <v>0</v>
      </c>
      <c r="AB74" s="99">
        <v>1</v>
      </c>
      <c r="AC74" s="98">
        <v>0</v>
      </c>
      <c r="AD74" s="98">
        <v>0</v>
      </c>
      <c r="AE74" s="101">
        <f t="shared" si="63"/>
        <v>0</v>
      </c>
      <c r="AF74" s="100">
        <v>0</v>
      </c>
      <c r="AG74" s="98">
        <v>0</v>
      </c>
      <c r="AH74" s="99">
        <f t="shared" si="57"/>
        <v>0</v>
      </c>
      <c r="AI74" s="101">
        <v>1</v>
      </c>
      <c r="AJ74" s="106"/>
    </row>
    <row r="75" spans="2:36" s="35" customFormat="1" ht="17.100000000000001" customHeight="1">
      <c r="B75" s="105"/>
      <c r="C75" s="54"/>
      <c r="D75" s="96"/>
      <c r="E75" s="111"/>
      <c r="F75" s="112"/>
      <c r="G75" s="113"/>
      <c r="H75" s="183">
        <v>1</v>
      </c>
      <c r="I75" s="98">
        <v>0</v>
      </c>
      <c r="J75" s="98">
        <v>0</v>
      </c>
      <c r="K75" s="101">
        <f t="shared" si="58"/>
        <v>0</v>
      </c>
      <c r="L75" s="100">
        <v>0</v>
      </c>
      <c r="M75" s="98">
        <v>0</v>
      </c>
      <c r="N75" s="101">
        <f t="shared" si="59"/>
        <v>0</v>
      </c>
      <c r="O75" s="100">
        <v>0</v>
      </c>
      <c r="P75" s="98">
        <v>0</v>
      </c>
      <c r="Q75" s="101">
        <f t="shared" si="60"/>
        <v>0</v>
      </c>
      <c r="R75" s="100">
        <v>0</v>
      </c>
      <c r="S75" s="98">
        <v>0</v>
      </c>
      <c r="T75" s="101">
        <f t="shared" si="61"/>
        <v>0</v>
      </c>
      <c r="U75" s="183">
        <v>1</v>
      </c>
      <c r="V75" s="99">
        <v>1</v>
      </c>
      <c r="W75" s="98">
        <v>0</v>
      </c>
      <c r="X75" s="98">
        <v>0</v>
      </c>
      <c r="Y75" s="101">
        <f t="shared" si="62"/>
        <v>0</v>
      </c>
      <c r="Z75" s="101">
        <v>1</v>
      </c>
      <c r="AA75" s="183">
        <v>0</v>
      </c>
      <c r="AB75" s="99">
        <v>1</v>
      </c>
      <c r="AC75" s="98">
        <v>0</v>
      </c>
      <c r="AD75" s="98">
        <v>0</v>
      </c>
      <c r="AE75" s="101">
        <f t="shared" si="63"/>
        <v>0</v>
      </c>
      <c r="AF75" s="100">
        <v>0</v>
      </c>
      <c r="AG75" s="98">
        <v>0</v>
      </c>
      <c r="AH75" s="99">
        <f t="shared" si="57"/>
        <v>0</v>
      </c>
      <c r="AI75" s="101">
        <v>1</v>
      </c>
      <c r="AJ75" s="106"/>
    </row>
    <row r="76" spans="2:36" s="126" customFormat="1" ht="17.100000000000001" customHeight="1">
      <c r="B76" s="118"/>
      <c r="C76" s="119"/>
      <c r="D76" s="120"/>
      <c r="E76" s="121"/>
      <c r="F76" s="122"/>
      <c r="G76" s="123"/>
      <c r="H76" s="183">
        <v>1</v>
      </c>
      <c r="I76" s="363" t="s">
        <v>201</v>
      </c>
      <c r="J76" s="363"/>
      <c r="K76" s="124">
        <f>SUM(K69:K75)</f>
        <v>0</v>
      </c>
      <c r="L76" s="341" t="s">
        <v>201</v>
      </c>
      <c r="M76" s="342"/>
      <c r="N76" s="124">
        <f>SUM(N69:N75)</f>
        <v>0</v>
      </c>
      <c r="O76" s="341" t="s">
        <v>201</v>
      </c>
      <c r="P76" s="342"/>
      <c r="Q76" s="124">
        <f>SUM(Q69:Q75)</f>
        <v>0</v>
      </c>
      <c r="R76" s="341" t="s">
        <v>201</v>
      </c>
      <c r="S76" s="342"/>
      <c r="T76" s="124">
        <f>SUM(T69:T75)</f>
        <v>200</v>
      </c>
      <c r="U76" s="183">
        <v>1</v>
      </c>
      <c r="V76" s="99">
        <v>1</v>
      </c>
      <c r="W76" s="363" t="s">
        <v>201</v>
      </c>
      <c r="X76" s="363"/>
      <c r="Y76" s="124">
        <f>SUM(Y69:Y75)</f>
        <v>0</v>
      </c>
      <c r="Z76" s="101">
        <v>1</v>
      </c>
      <c r="AA76" s="183">
        <v>0</v>
      </c>
      <c r="AB76" s="99">
        <v>1</v>
      </c>
      <c r="AC76" s="363" t="s">
        <v>201</v>
      </c>
      <c r="AD76" s="363"/>
      <c r="AE76" s="124">
        <f>SUM(AE69:AE75)</f>
        <v>0</v>
      </c>
      <c r="AF76" s="364" t="s">
        <v>201</v>
      </c>
      <c r="AG76" s="363"/>
      <c r="AH76" s="143">
        <f>SUM(AH69:AH75)</f>
        <v>0</v>
      </c>
      <c r="AI76" s="101">
        <v>1</v>
      </c>
      <c r="AJ76" s="125"/>
    </row>
    <row r="77" spans="2:36" s="35" customFormat="1" ht="16.95" customHeight="1">
      <c r="B77" s="105"/>
      <c r="C77" s="54">
        <f>'3. Rekap Back Up Non Aspal '!C28</f>
        <v>1700</v>
      </c>
      <c r="D77" s="96">
        <f>'3. Rekap Back Up Non Aspal '!D28</f>
        <v>1800</v>
      </c>
      <c r="E77" s="111">
        <f>'3. Rekap Back Up Non Aspal '!E28</f>
        <v>3</v>
      </c>
      <c r="F77" s="112">
        <f>(100/((D77-C77)*E77))*((K84*0.05)+(N84*0.05)+(Q84*0.05)+(T84)+(Y84)+(AE84*1.5)+(AH84*1))</f>
        <v>66.666666666666657</v>
      </c>
      <c r="G77" s="113" t="str">
        <f>IF(F77&lt;=25,"RB",IF(F77&lt;=75,"RB",IF(F77&lt;=100,"RB","RB")))</f>
        <v>RB</v>
      </c>
      <c r="H77" s="183">
        <v>1</v>
      </c>
      <c r="I77" s="98">
        <v>0</v>
      </c>
      <c r="J77" s="98">
        <v>0</v>
      </c>
      <c r="K77" s="101">
        <f t="shared" ref="K77" si="64">I77*J77</f>
        <v>0</v>
      </c>
      <c r="L77" s="98">
        <v>0</v>
      </c>
      <c r="M77" s="98">
        <v>0</v>
      </c>
      <c r="N77" s="101">
        <f t="shared" ref="N77" si="65">L77*M77</f>
        <v>0</v>
      </c>
      <c r="O77" s="98">
        <v>0</v>
      </c>
      <c r="P77" s="98">
        <v>0</v>
      </c>
      <c r="Q77" s="101">
        <f t="shared" ref="Q77" si="66">O77*P77</f>
        <v>0</v>
      </c>
      <c r="R77" s="98">
        <v>100</v>
      </c>
      <c r="S77" s="98">
        <v>2</v>
      </c>
      <c r="T77" s="101">
        <f t="shared" ref="T77" si="67">R77*S77</f>
        <v>200</v>
      </c>
      <c r="U77" s="183">
        <v>1</v>
      </c>
      <c r="V77" s="99">
        <v>1</v>
      </c>
      <c r="W77" s="98">
        <v>0</v>
      </c>
      <c r="X77" s="98">
        <v>0</v>
      </c>
      <c r="Y77" s="101">
        <f>W77*X77</f>
        <v>0</v>
      </c>
      <c r="Z77" s="101">
        <v>1</v>
      </c>
      <c r="AA77" s="183">
        <v>0</v>
      </c>
      <c r="AB77" s="99">
        <v>1</v>
      </c>
      <c r="AC77" s="98">
        <v>0</v>
      </c>
      <c r="AD77" s="98">
        <v>0</v>
      </c>
      <c r="AE77" s="101">
        <f t="shared" ref="AE77" si="68">AC77*AD77</f>
        <v>0</v>
      </c>
      <c r="AF77" s="98">
        <v>0</v>
      </c>
      <c r="AG77" s="98">
        <v>3</v>
      </c>
      <c r="AH77" s="99">
        <f t="shared" ref="AH77:AH83" si="69">AF77*AG77</f>
        <v>0</v>
      </c>
      <c r="AI77" s="101">
        <v>1</v>
      </c>
      <c r="AJ77" s="106"/>
    </row>
    <row r="78" spans="2:36" s="35" customFormat="1" ht="17.100000000000001" customHeight="1">
      <c r="B78" s="105"/>
      <c r="C78" s="54"/>
      <c r="D78" s="96"/>
      <c r="E78" s="111"/>
      <c r="F78" s="112"/>
      <c r="G78" s="113"/>
      <c r="H78" s="183">
        <v>1</v>
      </c>
      <c r="I78" s="98">
        <v>0</v>
      </c>
      <c r="J78" s="98">
        <v>0</v>
      </c>
      <c r="K78" s="101">
        <f t="shared" ref="K78:K83" si="70">I78*J78</f>
        <v>0</v>
      </c>
      <c r="L78" s="100">
        <v>0</v>
      </c>
      <c r="M78" s="98">
        <v>0</v>
      </c>
      <c r="N78" s="101">
        <f t="shared" ref="N78:N83" si="71">L78*M78</f>
        <v>0</v>
      </c>
      <c r="O78" s="100">
        <v>0</v>
      </c>
      <c r="P78" s="98">
        <v>0</v>
      </c>
      <c r="Q78" s="101">
        <f t="shared" ref="Q78:Q83" si="72">O78*P78</f>
        <v>0</v>
      </c>
      <c r="R78" s="100">
        <v>0</v>
      </c>
      <c r="S78" s="98">
        <v>0</v>
      </c>
      <c r="T78" s="101">
        <f t="shared" ref="T78:T83" si="73">R78*S78</f>
        <v>0</v>
      </c>
      <c r="U78" s="183">
        <v>1</v>
      </c>
      <c r="V78" s="99">
        <v>1</v>
      </c>
      <c r="W78" s="98">
        <v>0</v>
      </c>
      <c r="X78" s="98">
        <v>0</v>
      </c>
      <c r="Y78" s="101">
        <f t="shared" ref="Y78:Y83" si="74">W78*X78</f>
        <v>0</v>
      </c>
      <c r="Z78" s="101">
        <v>1</v>
      </c>
      <c r="AA78" s="183">
        <v>0</v>
      </c>
      <c r="AB78" s="99">
        <v>1</v>
      </c>
      <c r="AC78" s="98">
        <v>0</v>
      </c>
      <c r="AD78" s="98">
        <v>0</v>
      </c>
      <c r="AE78" s="101">
        <f t="shared" ref="AE78:AE83" si="75">AC78*AD78</f>
        <v>0</v>
      </c>
      <c r="AF78" s="100">
        <v>0</v>
      </c>
      <c r="AG78" s="98">
        <v>0</v>
      </c>
      <c r="AH78" s="99">
        <f t="shared" si="69"/>
        <v>0</v>
      </c>
      <c r="AI78" s="101">
        <v>1</v>
      </c>
      <c r="AJ78" s="106"/>
    </row>
    <row r="79" spans="2:36" s="35" customFormat="1" ht="17.100000000000001" customHeight="1">
      <c r="B79" s="105"/>
      <c r="C79" s="54"/>
      <c r="D79" s="96"/>
      <c r="E79" s="111"/>
      <c r="F79" s="112"/>
      <c r="G79" s="113"/>
      <c r="H79" s="183">
        <v>1</v>
      </c>
      <c r="I79" s="98">
        <v>0</v>
      </c>
      <c r="J79" s="98">
        <v>0</v>
      </c>
      <c r="K79" s="101">
        <f t="shared" si="70"/>
        <v>0</v>
      </c>
      <c r="L79" s="100">
        <v>0</v>
      </c>
      <c r="M79" s="98">
        <v>0</v>
      </c>
      <c r="N79" s="101">
        <f t="shared" si="71"/>
        <v>0</v>
      </c>
      <c r="O79" s="100">
        <v>0</v>
      </c>
      <c r="P79" s="98">
        <v>0</v>
      </c>
      <c r="Q79" s="101">
        <f t="shared" si="72"/>
        <v>0</v>
      </c>
      <c r="R79" s="100">
        <v>0</v>
      </c>
      <c r="S79" s="98">
        <v>0</v>
      </c>
      <c r="T79" s="101">
        <f t="shared" si="73"/>
        <v>0</v>
      </c>
      <c r="U79" s="183">
        <v>1</v>
      </c>
      <c r="V79" s="99">
        <v>1</v>
      </c>
      <c r="W79" s="98">
        <v>0</v>
      </c>
      <c r="X79" s="98">
        <v>0</v>
      </c>
      <c r="Y79" s="101">
        <f t="shared" si="74"/>
        <v>0</v>
      </c>
      <c r="Z79" s="101">
        <v>1</v>
      </c>
      <c r="AA79" s="183">
        <v>0</v>
      </c>
      <c r="AB79" s="99">
        <v>1</v>
      </c>
      <c r="AC79" s="98">
        <v>0</v>
      </c>
      <c r="AD79" s="98">
        <v>0</v>
      </c>
      <c r="AE79" s="101">
        <f t="shared" si="75"/>
        <v>0</v>
      </c>
      <c r="AF79" s="100">
        <v>0</v>
      </c>
      <c r="AG79" s="98">
        <v>0</v>
      </c>
      <c r="AH79" s="99">
        <f t="shared" si="69"/>
        <v>0</v>
      </c>
      <c r="AI79" s="101">
        <v>1</v>
      </c>
      <c r="AJ79" s="106"/>
    </row>
    <row r="80" spans="2:36" s="35" customFormat="1" ht="17.100000000000001" customHeight="1">
      <c r="B80" s="105"/>
      <c r="C80" s="54"/>
      <c r="D80" s="96"/>
      <c r="E80" s="111"/>
      <c r="F80" s="112"/>
      <c r="G80" s="113"/>
      <c r="H80" s="183">
        <v>1</v>
      </c>
      <c r="I80" s="98">
        <v>0</v>
      </c>
      <c r="J80" s="98">
        <v>0</v>
      </c>
      <c r="K80" s="101">
        <f t="shared" si="70"/>
        <v>0</v>
      </c>
      <c r="L80" s="100">
        <v>0</v>
      </c>
      <c r="M80" s="98">
        <v>0</v>
      </c>
      <c r="N80" s="101">
        <f t="shared" si="71"/>
        <v>0</v>
      </c>
      <c r="O80" s="100">
        <v>0</v>
      </c>
      <c r="P80" s="98">
        <v>0</v>
      </c>
      <c r="Q80" s="101">
        <f t="shared" si="72"/>
        <v>0</v>
      </c>
      <c r="R80" s="100">
        <v>0</v>
      </c>
      <c r="S80" s="98">
        <v>0</v>
      </c>
      <c r="T80" s="101">
        <f t="shared" si="73"/>
        <v>0</v>
      </c>
      <c r="U80" s="183">
        <v>1</v>
      </c>
      <c r="V80" s="99">
        <v>1</v>
      </c>
      <c r="W80" s="98">
        <v>0</v>
      </c>
      <c r="X80" s="98">
        <v>0</v>
      </c>
      <c r="Y80" s="101">
        <f t="shared" si="74"/>
        <v>0</v>
      </c>
      <c r="Z80" s="101">
        <v>1</v>
      </c>
      <c r="AA80" s="183">
        <v>0</v>
      </c>
      <c r="AB80" s="99">
        <v>1</v>
      </c>
      <c r="AC80" s="98">
        <v>0</v>
      </c>
      <c r="AD80" s="98">
        <v>0</v>
      </c>
      <c r="AE80" s="101">
        <f t="shared" si="75"/>
        <v>0</v>
      </c>
      <c r="AF80" s="100">
        <v>0</v>
      </c>
      <c r="AG80" s="98">
        <v>0</v>
      </c>
      <c r="AH80" s="99">
        <f t="shared" si="69"/>
        <v>0</v>
      </c>
      <c r="AI80" s="101">
        <v>1</v>
      </c>
      <c r="AJ80" s="106"/>
    </row>
    <row r="81" spans="2:36" s="35" customFormat="1" ht="17.100000000000001" customHeight="1">
      <c r="B81" s="105"/>
      <c r="C81" s="54"/>
      <c r="D81" s="96"/>
      <c r="E81" s="111"/>
      <c r="F81" s="112"/>
      <c r="G81" s="113"/>
      <c r="H81" s="183">
        <v>1</v>
      </c>
      <c r="I81" s="98">
        <v>0</v>
      </c>
      <c r="J81" s="98">
        <v>0</v>
      </c>
      <c r="K81" s="101">
        <f t="shared" si="70"/>
        <v>0</v>
      </c>
      <c r="L81" s="100">
        <v>0</v>
      </c>
      <c r="M81" s="98">
        <v>0</v>
      </c>
      <c r="N81" s="101">
        <f t="shared" si="71"/>
        <v>0</v>
      </c>
      <c r="O81" s="100">
        <v>0</v>
      </c>
      <c r="P81" s="98">
        <v>0</v>
      </c>
      <c r="Q81" s="101">
        <f t="shared" si="72"/>
        <v>0</v>
      </c>
      <c r="R81" s="100">
        <v>0</v>
      </c>
      <c r="S81" s="98">
        <v>0</v>
      </c>
      <c r="T81" s="101">
        <f t="shared" si="73"/>
        <v>0</v>
      </c>
      <c r="U81" s="183">
        <v>1</v>
      </c>
      <c r="V81" s="99">
        <v>1</v>
      </c>
      <c r="W81" s="98">
        <v>0</v>
      </c>
      <c r="X81" s="98">
        <v>0</v>
      </c>
      <c r="Y81" s="101">
        <f t="shared" si="74"/>
        <v>0</v>
      </c>
      <c r="Z81" s="101">
        <v>1</v>
      </c>
      <c r="AA81" s="183">
        <v>0</v>
      </c>
      <c r="AB81" s="99">
        <v>1</v>
      </c>
      <c r="AC81" s="98">
        <v>0</v>
      </c>
      <c r="AD81" s="98">
        <v>0</v>
      </c>
      <c r="AE81" s="101">
        <f t="shared" si="75"/>
        <v>0</v>
      </c>
      <c r="AF81" s="100">
        <v>0</v>
      </c>
      <c r="AG81" s="98">
        <v>0</v>
      </c>
      <c r="AH81" s="99">
        <f t="shared" si="69"/>
        <v>0</v>
      </c>
      <c r="AI81" s="101">
        <v>1</v>
      </c>
      <c r="AJ81" s="106"/>
    </row>
    <row r="82" spans="2:36" s="35" customFormat="1" ht="17.100000000000001" customHeight="1">
      <c r="B82" s="105"/>
      <c r="C82" s="54"/>
      <c r="D82" s="96"/>
      <c r="E82" s="111"/>
      <c r="F82" s="112"/>
      <c r="G82" s="113"/>
      <c r="H82" s="183">
        <v>1</v>
      </c>
      <c r="I82" s="98">
        <v>0</v>
      </c>
      <c r="J82" s="98">
        <v>0</v>
      </c>
      <c r="K82" s="101">
        <f t="shared" si="70"/>
        <v>0</v>
      </c>
      <c r="L82" s="100">
        <v>0</v>
      </c>
      <c r="M82" s="98">
        <v>0</v>
      </c>
      <c r="N82" s="101">
        <f t="shared" si="71"/>
        <v>0</v>
      </c>
      <c r="O82" s="100">
        <v>0</v>
      </c>
      <c r="P82" s="98">
        <v>0</v>
      </c>
      <c r="Q82" s="101">
        <f t="shared" si="72"/>
        <v>0</v>
      </c>
      <c r="R82" s="100">
        <v>0</v>
      </c>
      <c r="S82" s="98">
        <v>0</v>
      </c>
      <c r="T82" s="101">
        <f t="shared" si="73"/>
        <v>0</v>
      </c>
      <c r="U82" s="183">
        <v>1</v>
      </c>
      <c r="V82" s="99">
        <v>1</v>
      </c>
      <c r="W82" s="98">
        <v>0</v>
      </c>
      <c r="X82" s="98">
        <v>0</v>
      </c>
      <c r="Y82" s="101">
        <f t="shared" si="74"/>
        <v>0</v>
      </c>
      <c r="Z82" s="101">
        <v>1</v>
      </c>
      <c r="AA82" s="183">
        <v>0</v>
      </c>
      <c r="AB82" s="99">
        <v>1</v>
      </c>
      <c r="AC82" s="98">
        <v>0</v>
      </c>
      <c r="AD82" s="98">
        <v>0</v>
      </c>
      <c r="AE82" s="101">
        <f t="shared" si="75"/>
        <v>0</v>
      </c>
      <c r="AF82" s="100">
        <v>0</v>
      </c>
      <c r="AG82" s="98">
        <v>0</v>
      </c>
      <c r="AH82" s="99">
        <f t="shared" si="69"/>
        <v>0</v>
      </c>
      <c r="AI82" s="101">
        <v>1</v>
      </c>
      <c r="AJ82" s="106"/>
    </row>
    <row r="83" spans="2:36" s="35" customFormat="1" ht="17.100000000000001" customHeight="1">
      <c r="B83" s="105"/>
      <c r="C83" s="54"/>
      <c r="D83" s="96"/>
      <c r="E83" s="111"/>
      <c r="F83" s="112"/>
      <c r="G83" s="113"/>
      <c r="H83" s="183">
        <v>1</v>
      </c>
      <c r="I83" s="98">
        <v>0</v>
      </c>
      <c r="J83" s="98">
        <v>0</v>
      </c>
      <c r="K83" s="101">
        <f t="shared" si="70"/>
        <v>0</v>
      </c>
      <c r="L83" s="100">
        <v>0</v>
      </c>
      <c r="M83" s="98">
        <v>0</v>
      </c>
      <c r="N83" s="101">
        <f t="shared" si="71"/>
        <v>0</v>
      </c>
      <c r="O83" s="100">
        <v>0</v>
      </c>
      <c r="P83" s="98">
        <v>0</v>
      </c>
      <c r="Q83" s="101">
        <f t="shared" si="72"/>
        <v>0</v>
      </c>
      <c r="R83" s="100">
        <v>0</v>
      </c>
      <c r="S83" s="98">
        <v>0</v>
      </c>
      <c r="T83" s="101">
        <f t="shared" si="73"/>
        <v>0</v>
      </c>
      <c r="U83" s="183">
        <v>1</v>
      </c>
      <c r="V83" s="99">
        <v>1</v>
      </c>
      <c r="W83" s="98">
        <v>0</v>
      </c>
      <c r="X83" s="98">
        <v>0</v>
      </c>
      <c r="Y83" s="101">
        <f t="shared" si="74"/>
        <v>0</v>
      </c>
      <c r="Z83" s="101">
        <v>1</v>
      </c>
      <c r="AA83" s="183">
        <v>0</v>
      </c>
      <c r="AB83" s="99">
        <v>1</v>
      </c>
      <c r="AC83" s="98">
        <v>0</v>
      </c>
      <c r="AD83" s="98">
        <v>0</v>
      </c>
      <c r="AE83" s="101">
        <f t="shared" si="75"/>
        <v>0</v>
      </c>
      <c r="AF83" s="100">
        <v>0</v>
      </c>
      <c r="AG83" s="98">
        <v>0</v>
      </c>
      <c r="AH83" s="99">
        <f t="shared" si="69"/>
        <v>0</v>
      </c>
      <c r="AI83" s="101">
        <v>1</v>
      </c>
      <c r="AJ83" s="106"/>
    </row>
    <row r="84" spans="2:36" s="126" customFormat="1" ht="17.100000000000001" customHeight="1">
      <c r="B84" s="118"/>
      <c r="C84" s="119"/>
      <c r="D84" s="120"/>
      <c r="E84" s="121"/>
      <c r="F84" s="122"/>
      <c r="G84" s="123"/>
      <c r="H84" s="183">
        <v>1</v>
      </c>
      <c r="I84" s="363" t="s">
        <v>201</v>
      </c>
      <c r="J84" s="363"/>
      <c r="K84" s="124">
        <f>SUM(K77:K83)</f>
        <v>0</v>
      </c>
      <c r="L84" s="341" t="s">
        <v>201</v>
      </c>
      <c r="M84" s="342"/>
      <c r="N84" s="124">
        <f>SUM(N77:N83)</f>
        <v>0</v>
      </c>
      <c r="O84" s="341" t="s">
        <v>201</v>
      </c>
      <c r="P84" s="342"/>
      <c r="Q84" s="124">
        <f>SUM(Q77:Q83)</f>
        <v>0</v>
      </c>
      <c r="R84" s="341" t="s">
        <v>201</v>
      </c>
      <c r="S84" s="342"/>
      <c r="T84" s="124">
        <f>SUM(T77:T83)</f>
        <v>200</v>
      </c>
      <c r="U84" s="183">
        <v>1</v>
      </c>
      <c r="V84" s="99">
        <v>1</v>
      </c>
      <c r="W84" s="363" t="s">
        <v>201</v>
      </c>
      <c r="X84" s="363"/>
      <c r="Y84" s="124">
        <f>SUM(Y77:Y83)</f>
        <v>0</v>
      </c>
      <c r="Z84" s="101">
        <v>1</v>
      </c>
      <c r="AA84" s="183">
        <v>0</v>
      </c>
      <c r="AB84" s="99">
        <v>1</v>
      </c>
      <c r="AC84" s="363" t="s">
        <v>201</v>
      </c>
      <c r="AD84" s="363"/>
      <c r="AE84" s="124">
        <f>SUM(AE77:AE83)</f>
        <v>0</v>
      </c>
      <c r="AF84" s="364" t="s">
        <v>201</v>
      </c>
      <c r="AG84" s="363"/>
      <c r="AH84" s="143">
        <f>SUM(AH77:AH83)</f>
        <v>0</v>
      </c>
      <c r="AI84" s="101">
        <v>1</v>
      </c>
      <c r="AJ84" s="125"/>
    </row>
    <row r="85" spans="2:36" s="35" customFormat="1" ht="16.95" customHeight="1">
      <c r="B85" s="105"/>
      <c r="C85" s="54">
        <f>'3. Rekap Back Up Non Aspal '!C29</f>
        <v>1800</v>
      </c>
      <c r="D85" s="96">
        <f>'3. Rekap Back Up Non Aspal '!D29</f>
        <v>1900</v>
      </c>
      <c r="E85" s="111">
        <f>'3. Rekap Back Up Non Aspal '!E29</f>
        <v>3</v>
      </c>
      <c r="F85" s="112">
        <f>(100/((D85-C85)*E85))*((K92*0.05)+(N92*0.05)+(Q92*0.05)+(T92)+(Y92)+(AE92*1.5)+(AH92*1))</f>
        <v>66.666666666666657</v>
      </c>
      <c r="G85" s="113" t="str">
        <f>IF(F85&lt;=25,"RB",IF(F85&lt;=75,"RB",IF(F85&lt;=100,"RB","RB")))</f>
        <v>RB</v>
      </c>
      <c r="H85" s="183">
        <v>1</v>
      </c>
      <c r="I85" s="98">
        <v>0</v>
      </c>
      <c r="J85" s="98">
        <v>0</v>
      </c>
      <c r="K85" s="101">
        <f t="shared" ref="K85" si="76">I85*J85</f>
        <v>0</v>
      </c>
      <c r="L85" s="98">
        <v>0</v>
      </c>
      <c r="M85" s="98">
        <v>0</v>
      </c>
      <c r="N85" s="101">
        <f t="shared" ref="N85" si="77">L85*M85</f>
        <v>0</v>
      </c>
      <c r="O85" s="98">
        <v>0</v>
      </c>
      <c r="P85" s="98">
        <v>0</v>
      </c>
      <c r="Q85" s="101">
        <f t="shared" ref="Q85" si="78">O85*P85</f>
        <v>0</v>
      </c>
      <c r="R85" s="98">
        <v>100</v>
      </c>
      <c r="S85" s="98">
        <v>2</v>
      </c>
      <c r="T85" s="101">
        <f t="shared" ref="T85" si="79">R85*S85</f>
        <v>200</v>
      </c>
      <c r="U85" s="183">
        <v>1</v>
      </c>
      <c r="V85" s="99">
        <v>1</v>
      </c>
      <c r="W85" s="98">
        <v>0</v>
      </c>
      <c r="X85" s="98">
        <v>0</v>
      </c>
      <c r="Y85" s="101">
        <f>W85*X85</f>
        <v>0</v>
      </c>
      <c r="Z85" s="101">
        <v>1</v>
      </c>
      <c r="AA85" s="183">
        <v>0</v>
      </c>
      <c r="AB85" s="99">
        <v>1</v>
      </c>
      <c r="AC85" s="98">
        <v>0</v>
      </c>
      <c r="AD85" s="98">
        <v>0</v>
      </c>
      <c r="AE85" s="101">
        <f t="shared" ref="AE85" si="80">AC85*AD85</f>
        <v>0</v>
      </c>
      <c r="AF85" s="98">
        <v>0</v>
      </c>
      <c r="AG85" s="98">
        <v>3</v>
      </c>
      <c r="AH85" s="99">
        <f t="shared" ref="AH85:AH91" si="81">AF85*AG85</f>
        <v>0</v>
      </c>
      <c r="AI85" s="101">
        <v>1</v>
      </c>
      <c r="AJ85" s="106"/>
    </row>
    <row r="86" spans="2:36" s="35" customFormat="1" ht="17.100000000000001" customHeight="1">
      <c r="B86" s="105"/>
      <c r="C86" s="54"/>
      <c r="D86" s="96"/>
      <c r="E86" s="111"/>
      <c r="F86" s="112"/>
      <c r="G86" s="113"/>
      <c r="H86" s="183">
        <v>1</v>
      </c>
      <c r="I86" s="98">
        <v>0</v>
      </c>
      <c r="J86" s="98">
        <v>0</v>
      </c>
      <c r="K86" s="101">
        <f t="shared" ref="K86:K91" si="82">I86*J86</f>
        <v>0</v>
      </c>
      <c r="L86" s="100">
        <v>0</v>
      </c>
      <c r="M86" s="98">
        <v>0</v>
      </c>
      <c r="N86" s="101">
        <f t="shared" ref="N86:N91" si="83">L86*M86</f>
        <v>0</v>
      </c>
      <c r="O86" s="100">
        <v>0</v>
      </c>
      <c r="P86" s="98">
        <v>0</v>
      </c>
      <c r="Q86" s="101">
        <f t="shared" ref="Q86:Q91" si="84">O86*P86</f>
        <v>0</v>
      </c>
      <c r="R86" s="100">
        <v>0</v>
      </c>
      <c r="S86" s="98">
        <v>0</v>
      </c>
      <c r="T86" s="101">
        <f t="shared" ref="T86:T91" si="85">R86*S86</f>
        <v>0</v>
      </c>
      <c r="U86" s="183">
        <v>1</v>
      </c>
      <c r="V86" s="99">
        <v>1</v>
      </c>
      <c r="W86" s="98">
        <v>0</v>
      </c>
      <c r="X86" s="98">
        <v>0</v>
      </c>
      <c r="Y86" s="101">
        <f t="shared" ref="Y86:Y91" si="86">W86*X86</f>
        <v>0</v>
      </c>
      <c r="Z86" s="101">
        <v>1</v>
      </c>
      <c r="AA86" s="183">
        <v>0</v>
      </c>
      <c r="AB86" s="99">
        <v>1</v>
      </c>
      <c r="AC86" s="98">
        <v>0</v>
      </c>
      <c r="AD86" s="98">
        <v>0</v>
      </c>
      <c r="AE86" s="101">
        <f t="shared" ref="AE86:AE91" si="87">AC86*AD86</f>
        <v>0</v>
      </c>
      <c r="AF86" s="100">
        <v>0</v>
      </c>
      <c r="AG86" s="98">
        <v>0</v>
      </c>
      <c r="AH86" s="99">
        <f t="shared" si="81"/>
        <v>0</v>
      </c>
      <c r="AI86" s="101">
        <v>1</v>
      </c>
      <c r="AJ86" s="106"/>
    </row>
    <row r="87" spans="2:36" s="35" customFormat="1" ht="17.100000000000001" customHeight="1">
      <c r="B87" s="105"/>
      <c r="C87" s="54"/>
      <c r="D87" s="96"/>
      <c r="E87" s="111"/>
      <c r="F87" s="112"/>
      <c r="G87" s="113"/>
      <c r="H87" s="183">
        <v>1</v>
      </c>
      <c r="I87" s="98">
        <v>0</v>
      </c>
      <c r="J87" s="98">
        <v>0</v>
      </c>
      <c r="K87" s="101">
        <f t="shared" si="82"/>
        <v>0</v>
      </c>
      <c r="L87" s="100">
        <v>0</v>
      </c>
      <c r="M87" s="98">
        <v>0</v>
      </c>
      <c r="N87" s="101">
        <f t="shared" si="83"/>
        <v>0</v>
      </c>
      <c r="O87" s="100">
        <v>0</v>
      </c>
      <c r="P87" s="98">
        <v>0</v>
      </c>
      <c r="Q87" s="101">
        <f t="shared" si="84"/>
        <v>0</v>
      </c>
      <c r="R87" s="100">
        <v>0</v>
      </c>
      <c r="S87" s="98">
        <v>0</v>
      </c>
      <c r="T87" s="101">
        <f t="shared" si="85"/>
        <v>0</v>
      </c>
      <c r="U87" s="183">
        <v>1</v>
      </c>
      <c r="V87" s="99">
        <v>1</v>
      </c>
      <c r="W87" s="98">
        <v>0</v>
      </c>
      <c r="X87" s="98">
        <v>0</v>
      </c>
      <c r="Y87" s="101">
        <f t="shared" si="86"/>
        <v>0</v>
      </c>
      <c r="Z87" s="101">
        <v>1</v>
      </c>
      <c r="AA87" s="183">
        <v>0</v>
      </c>
      <c r="AB87" s="99">
        <v>1</v>
      </c>
      <c r="AC87" s="98">
        <v>0</v>
      </c>
      <c r="AD87" s="98">
        <v>0</v>
      </c>
      <c r="AE87" s="101">
        <f t="shared" si="87"/>
        <v>0</v>
      </c>
      <c r="AF87" s="100">
        <v>0</v>
      </c>
      <c r="AG87" s="98">
        <v>0</v>
      </c>
      <c r="AH87" s="99">
        <f t="shared" si="81"/>
        <v>0</v>
      </c>
      <c r="AI87" s="101">
        <v>1</v>
      </c>
      <c r="AJ87" s="106"/>
    </row>
    <row r="88" spans="2:36" s="35" customFormat="1" ht="17.100000000000001" customHeight="1">
      <c r="B88" s="105"/>
      <c r="C88" s="54"/>
      <c r="D88" s="96"/>
      <c r="E88" s="111"/>
      <c r="F88" s="112"/>
      <c r="G88" s="113"/>
      <c r="H88" s="183">
        <v>1</v>
      </c>
      <c r="I88" s="98">
        <v>0</v>
      </c>
      <c r="J88" s="98">
        <v>0</v>
      </c>
      <c r="K88" s="101">
        <f t="shared" si="82"/>
        <v>0</v>
      </c>
      <c r="L88" s="100">
        <v>0</v>
      </c>
      <c r="M88" s="98">
        <v>0</v>
      </c>
      <c r="N88" s="101">
        <f t="shared" si="83"/>
        <v>0</v>
      </c>
      <c r="O88" s="100">
        <v>0</v>
      </c>
      <c r="P88" s="98">
        <v>0</v>
      </c>
      <c r="Q88" s="101">
        <f t="shared" si="84"/>
        <v>0</v>
      </c>
      <c r="R88" s="100">
        <v>0</v>
      </c>
      <c r="S88" s="98">
        <v>0</v>
      </c>
      <c r="T88" s="101">
        <f t="shared" si="85"/>
        <v>0</v>
      </c>
      <c r="U88" s="183">
        <v>1</v>
      </c>
      <c r="V88" s="99">
        <v>1</v>
      </c>
      <c r="W88" s="98">
        <v>0</v>
      </c>
      <c r="X88" s="98">
        <v>0</v>
      </c>
      <c r="Y88" s="101">
        <f t="shared" si="86"/>
        <v>0</v>
      </c>
      <c r="Z88" s="101">
        <v>1</v>
      </c>
      <c r="AA88" s="183">
        <v>0</v>
      </c>
      <c r="AB88" s="99">
        <v>1</v>
      </c>
      <c r="AC88" s="98">
        <v>0</v>
      </c>
      <c r="AD88" s="98">
        <v>0</v>
      </c>
      <c r="AE88" s="101">
        <f t="shared" si="87"/>
        <v>0</v>
      </c>
      <c r="AF88" s="100">
        <v>0</v>
      </c>
      <c r="AG88" s="98">
        <v>0</v>
      </c>
      <c r="AH88" s="99">
        <f t="shared" si="81"/>
        <v>0</v>
      </c>
      <c r="AI88" s="101">
        <v>1</v>
      </c>
      <c r="AJ88" s="106"/>
    </row>
    <row r="89" spans="2:36" s="35" customFormat="1" ht="17.100000000000001" customHeight="1">
      <c r="B89" s="105"/>
      <c r="C89" s="54"/>
      <c r="D89" s="96"/>
      <c r="E89" s="111"/>
      <c r="F89" s="112"/>
      <c r="G89" s="113"/>
      <c r="H89" s="183">
        <v>1</v>
      </c>
      <c r="I89" s="98">
        <v>0</v>
      </c>
      <c r="J89" s="98">
        <v>0</v>
      </c>
      <c r="K89" s="101">
        <f t="shared" si="82"/>
        <v>0</v>
      </c>
      <c r="L89" s="100">
        <v>0</v>
      </c>
      <c r="M89" s="98">
        <v>0</v>
      </c>
      <c r="N89" s="101">
        <f t="shared" si="83"/>
        <v>0</v>
      </c>
      <c r="O89" s="100">
        <v>0</v>
      </c>
      <c r="P89" s="98">
        <v>0</v>
      </c>
      <c r="Q89" s="101">
        <f t="shared" si="84"/>
        <v>0</v>
      </c>
      <c r="R89" s="100">
        <v>0</v>
      </c>
      <c r="S89" s="98">
        <v>0</v>
      </c>
      <c r="T89" s="101">
        <f t="shared" si="85"/>
        <v>0</v>
      </c>
      <c r="U89" s="183">
        <v>1</v>
      </c>
      <c r="V89" s="99">
        <v>1</v>
      </c>
      <c r="W89" s="98">
        <v>0</v>
      </c>
      <c r="X89" s="98">
        <v>0</v>
      </c>
      <c r="Y89" s="101">
        <f t="shared" si="86"/>
        <v>0</v>
      </c>
      <c r="Z89" s="101">
        <v>1</v>
      </c>
      <c r="AA89" s="183">
        <v>0</v>
      </c>
      <c r="AB89" s="99">
        <v>1</v>
      </c>
      <c r="AC89" s="98">
        <v>0</v>
      </c>
      <c r="AD89" s="98">
        <v>0</v>
      </c>
      <c r="AE89" s="101">
        <f t="shared" si="87"/>
        <v>0</v>
      </c>
      <c r="AF89" s="100">
        <v>0</v>
      </c>
      <c r="AG89" s="98">
        <v>0</v>
      </c>
      <c r="AH89" s="99">
        <f t="shared" si="81"/>
        <v>0</v>
      </c>
      <c r="AI89" s="101">
        <v>1</v>
      </c>
      <c r="AJ89" s="106"/>
    </row>
    <row r="90" spans="2:36" s="35" customFormat="1" ht="17.100000000000001" customHeight="1">
      <c r="B90" s="105"/>
      <c r="C90" s="54"/>
      <c r="D90" s="96"/>
      <c r="E90" s="111"/>
      <c r="F90" s="112"/>
      <c r="G90" s="113"/>
      <c r="H90" s="183">
        <v>1</v>
      </c>
      <c r="I90" s="98">
        <v>0</v>
      </c>
      <c r="J90" s="98">
        <v>0</v>
      </c>
      <c r="K90" s="101">
        <f t="shared" si="82"/>
        <v>0</v>
      </c>
      <c r="L90" s="100">
        <v>0</v>
      </c>
      <c r="M90" s="98">
        <v>0</v>
      </c>
      <c r="N90" s="101">
        <f t="shared" si="83"/>
        <v>0</v>
      </c>
      <c r="O90" s="100">
        <v>0</v>
      </c>
      <c r="P90" s="98">
        <v>0</v>
      </c>
      <c r="Q90" s="101">
        <f t="shared" si="84"/>
        <v>0</v>
      </c>
      <c r="R90" s="100">
        <v>0</v>
      </c>
      <c r="S90" s="98">
        <v>0</v>
      </c>
      <c r="T90" s="101">
        <f t="shared" si="85"/>
        <v>0</v>
      </c>
      <c r="U90" s="183">
        <v>1</v>
      </c>
      <c r="V90" s="99">
        <v>1</v>
      </c>
      <c r="W90" s="98">
        <v>0</v>
      </c>
      <c r="X90" s="98">
        <v>0</v>
      </c>
      <c r="Y90" s="101">
        <f t="shared" si="86"/>
        <v>0</v>
      </c>
      <c r="Z90" s="101">
        <v>1</v>
      </c>
      <c r="AA90" s="183">
        <v>0</v>
      </c>
      <c r="AB90" s="99">
        <v>1</v>
      </c>
      <c r="AC90" s="98">
        <v>0</v>
      </c>
      <c r="AD90" s="98">
        <v>0</v>
      </c>
      <c r="AE90" s="101">
        <f t="shared" si="87"/>
        <v>0</v>
      </c>
      <c r="AF90" s="100">
        <v>0</v>
      </c>
      <c r="AG90" s="98">
        <v>0</v>
      </c>
      <c r="AH90" s="99">
        <f t="shared" si="81"/>
        <v>0</v>
      </c>
      <c r="AI90" s="101">
        <v>1</v>
      </c>
      <c r="AJ90" s="106"/>
    </row>
    <row r="91" spans="2:36" s="35" customFormat="1" ht="17.100000000000001" customHeight="1">
      <c r="B91" s="105"/>
      <c r="C91" s="54"/>
      <c r="D91" s="96"/>
      <c r="E91" s="111"/>
      <c r="F91" s="112"/>
      <c r="G91" s="113"/>
      <c r="H91" s="183">
        <v>1</v>
      </c>
      <c r="I91" s="98">
        <v>0</v>
      </c>
      <c r="J91" s="98">
        <v>0</v>
      </c>
      <c r="K91" s="101">
        <f t="shared" si="82"/>
        <v>0</v>
      </c>
      <c r="L91" s="100">
        <v>0</v>
      </c>
      <c r="M91" s="98">
        <v>0</v>
      </c>
      <c r="N91" s="101">
        <f t="shared" si="83"/>
        <v>0</v>
      </c>
      <c r="O91" s="100">
        <v>0</v>
      </c>
      <c r="P91" s="98">
        <v>0</v>
      </c>
      <c r="Q91" s="101">
        <f t="shared" si="84"/>
        <v>0</v>
      </c>
      <c r="R91" s="100">
        <v>0</v>
      </c>
      <c r="S91" s="98">
        <v>0</v>
      </c>
      <c r="T91" s="101">
        <f t="shared" si="85"/>
        <v>0</v>
      </c>
      <c r="U91" s="183">
        <v>1</v>
      </c>
      <c r="V91" s="99">
        <v>1</v>
      </c>
      <c r="W91" s="98">
        <v>0</v>
      </c>
      <c r="X91" s="98">
        <v>0</v>
      </c>
      <c r="Y91" s="101">
        <f t="shared" si="86"/>
        <v>0</v>
      </c>
      <c r="Z91" s="101">
        <v>1</v>
      </c>
      <c r="AA91" s="183">
        <v>0</v>
      </c>
      <c r="AB91" s="99">
        <v>1</v>
      </c>
      <c r="AC91" s="98">
        <v>0</v>
      </c>
      <c r="AD91" s="98">
        <v>0</v>
      </c>
      <c r="AE91" s="101">
        <f t="shared" si="87"/>
        <v>0</v>
      </c>
      <c r="AF91" s="100">
        <v>0</v>
      </c>
      <c r="AG91" s="98">
        <v>0</v>
      </c>
      <c r="AH91" s="99">
        <f t="shared" si="81"/>
        <v>0</v>
      </c>
      <c r="AI91" s="101">
        <v>1</v>
      </c>
      <c r="AJ91" s="106"/>
    </row>
    <row r="92" spans="2:36" s="126" customFormat="1" ht="17.100000000000001" customHeight="1">
      <c r="B92" s="118"/>
      <c r="C92" s="119"/>
      <c r="D92" s="120"/>
      <c r="E92" s="121"/>
      <c r="F92" s="122"/>
      <c r="G92" s="123"/>
      <c r="H92" s="183">
        <v>1</v>
      </c>
      <c r="I92" s="363" t="s">
        <v>201</v>
      </c>
      <c r="J92" s="363"/>
      <c r="K92" s="124">
        <f>SUM(K85:K91)</f>
        <v>0</v>
      </c>
      <c r="L92" s="341" t="s">
        <v>201</v>
      </c>
      <c r="M92" s="342"/>
      <c r="N92" s="124">
        <f>SUM(N85:N91)</f>
        <v>0</v>
      </c>
      <c r="O92" s="341" t="s">
        <v>201</v>
      </c>
      <c r="P92" s="342"/>
      <c r="Q92" s="124">
        <f>SUM(Q85:Q91)</f>
        <v>0</v>
      </c>
      <c r="R92" s="341" t="s">
        <v>201</v>
      </c>
      <c r="S92" s="342"/>
      <c r="T92" s="124">
        <f>SUM(T85:T91)</f>
        <v>200</v>
      </c>
      <c r="U92" s="183">
        <v>1</v>
      </c>
      <c r="V92" s="99">
        <v>1</v>
      </c>
      <c r="W92" s="363" t="s">
        <v>201</v>
      </c>
      <c r="X92" s="363"/>
      <c r="Y92" s="124">
        <f>SUM(Y85:Y91)</f>
        <v>0</v>
      </c>
      <c r="Z92" s="101">
        <v>1</v>
      </c>
      <c r="AA92" s="183">
        <v>0</v>
      </c>
      <c r="AB92" s="99">
        <v>1</v>
      </c>
      <c r="AC92" s="363" t="s">
        <v>201</v>
      </c>
      <c r="AD92" s="363"/>
      <c r="AE92" s="124">
        <f>SUM(AE85:AE91)</f>
        <v>0</v>
      </c>
      <c r="AF92" s="364" t="s">
        <v>201</v>
      </c>
      <c r="AG92" s="363"/>
      <c r="AH92" s="143">
        <f>SUM(AH85:AH91)</f>
        <v>0</v>
      </c>
      <c r="AI92" s="101">
        <v>1</v>
      </c>
      <c r="AJ92" s="125"/>
    </row>
    <row r="93" spans="2:36" s="35" customFormat="1" ht="16.95" customHeight="1">
      <c r="B93" s="105"/>
      <c r="C93" s="54">
        <f>'3. Rekap Back Up Non Aspal '!C30</f>
        <v>1900</v>
      </c>
      <c r="D93" s="96">
        <f>'3. Rekap Back Up Non Aspal '!D30</f>
        <v>2000</v>
      </c>
      <c r="E93" s="111">
        <f>'3. Rekap Back Up Non Aspal '!E30</f>
        <v>3</v>
      </c>
      <c r="F93" s="112">
        <f>(100/((D93-C93)*E93))*((K100*0.05)+(N100*0.05)+(Q100*0.05)+(T100)+(Y100)+(AE100*1.5)+(AH100*1))</f>
        <v>82.666666666666657</v>
      </c>
      <c r="G93" s="113" t="str">
        <f>IF(F93&lt;=25,"RB",IF(F93&lt;=75,"RB",IF(F93&lt;=100,"RB","RB")))</f>
        <v>RB</v>
      </c>
      <c r="H93" s="183">
        <v>1</v>
      </c>
      <c r="I93" s="98">
        <v>0</v>
      </c>
      <c r="J93" s="98">
        <v>0</v>
      </c>
      <c r="K93" s="101">
        <f t="shared" ref="K93" si="88">I93*J93</f>
        <v>0</v>
      </c>
      <c r="L93" s="98">
        <v>0</v>
      </c>
      <c r="M93" s="98">
        <v>0</v>
      </c>
      <c r="N93" s="101">
        <f t="shared" ref="N93" si="89">L93*M93</f>
        <v>0</v>
      </c>
      <c r="O93" s="98">
        <v>0</v>
      </c>
      <c r="P93" s="98">
        <v>0</v>
      </c>
      <c r="Q93" s="101">
        <f t="shared" ref="Q93" si="90">O93*P93</f>
        <v>0</v>
      </c>
      <c r="R93" s="98">
        <v>10</v>
      </c>
      <c r="S93" s="98">
        <v>2</v>
      </c>
      <c r="T93" s="101">
        <f t="shared" ref="T93" si="91">R93*S93</f>
        <v>20</v>
      </c>
      <c r="U93" s="183">
        <v>2</v>
      </c>
      <c r="V93" s="99">
        <v>2</v>
      </c>
      <c r="W93" s="98">
        <v>100</v>
      </c>
      <c r="X93" s="98">
        <v>2</v>
      </c>
      <c r="Y93" s="101">
        <f>W93*X93</f>
        <v>200</v>
      </c>
      <c r="Z93" s="101">
        <v>1</v>
      </c>
      <c r="AA93" s="183">
        <v>0</v>
      </c>
      <c r="AB93" s="99">
        <v>1</v>
      </c>
      <c r="AC93" s="98">
        <v>0</v>
      </c>
      <c r="AD93" s="98">
        <v>0</v>
      </c>
      <c r="AE93" s="101">
        <f t="shared" ref="AE93" si="92">AC93*AD93</f>
        <v>0</v>
      </c>
      <c r="AF93" s="98">
        <v>0</v>
      </c>
      <c r="AG93" s="98">
        <v>3</v>
      </c>
      <c r="AH93" s="99">
        <f t="shared" ref="AH93:AH99" si="93">AF93*AG93</f>
        <v>0</v>
      </c>
      <c r="AI93" s="101">
        <v>1</v>
      </c>
      <c r="AJ93" s="106"/>
    </row>
    <row r="94" spans="2:36" s="35" customFormat="1" ht="17.100000000000001" customHeight="1">
      <c r="B94" s="105"/>
      <c r="C94" s="54"/>
      <c r="D94" s="96"/>
      <c r="E94" s="111"/>
      <c r="F94" s="112"/>
      <c r="G94" s="113"/>
      <c r="H94" s="183">
        <v>1</v>
      </c>
      <c r="I94" s="98">
        <v>0</v>
      </c>
      <c r="J94" s="98">
        <v>0</v>
      </c>
      <c r="K94" s="101">
        <f t="shared" ref="K94:K99" si="94">I94*J94</f>
        <v>0</v>
      </c>
      <c r="L94" s="100">
        <v>0</v>
      </c>
      <c r="M94" s="98">
        <v>0</v>
      </c>
      <c r="N94" s="101">
        <f t="shared" ref="N94:N99" si="95">L94*M94</f>
        <v>0</v>
      </c>
      <c r="O94" s="100">
        <v>0</v>
      </c>
      <c r="P94" s="98">
        <v>0</v>
      </c>
      <c r="Q94" s="101">
        <f t="shared" ref="Q94:Q99" si="96">O94*P94</f>
        <v>0</v>
      </c>
      <c r="R94" s="100">
        <v>4</v>
      </c>
      <c r="S94" s="98">
        <v>2</v>
      </c>
      <c r="T94" s="101">
        <f t="shared" ref="T94:T99" si="97">R94*S94</f>
        <v>8</v>
      </c>
      <c r="U94" s="183">
        <v>1</v>
      </c>
      <c r="V94" s="99">
        <v>1</v>
      </c>
      <c r="W94" s="98">
        <v>0</v>
      </c>
      <c r="X94" s="98">
        <v>0</v>
      </c>
      <c r="Y94" s="101">
        <f t="shared" ref="Y94:Y99" si="98">W94*X94</f>
        <v>0</v>
      </c>
      <c r="Z94" s="101">
        <v>1</v>
      </c>
      <c r="AA94" s="183">
        <v>0</v>
      </c>
      <c r="AB94" s="99">
        <v>1</v>
      </c>
      <c r="AC94" s="98">
        <v>0</v>
      </c>
      <c r="AD94" s="98">
        <v>0</v>
      </c>
      <c r="AE94" s="101">
        <f t="shared" ref="AE94:AE99" si="99">AC94*AD94</f>
        <v>0</v>
      </c>
      <c r="AF94" s="100">
        <v>0</v>
      </c>
      <c r="AG94" s="98">
        <v>0</v>
      </c>
      <c r="AH94" s="99">
        <f t="shared" si="93"/>
        <v>0</v>
      </c>
      <c r="AI94" s="101">
        <v>1</v>
      </c>
      <c r="AJ94" s="106"/>
    </row>
    <row r="95" spans="2:36" s="35" customFormat="1" ht="17.100000000000001" customHeight="1">
      <c r="B95" s="105"/>
      <c r="C95" s="54"/>
      <c r="D95" s="96"/>
      <c r="E95" s="111"/>
      <c r="F95" s="112"/>
      <c r="G95" s="113"/>
      <c r="H95" s="183">
        <v>1</v>
      </c>
      <c r="I95" s="98">
        <v>0</v>
      </c>
      <c r="J95" s="98">
        <v>0</v>
      </c>
      <c r="K95" s="101">
        <f t="shared" si="94"/>
        <v>0</v>
      </c>
      <c r="L95" s="100">
        <v>0</v>
      </c>
      <c r="M95" s="98">
        <v>0</v>
      </c>
      <c r="N95" s="101">
        <f t="shared" si="95"/>
        <v>0</v>
      </c>
      <c r="O95" s="100">
        <v>0</v>
      </c>
      <c r="P95" s="98">
        <v>0</v>
      </c>
      <c r="Q95" s="101">
        <f t="shared" si="96"/>
        <v>0</v>
      </c>
      <c r="R95" s="100">
        <v>10</v>
      </c>
      <c r="S95" s="98">
        <v>2</v>
      </c>
      <c r="T95" s="101">
        <f t="shared" si="97"/>
        <v>20</v>
      </c>
      <c r="U95" s="183">
        <v>1</v>
      </c>
      <c r="V95" s="99">
        <v>1</v>
      </c>
      <c r="W95" s="98">
        <v>0</v>
      </c>
      <c r="X95" s="98">
        <v>0</v>
      </c>
      <c r="Y95" s="101">
        <f t="shared" si="98"/>
        <v>0</v>
      </c>
      <c r="Z95" s="101">
        <v>1</v>
      </c>
      <c r="AA95" s="183">
        <v>0</v>
      </c>
      <c r="AB95" s="99">
        <v>1</v>
      </c>
      <c r="AC95" s="98">
        <v>0</v>
      </c>
      <c r="AD95" s="98">
        <v>0</v>
      </c>
      <c r="AE95" s="101">
        <f t="shared" si="99"/>
        <v>0</v>
      </c>
      <c r="AF95" s="100">
        <v>0</v>
      </c>
      <c r="AG95" s="98">
        <v>0</v>
      </c>
      <c r="AH95" s="99">
        <f t="shared" si="93"/>
        <v>0</v>
      </c>
      <c r="AI95" s="101">
        <v>1</v>
      </c>
      <c r="AJ95" s="106"/>
    </row>
    <row r="96" spans="2:36" s="35" customFormat="1" ht="17.100000000000001" customHeight="1">
      <c r="B96" s="105"/>
      <c r="C96" s="54"/>
      <c r="D96" s="96"/>
      <c r="E96" s="111"/>
      <c r="F96" s="112"/>
      <c r="G96" s="113"/>
      <c r="H96" s="183">
        <v>1</v>
      </c>
      <c r="I96" s="98">
        <v>0</v>
      </c>
      <c r="J96" s="98">
        <v>0</v>
      </c>
      <c r="K96" s="101">
        <f t="shared" si="94"/>
        <v>0</v>
      </c>
      <c r="L96" s="100">
        <v>0</v>
      </c>
      <c r="M96" s="98">
        <v>0</v>
      </c>
      <c r="N96" s="101">
        <f t="shared" si="95"/>
        <v>0</v>
      </c>
      <c r="O96" s="100">
        <v>0</v>
      </c>
      <c r="P96" s="98">
        <v>0</v>
      </c>
      <c r="Q96" s="101">
        <f t="shared" si="96"/>
        <v>0</v>
      </c>
      <c r="R96" s="100">
        <v>0</v>
      </c>
      <c r="S96" s="98">
        <v>0</v>
      </c>
      <c r="T96" s="101">
        <f t="shared" si="97"/>
        <v>0</v>
      </c>
      <c r="U96" s="183">
        <v>1</v>
      </c>
      <c r="V96" s="99">
        <v>1</v>
      </c>
      <c r="W96" s="98">
        <v>0</v>
      </c>
      <c r="X96" s="98">
        <v>0</v>
      </c>
      <c r="Y96" s="101">
        <f t="shared" si="98"/>
        <v>0</v>
      </c>
      <c r="Z96" s="101">
        <v>1</v>
      </c>
      <c r="AA96" s="183">
        <v>0</v>
      </c>
      <c r="AB96" s="99">
        <v>1</v>
      </c>
      <c r="AC96" s="98">
        <v>0</v>
      </c>
      <c r="AD96" s="98">
        <v>0</v>
      </c>
      <c r="AE96" s="101">
        <f t="shared" si="99"/>
        <v>0</v>
      </c>
      <c r="AF96" s="100">
        <v>0</v>
      </c>
      <c r="AG96" s="98">
        <v>0</v>
      </c>
      <c r="AH96" s="99">
        <f t="shared" si="93"/>
        <v>0</v>
      </c>
      <c r="AI96" s="101">
        <v>1</v>
      </c>
      <c r="AJ96" s="106"/>
    </row>
    <row r="97" spans="2:36" s="35" customFormat="1" ht="17.100000000000001" customHeight="1">
      <c r="B97" s="105"/>
      <c r="C97" s="54"/>
      <c r="D97" s="96"/>
      <c r="E97" s="111"/>
      <c r="F97" s="112"/>
      <c r="G97" s="113"/>
      <c r="H97" s="183">
        <v>1</v>
      </c>
      <c r="I97" s="98">
        <v>0</v>
      </c>
      <c r="J97" s="98">
        <v>0</v>
      </c>
      <c r="K97" s="101">
        <f t="shared" si="94"/>
        <v>0</v>
      </c>
      <c r="L97" s="100">
        <v>0</v>
      </c>
      <c r="M97" s="98">
        <v>0</v>
      </c>
      <c r="N97" s="101">
        <f t="shared" si="95"/>
        <v>0</v>
      </c>
      <c r="O97" s="100">
        <v>0</v>
      </c>
      <c r="P97" s="98">
        <v>0</v>
      </c>
      <c r="Q97" s="101">
        <f t="shared" si="96"/>
        <v>0</v>
      </c>
      <c r="R97" s="100">
        <v>0</v>
      </c>
      <c r="S97" s="98">
        <v>0</v>
      </c>
      <c r="T97" s="101">
        <f t="shared" si="97"/>
        <v>0</v>
      </c>
      <c r="U97" s="183">
        <v>1</v>
      </c>
      <c r="V97" s="99">
        <v>1</v>
      </c>
      <c r="W97" s="98">
        <v>0</v>
      </c>
      <c r="X97" s="98">
        <v>0</v>
      </c>
      <c r="Y97" s="101">
        <f t="shared" si="98"/>
        <v>0</v>
      </c>
      <c r="Z97" s="101">
        <v>1</v>
      </c>
      <c r="AA97" s="183">
        <v>0</v>
      </c>
      <c r="AB97" s="99">
        <v>1</v>
      </c>
      <c r="AC97" s="98">
        <v>0</v>
      </c>
      <c r="AD97" s="98">
        <v>0</v>
      </c>
      <c r="AE97" s="101">
        <f t="shared" si="99"/>
        <v>0</v>
      </c>
      <c r="AF97" s="100">
        <v>0</v>
      </c>
      <c r="AG97" s="98">
        <v>0</v>
      </c>
      <c r="AH97" s="99">
        <f t="shared" si="93"/>
        <v>0</v>
      </c>
      <c r="AI97" s="101">
        <v>1</v>
      </c>
      <c r="AJ97" s="106"/>
    </row>
    <row r="98" spans="2:36" s="35" customFormat="1" ht="17.100000000000001" customHeight="1">
      <c r="B98" s="105"/>
      <c r="C98" s="54"/>
      <c r="D98" s="96"/>
      <c r="E98" s="111"/>
      <c r="F98" s="112"/>
      <c r="G98" s="113"/>
      <c r="H98" s="183">
        <v>1</v>
      </c>
      <c r="I98" s="98">
        <v>0</v>
      </c>
      <c r="J98" s="98">
        <v>0</v>
      </c>
      <c r="K98" s="101">
        <f t="shared" si="94"/>
        <v>0</v>
      </c>
      <c r="L98" s="100">
        <v>0</v>
      </c>
      <c r="M98" s="98">
        <v>0</v>
      </c>
      <c r="N98" s="101">
        <f t="shared" si="95"/>
        <v>0</v>
      </c>
      <c r="O98" s="100">
        <v>0</v>
      </c>
      <c r="P98" s="98">
        <v>0</v>
      </c>
      <c r="Q98" s="101">
        <f t="shared" si="96"/>
        <v>0</v>
      </c>
      <c r="R98" s="100">
        <v>0</v>
      </c>
      <c r="S98" s="98">
        <v>0</v>
      </c>
      <c r="T98" s="101">
        <f t="shared" si="97"/>
        <v>0</v>
      </c>
      <c r="U98" s="183">
        <v>1</v>
      </c>
      <c r="V98" s="99">
        <v>1</v>
      </c>
      <c r="W98" s="98">
        <v>0</v>
      </c>
      <c r="X98" s="98">
        <v>0</v>
      </c>
      <c r="Y98" s="101">
        <f t="shared" si="98"/>
        <v>0</v>
      </c>
      <c r="Z98" s="101">
        <v>1</v>
      </c>
      <c r="AA98" s="183">
        <v>0</v>
      </c>
      <c r="AB98" s="99">
        <v>1</v>
      </c>
      <c r="AC98" s="98">
        <v>0</v>
      </c>
      <c r="AD98" s="98">
        <v>0</v>
      </c>
      <c r="AE98" s="101">
        <f t="shared" si="99"/>
        <v>0</v>
      </c>
      <c r="AF98" s="100">
        <v>0</v>
      </c>
      <c r="AG98" s="98">
        <v>0</v>
      </c>
      <c r="AH98" s="99">
        <f t="shared" si="93"/>
        <v>0</v>
      </c>
      <c r="AI98" s="101">
        <v>1</v>
      </c>
      <c r="AJ98" s="106"/>
    </row>
    <row r="99" spans="2:36" s="35" customFormat="1" ht="17.100000000000001" customHeight="1">
      <c r="B99" s="105"/>
      <c r="C99" s="54"/>
      <c r="D99" s="96"/>
      <c r="E99" s="111"/>
      <c r="F99" s="112"/>
      <c r="G99" s="113"/>
      <c r="H99" s="183">
        <v>1</v>
      </c>
      <c r="I99" s="98">
        <v>0</v>
      </c>
      <c r="J99" s="98">
        <v>0</v>
      </c>
      <c r="K99" s="101">
        <f t="shared" si="94"/>
        <v>0</v>
      </c>
      <c r="L99" s="100">
        <v>0</v>
      </c>
      <c r="M99" s="98">
        <v>0</v>
      </c>
      <c r="N99" s="101">
        <f t="shared" si="95"/>
        <v>0</v>
      </c>
      <c r="O99" s="100">
        <v>0</v>
      </c>
      <c r="P99" s="98">
        <v>0</v>
      </c>
      <c r="Q99" s="101">
        <f t="shared" si="96"/>
        <v>0</v>
      </c>
      <c r="R99" s="100">
        <v>0</v>
      </c>
      <c r="S99" s="98">
        <v>0</v>
      </c>
      <c r="T99" s="101">
        <f t="shared" si="97"/>
        <v>0</v>
      </c>
      <c r="U99" s="183">
        <v>1</v>
      </c>
      <c r="V99" s="99">
        <v>1</v>
      </c>
      <c r="W99" s="98">
        <v>0</v>
      </c>
      <c r="X99" s="98">
        <v>0</v>
      </c>
      <c r="Y99" s="101">
        <f t="shared" si="98"/>
        <v>0</v>
      </c>
      <c r="Z99" s="101">
        <v>1</v>
      </c>
      <c r="AA99" s="183">
        <v>0</v>
      </c>
      <c r="AB99" s="99">
        <v>1</v>
      </c>
      <c r="AC99" s="98">
        <v>0</v>
      </c>
      <c r="AD99" s="98">
        <v>0</v>
      </c>
      <c r="AE99" s="101">
        <f t="shared" si="99"/>
        <v>0</v>
      </c>
      <c r="AF99" s="100">
        <v>0</v>
      </c>
      <c r="AG99" s="98">
        <v>0</v>
      </c>
      <c r="AH99" s="99">
        <f t="shared" si="93"/>
        <v>0</v>
      </c>
      <c r="AI99" s="101">
        <v>1</v>
      </c>
      <c r="AJ99" s="106"/>
    </row>
    <row r="100" spans="2:36" s="126" customFormat="1" ht="17.100000000000001" customHeight="1">
      <c r="B100" s="118"/>
      <c r="C100" s="119"/>
      <c r="D100" s="120"/>
      <c r="E100" s="121"/>
      <c r="F100" s="122"/>
      <c r="G100" s="123"/>
      <c r="H100" s="183">
        <v>1</v>
      </c>
      <c r="I100" s="363" t="s">
        <v>201</v>
      </c>
      <c r="J100" s="363"/>
      <c r="K100" s="124">
        <f>SUM(K93:K99)</f>
        <v>0</v>
      </c>
      <c r="L100" s="341" t="s">
        <v>201</v>
      </c>
      <c r="M100" s="342"/>
      <c r="N100" s="124">
        <f>SUM(N93:N99)</f>
        <v>0</v>
      </c>
      <c r="O100" s="341" t="s">
        <v>201</v>
      </c>
      <c r="P100" s="342"/>
      <c r="Q100" s="124">
        <f>SUM(Q93:Q99)</f>
        <v>0</v>
      </c>
      <c r="R100" s="341" t="s">
        <v>201</v>
      </c>
      <c r="S100" s="342"/>
      <c r="T100" s="124">
        <f>SUM(T93:T99)</f>
        <v>48</v>
      </c>
      <c r="U100" s="183">
        <v>2</v>
      </c>
      <c r="V100" s="99">
        <v>2</v>
      </c>
      <c r="W100" s="363" t="s">
        <v>201</v>
      </c>
      <c r="X100" s="363"/>
      <c r="Y100" s="124">
        <f>SUM(Y93:Y99)</f>
        <v>200</v>
      </c>
      <c r="Z100" s="101">
        <v>1</v>
      </c>
      <c r="AA100" s="183">
        <v>0</v>
      </c>
      <c r="AB100" s="99">
        <v>1</v>
      </c>
      <c r="AC100" s="363" t="s">
        <v>201</v>
      </c>
      <c r="AD100" s="363"/>
      <c r="AE100" s="124">
        <f>SUM(AE93:AE99)</f>
        <v>0</v>
      </c>
      <c r="AF100" s="364" t="s">
        <v>201</v>
      </c>
      <c r="AG100" s="363"/>
      <c r="AH100" s="143">
        <f>SUM(AH93:AH99)</f>
        <v>0</v>
      </c>
      <c r="AI100" s="101">
        <v>1</v>
      </c>
      <c r="AJ100" s="125"/>
    </row>
    <row r="101" spans="2:36" s="35" customFormat="1" ht="16.95" customHeight="1">
      <c r="B101" s="105"/>
      <c r="C101" s="54">
        <f>'3. Rekap Back Up Non Aspal '!C31</f>
        <v>2000</v>
      </c>
      <c r="D101" s="96">
        <f>'3. Rekap Back Up Non Aspal '!D31</f>
        <v>2100</v>
      </c>
      <c r="E101" s="111">
        <f>'3. Rekap Back Up Non Aspal '!E31</f>
        <v>3</v>
      </c>
      <c r="F101" s="112">
        <f>(100/((D101-C101)*E101))*((K108*0.05)+(N108*0.05)+(Q108*0.05)+(T108)+(Y108)+(AE108*1.5)+(AH108*1))</f>
        <v>45</v>
      </c>
      <c r="G101" s="113" t="str">
        <f>IF(F101&lt;=25,"RB",IF(F101&lt;=75,"RB",IF(F101&lt;=100,"RB","RB")))</f>
        <v>RB</v>
      </c>
      <c r="H101" s="183">
        <v>1</v>
      </c>
      <c r="I101" s="98">
        <v>0</v>
      </c>
      <c r="J101" s="98">
        <v>0</v>
      </c>
      <c r="K101" s="101">
        <f t="shared" ref="K101" si="100">I101*J101</f>
        <v>0</v>
      </c>
      <c r="L101" s="98">
        <v>0</v>
      </c>
      <c r="M101" s="98">
        <v>0</v>
      </c>
      <c r="N101" s="101">
        <f t="shared" ref="N101" si="101">L101*M101</f>
        <v>0</v>
      </c>
      <c r="O101" s="98">
        <v>0</v>
      </c>
      <c r="P101" s="98">
        <v>0</v>
      </c>
      <c r="Q101" s="101">
        <f t="shared" ref="Q101" si="102">O101*P101</f>
        <v>0</v>
      </c>
      <c r="R101" s="98">
        <v>25</v>
      </c>
      <c r="S101" s="98">
        <v>3</v>
      </c>
      <c r="T101" s="101">
        <f t="shared" ref="T101" si="103">R101*S101</f>
        <v>75</v>
      </c>
      <c r="U101" s="183">
        <v>2</v>
      </c>
      <c r="V101" s="99">
        <v>2</v>
      </c>
      <c r="W101" s="98">
        <v>30</v>
      </c>
      <c r="X101" s="98">
        <v>2</v>
      </c>
      <c r="Y101" s="101">
        <f>W101*X101</f>
        <v>60</v>
      </c>
      <c r="Z101" s="101">
        <v>1</v>
      </c>
      <c r="AA101" s="183">
        <v>0</v>
      </c>
      <c r="AB101" s="99">
        <v>1</v>
      </c>
      <c r="AC101" s="98">
        <v>0</v>
      </c>
      <c r="AD101" s="98">
        <v>0</v>
      </c>
      <c r="AE101" s="101">
        <f t="shared" ref="AE101" si="104">AC101*AD101</f>
        <v>0</v>
      </c>
      <c r="AF101" s="98">
        <v>0</v>
      </c>
      <c r="AG101" s="98">
        <v>3</v>
      </c>
      <c r="AH101" s="99">
        <f t="shared" ref="AH101:AH107" si="105">AF101*AG101</f>
        <v>0</v>
      </c>
      <c r="AI101" s="101">
        <v>1</v>
      </c>
      <c r="AJ101" s="106"/>
    </row>
    <row r="102" spans="2:36" s="35" customFormat="1" ht="17.100000000000001" customHeight="1">
      <c r="B102" s="105"/>
      <c r="C102" s="54"/>
      <c r="D102" s="96"/>
      <c r="E102" s="111"/>
      <c r="F102" s="112"/>
      <c r="G102" s="113"/>
      <c r="H102" s="183">
        <v>1</v>
      </c>
      <c r="I102" s="98">
        <v>0</v>
      </c>
      <c r="J102" s="98">
        <v>0</v>
      </c>
      <c r="K102" s="101">
        <f t="shared" ref="K102:K107" si="106">I102*J102</f>
        <v>0</v>
      </c>
      <c r="L102" s="100">
        <v>0</v>
      </c>
      <c r="M102" s="98">
        <v>0</v>
      </c>
      <c r="N102" s="101">
        <f t="shared" ref="N102:N107" si="107">L102*M102</f>
        <v>0</v>
      </c>
      <c r="O102" s="100">
        <v>0</v>
      </c>
      <c r="P102" s="98">
        <v>0</v>
      </c>
      <c r="Q102" s="101">
        <f t="shared" ref="Q102:Q107" si="108">O102*P102</f>
        <v>0</v>
      </c>
      <c r="R102" s="100">
        <v>0</v>
      </c>
      <c r="S102" s="98">
        <v>0</v>
      </c>
      <c r="T102" s="101">
        <f t="shared" ref="T102:T107" si="109">R102*S102</f>
        <v>0</v>
      </c>
      <c r="U102" s="183">
        <v>1</v>
      </c>
      <c r="V102" s="99">
        <v>1</v>
      </c>
      <c r="W102" s="98">
        <v>0</v>
      </c>
      <c r="X102" s="98">
        <v>0</v>
      </c>
      <c r="Y102" s="101">
        <f t="shared" ref="Y102:Y107" si="110">W102*X102</f>
        <v>0</v>
      </c>
      <c r="Z102" s="101">
        <v>1</v>
      </c>
      <c r="AA102" s="183">
        <v>0</v>
      </c>
      <c r="AB102" s="99">
        <v>1</v>
      </c>
      <c r="AC102" s="98">
        <v>0</v>
      </c>
      <c r="AD102" s="98">
        <v>0</v>
      </c>
      <c r="AE102" s="101">
        <f t="shared" ref="AE102:AE107" si="111">AC102*AD102</f>
        <v>0</v>
      </c>
      <c r="AF102" s="100">
        <v>0</v>
      </c>
      <c r="AG102" s="98">
        <v>0</v>
      </c>
      <c r="AH102" s="99">
        <f t="shared" si="105"/>
        <v>0</v>
      </c>
      <c r="AI102" s="101">
        <v>1</v>
      </c>
      <c r="AJ102" s="106"/>
    </row>
    <row r="103" spans="2:36" s="35" customFormat="1" ht="17.100000000000001" customHeight="1">
      <c r="B103" s="105"/>
      <c r="C103" s="54"/>
      <c r="D103" s="96"/>
      <c r="E103" s="111"/>
      <c r="F103" s="112"/>
      <c r="G103" s="113"/>
      <c r="H103" s="183">
        <v>1</v>
      </c>
      <c r="I103" s="98">
        <v>0</v>
      </c>
      <c r="J103" s="98">
        <v>0</v>
      </c>
      <c r="K103" s="101">
        <f t="shared" si="106"/>
        <v>0</v>
      </c>
      <c r="L103" s="100">
        <v>0</v>
      </c>
      <c r="M103" s="98">
        <v>0</v>
      </c>
      <c r="N103" s="101">
        <f t="shared" si="107"/>
        <v>0</v>
      </c>
      <c r="O103" s="100">
        <v>0</v>
      </c>
      <c r="P103" s="98">
        <v>0</v>
      </c>
      <c r="Q103" s="101">
        <f t="shared" si="108"/>
        <v>0</v>
      </c>
      <c r="R103" s="100">
        <v>0</v>
      </c>
      <c r="S103" s="98">
        <v>0</v>
      </c>
      <c r="T103" s="101">
        <f t="shared" si="109"/>
        <v>0</v>
      </c>
      <c r="U103" s="183">
        <v>1</v>
      </c>
      <c r="V103" s="99">
        <v>1</v>
      </c>
      <c r="W103" s="98">
        <v>0</v>
      </c>
      <c r="X103" s="98">
        <v>0</v>
      </c>
      <c r="Y103" s="101">
        <f t="shared" si="110"/>
        <v>0</v>
      </c>
      <c r="Z103" s="101">
        <v>1</v>
      </c>
      <c r="AA103" s="183">
        <v>0</v>
      </c>
      <c r="AB103" s="99">
        <v>1</v>
      </c>
      <c r="AC103" s="98">
        <v>0</v>
      </c>
      <c r="AD103" s="98">
        <v>0</v>
      </c>
      <c r="AE103" s="101">
        <f t="shared" si="111"/>
        <v>0</v>
      </c>
      <c r="AF103" s="100">
        <v>0</v>
      </c>
      <c r="AG103" s="98">
        <v>0</v>
      </c>
      <c r="AH103" s="99">
        <f t="shared" si="105"/>
        <v>0</v>
      </c>
      <c r="AI103" s="101">
        <v>1</v>
      </c>
      <c r="AJ103" s="106"/>
    </row>
    <row r="104" spans="2:36" s="35" customFormat="1" ht="17.100000000000001" customHeight="1">
      <c r="B104" s="105"/>
      <c r="C104" s="54"/>
      <c r="D104" s="96"/>
      <c r="E104" s="111"/>
      <c r="F104" s="112"/>
      <c r="G104" s="113"/>
      <c r="H104" s="183">
        <v>1</v>
      </c>
      <c r="I104" s="98">
        <v>0</v>
      </c>
      <c r="J104" s="98">
        <v>0</v>
      </c>
      <c r="K104" s="101">
        <f t="shared" si="106"/>
        <v>0</v>
      </c>
      <c r="L104" s="100">
        <v>0</v>
      </c>
      <c r="M104" s="98">
        <v>0</v>
      </c>
      <c r="N104" s="101">
        <f t="shared" si="107"/>
        <v>0</v>
      </c>
      <c r="O104" s="100">
        <v>0</v>
      </c>
      <c r="P104" s="98">
        <v>0</v>
      </c>
      <c r="Q104" s="101">
        <f t="shared" si="108"/>
        <v>0</v>
      </c>
      <c r="R104" s="100">
        <v>0</v>
      </c>
      <c r="S104" s="98">
        <v>0</v>
      </c>
      <c r="T104" s="101">
        <f t="shared" si="109"/>
        <v>0</v>
      </c>
      <c r="U104" s="183">
        <v>1</v>
      </c>
      <c r="V104" s="99">
        <v>1</v>
      </c>
      <c r="W104" s="98">
        <v>0</v>
      </c>
      <c r="X104" s="98">
        <v>0</v>
      </c>
      <c r="Y104" s="101">
        <f t="shared" si="110"/>
        <v>0</v>
      </c>
      <c r="Z104" s="101">
        <v>1</v>
      </c>
      <c r="AA104" s="183">
        <v>0</v>
      </c>
      <c r="AB104" s="99">
        <v>1</v>
      </c>
      <c r="AC104" s="98">
        <v>0</v>
      </c>
      <c r="AD104" s="98">
        <v>0</v>
      </c>
      <c r="AE104" s="101">
        <f t="shared" si="111"/>
        <v>0</v>
      </c>
      <c r="AF104" s="100">
        <v>0</v>
      </c>
      <c r="AG104" s="98">
        <v>0</v>
      </c>
      <c r="AH104" s="99">
        <f t="shared" si="105"/>
        <v>0</v>
      </c>
      <c r="AI104" s="101">
        <v>1</v>
      </c>
      <c r="AJ104" s="106"/>
    </row>
    <row r="105" spans="2:36" s="35" customFormat="1" ht="17.100000000000001" customHeight="1">
      <c r="B105" s="105"/>
      <c r="C105" s="54"/>
      <c r="D105" s="96"/>
      <c r="E105" s="111"/>
      <c r="F105" s="112"/>
      <c r="G105" s="113"/>
      <c r="H105" s="183">
        <v>1</v>
      </c>
      <c r="I105" s="98">
        <v>0</v>
      </c>
      <c r="J105" s="98">
        <v>0</v>
      </c>
      <c r="K105" s="101">
        <f t="shared" si="106"/>
        <v>0</v>
      </c>
      <c r="L105" s="100">
        <v>0</v>
      </c>
      <c r="M105" s="98">
        <v>0</v>
      </c>
      <c r="N105" s="101">
        <f t="shared" si="107"/>
        <v>0</v>
      </c>
      <c r="O105" s="100">
        <v>0</v>
      </c>
      <c r="P105" s="98">
        <v>0</v>
      </c>
      <c r="Q105" s="101">
        <f t="shared" si="108"/>
        <v>0</v>
      </c>
      <c r="R105" s="100">
        <v>0</v>
      </c>
      <c r="S105" s="98">
        <v>0</v>
      </c>
      <c r="T105" s="101">
        <f t="shared" si="109"/>
        <v>0</v>
      </c>
      <c r="U105" s="183">
        <v>1</v>
      </c>
      <c r="V105" s="99">
        <v>1</v>
      </c>
      <c r="W105" s="98">
        <v>0</v>
      </c>
      <c r="X105" s="98">
        <v>0</v>
      </c>
      <c r="Y105" s="101">
        <f t="shared" si="110"/>
        <v>0</v>
      </c>
      <c r="Z105" s="101">
        <v>1</v>
      </c>
      <c r="AA105" s="183">
        <v>0</v>
      </c>
      <c r="AB105" s="99">
        <v>1</v>
      </c>
      <c r="AC105" s="98">
        <v>0</v>
      </c>
      <c r="AD105" s="98">
        <v>0</v>
      </c>
      <c r="AE105" s="101">
        <f t="shared" si="111"/>
        <v>0</v>
      </c>
      <c r="AF105" s="100">
        <v>0</v>
      </c>
      <c r="AG105" s="98">
        <v>0</v>
      </c>
      <c r="AH105" s="99">
        <f t="shared" si="105"/>
        <v>0</v>
      </c>
      <c r="AI105" s="101">
        <v>1</v>
      </c>
      <c r="AJ105" s="106"/>
    </row>
    <row r="106" spans="2:36" s="35" customFormat="1" ht="17.100000000000001" customHeight="1">
      <c r="B106" s="105"/>
      <c r="C106" s="54"/>
      <c r="D106" s="96"/>
      <c r="E106" s="111"/>
      <c r="F106" s="112"/>
      <c r="G106" s="113"/>
      <c r="H106" s="183">
        <v>1</v>
      </c>
      <c r="I106" s="98">
        <v>0</v>
      </c>
      <c r="J106" s="98">
        <v>0</v>
      </c>
      <c r="K106" s="101">
        <f t="shared" si="106"/>
        <v>0</v>
      </c>
      <c r="L106" s="100">
        <v>0</v>
      </c>
      <c r="M106" s="98">
        <v>0</v>
      </c>
      <c r="N106" s="101">
        <f t="shared" si="107"/>
        <v>0</v>
      </c>
      <c r="O106" s="100">
        <v>0</v>
      </c>
      <c r="P106" s="98">
        <v>0</v>
      </c>
      <c r="Q106" s="101">
        <f t="shared" si="108"/>
        <v>0</v>
      </c>
      <c r="R106" s="100">
        <v>0</v>
      </c>
      <c r="S106" s="98">
        <v>0</v>
      </c>
      <c r="T106" s="101">
        <f t="shared" si="109"/>
        <v>0</v>
      </c>
      <c r="U106" s="183">
        <v>1</v>
      </c>
      <c r="V106" s="99">
        <v>1</v>
      </c>
      <c r="W106" s="98">
        <v>0</v>
      </c>
      <c r="X106" s="98">
        <v>0</v>
      </c>
      <c r="Y106" s="101">
        <f t="shared" si="110"/>
        <v>0</v>
      </c>
      <c r="Z106" s="101">
        <v>1</v>
      </c>
      <c r="AA106" s="183">
        <v>0</v>
      </c>
      <c r="AB106" s="99">
        <v>1</v>
      </c>
      <c r="AC106" s="98">
        <v>0</v>
      </c>
      <c r="AD106" s="98">
        <v>0</v>
      </c>
      <c r="AE106" s="101">
        <f t="shared" si="111"/>
        <v>0</v>
      </c>
      <c r="AF106" s="100">
        <v>0</v>
      </c>
      <c r="AG106" s="98">
        <v>0</v>
      </c>
      <c r="AH106" s="99">
        <f t="shared" si="105"/>
        <v>0</v>
      </c>
      <c r="AI106" s="101">
        <v>1</v>
      </c>
      <c r="AJ106" s="106"/>
    </row>
    <row r="107" spans="2:36" s="35" customFormat="1" ht="17.100000000000001" customHeight="1">
      <c r="B107" s="105"/>
      <c r="C107" s="54"/>
      <c r="D107" s="96"/>
      <c r="E107" s="111"/>
      <c r="F107" s="112"/>
      <c r="G107" s="113"/>
      <c r="H107" s="183">
        <v>1</v>
      </c>
      <c r="I107" s="98">
        <v>0</v>
      </c>
      <c r="J107" s="98">
        <v>0</v>
      </c>
      <c r="K107" s="101">
        <f t="shared" si="106"/>
        <v>0</v>
      </c>
      <c r="L107" s="100">
        <v>0</v>
      </c>
      <c r="M107" s="98">
        <v>0</v>
      </c>
      <c r="N107" s="101">
        <f t="shared" si="107"/>
        <v>0</v>
      </c>
      <c r="O107" s="100">
        <v>0</v>
      </c>
      <c r="P107" s="98">
        <v>0</v>
      </c>
      <c r="Q107" s="101">
        <f t="shared" si="108"/>
        <v>0</v>
      </c>
      <c r="R107" s="100">
        <v>0</v>
      </c>
      <c r="S107" s="98">
        <v>0</v>
      </c>
      <c r="T107" s="101">
        <f t="shared" si="109"/>
        <v>0</v>
      </c>
      <c r="U107" s="183">
        <v>1</v>
      </c>
      <c r="V107" s="99">
        <v>1</v>
      </c>
      <c r="W107" s="98">
        <v>0</v>
      </c>
      <c r="X107" s="98">
        <v>0</v>
      </c>
      <c r="Y107" s="101">
        <f t="shared" si="110"/>
        <v>0</v>
      </c>
      <c r="Z107" s="101">
        <v>1</v>
      </c>
      <c r="AA107" s="183">
        <v>0</v>
      </c>
      <c r="AB107" s="99">
        <v>1</v>
      </c>
      <c r="AC107" s="98">
        <v>0</v>
      </c>
      <c r="AD107" s="98">
        <v>0</v>
      </c>
      <c r="AE107" s="101">
        <f t="shared" si="111"/>
        <v>0</v>
      </c>
      <c r="AF107" s="100">
        <v>0</v>
      </c>
      <c r="AG107" s="98">
        <v>0</v>
      </c>
      <c r="AH107" s="99">
        <f t="shared" si="105"/>
        <v>0</v>
      </c>
      <c r="AI107" s="101">
        <v>1</v>
      </c>
      <c r="AJ107" s="106"/>
    </row>
    <row r="108" spans="2:36" s="126" customFormat="1" ht="17.100000000000001" customHeight="1">
      <c r="B108" s="118"/>
      <c r="C108" s="119"/>
      <c r="D108" s="120"/>
      <c r="E108" s="121"/>
      <c r="F108" s="122"/>
      <c r="G108" s="123"/>
      <c r="H108" s="183">
        <v>1</v>
      </c>
      <c r="I108" s="363" t="s">
        <v>201</v>
      </c>
      <c r="J108" s="363"/>
      <c r="K108" s="124">
        <f>SUM(K101:K107)</f>
        <v>0</v>
      </c>
      <c r="L108" s="341" t="s">
        <v>201</v>
      </c>
      <c r="M108" s="342"/>
      <c r="N108" s="124">
        <f>SUM(N101:N107)</f>
        <v>0</v>
      </c>
      <c r="O108" s="341" t="s">
        <v>201</v>
      </c>
      <c r="P108" s="342"/>
      <c r="Q108" s="124">
        <f>SUM(Q101:Q107)</f>
        <v>0</v>
      </c>
      <c r="R108" s="341" t="s">
        <v>201</v>
      </c>
      <c r="S108" s="342"/>
      <c r="T108" s="124">
        <f>SUM(T101:T107)</f>
        <v>75</v>
      </c>
      <c r="U108" s="183">
        <v>2</v>
      </c>
      <c r="V108" s="99">
        <v>2</v>
      </c>
      <c r="W108" s="363" t="s">
        <v>201</v>
      </c>
      <c r="X108" s="363"/>
      <c r="Y108" s="124">
        <f>SUM(Y101:Y107)</f>
        <v>60</v>
      </c>
      <c r="Z108" s="101">
        <v>1</v>
      </c>
      <c r="AA108" s="183">
        <v>0</v>
      </c>
      <c r="AB108" s="99">
        <v>1</v>
      </c>
      <c r="AC108" s="363" t="s">
        <v>201</v>
      </c>
      <c r="AD108" s="363"/>
      <c r="AE108" s="124">
        <f>SUM(AE101:AE107)</f>
        <v>0</v>
      </c>
      <c r="AF108" s="364" t="s">
        <v>201</v>
      </c>
      <c r="AG108" s="363"/>
      <c r="AH108" s="143">
        <f>SUM(AH101:AH107)</f>
        <v>0</v>
      </c>
      <c r="AI108" s="101">
        <v>1</v>
      </c>
      <c r="AJ108" s="125"/>
    </row>
    <row r="109" spans="2:36" s="35" customFormat="1" ht="16.95" customHeight="1">
      <c r="B109" s="105"/>
      <c r="C109" s="54">
        <f>'3. Rekap Back Up Non Aspal '!C32</f>
        <v>2100</v>
      </c>
      <c r="D109" s="96">
        <f>'3. Rekap Back Up Non Aspal '!D32</f>
        <v>2200</v>
      </c>
      <c r="E109" s="111">
        <f>'3. Rekap Back Up Non Aspal '!E32</f>
        <v>3</v>
      </c>
      <c r="F109" s="112">
        <f>(100/((D109-C109)*E109))*((K116*0.05)+(N116*0.05)+(Q116*0.05)+(T116)+(Y116)+(AE116*1.5)+(AH116*1))</f>
        <v>93.333333333333329</v>
      </c>
      <c r="G109" s="113" t="str">
        <f>IF(F109&lt;=25,"RB",IF(F109&lt;=75,"RB",IF(F109&lt;=100,"RB","RB")))</f>
        <v>RB</v>
      </c>
      <c r="H109" s="183">
        <v>1</v>
      </c>
      <c r="I109" s="98">
        <v>0</v>
      </c>
      <c r="J109" s="98">
        <v>0</v>
      </c>
      <c r="K109" s="101">
        <f t="shared" ref="K109" si="112">I109*J109</f>
        <v>0</v>
      </c>
      <c r="L109" s="98">
        <v>0</v>
      </c>
      <c r="M109" s="98">
        <v>0</v>
      </c>
      <c r="N109" s="101">
        <f t="shared" ref="N109" si="113">L109*M109</f>
        <v>0</v>
      </c>
      <c r="O109" s="98">
        <v>0</v>
      </c>
      <c r="P109" s="98">
        <v>0</v>
      </c>
      <c r="Q109" s="101">
        <f t="shared" ref="Q109" si="114">O109*P109</f>
        <v>0</v>
      </c>
      <c r="R109" s="98">
        <v>15</v>
      </c>
      <c r="S109" s="98">
        <v>2</v>
      </c>
      <c r="T109" s="101">
        <f t="shared" ref="T109" si="115">R109*S109</f>
        <v>30</v>
      </c>
      <c r="U109" s="183">
        <v>2</v>
      </c>
      <c r="V109" s="99">
        <v>2</v>
      </c>
      <c r="W109" s="98">
        <v>100</v>
      </c>
      <c r="X109" s="187">
        <v>2.5</v>
      </c>
      <c r="Y109" s="101">
        <f>W109*X109</f>
        <v>250</v>
      </c>
      <c r="Z109" s="101">
        <v>1</v>
      </c>
      <c r="AA109" s="183">
        <v>0</v>
      </c>
      <c r="AB109" s="99">
        <v>1</v>
      </c>
      <c r="AC109" s="98">
        <v>0</v>
      </c>
      <c r="AD109" s="98">
        <v>0</v>
      </c>
      <c r="AE109" s="101">
        <f t="shared" ref="AE109" si="116">AC109*AD109</f>
        <v>0</v>
      </c>
      <c r="AF109" s="98">
        <v>0</v>
      </c>
      <c r="AG109" s="98">
        <v>3</v>
      </c>
      <c r="AH109" s="99">
        <f t="shared" ref="AH109:AH115" si="117">AF109*AG109</f>
        <v>0</v>
      </c>
      <c r="AI109" s="101">
        <v>1</v>
      </c>
      <c r="AJ109" s="106"/>
    </row>
    <row r="110" spans="2:36" s="35" customFormat="1" ht="17.100000000000001" customHeight="1">
      <c r="B110" s="105"/>
      <c r="C110" s="54"/>
      <c r="D110" s="96"/>
      <c r="E110" s="111"/>
      <c r="F110" s="112"/>
      <c r="G110" s="113"/>
      <c r="H110" s="183">
        <v>1</v>
      </c>
      <c r="I110" s="98">
        <v>0</v>
      </c>
      <c r="J110" s="98">
        <v>0</v>
      </c>
      <c r="K110" s="101">
        <f t="shared" ref="K110:K115" si="118">I110*J110</f>
        <v>0</v>
      </c>
      <c r="L110" s="100">
        <v>0</v>
      </c>
      <c r="M110" s="98">
        <v>0</v>
      </c>
      <c r="N110" s="101">
        <f t="shared" ref="N110:N115" si="119">L110*M110</f>
        <v>0</v>
      </c>
      <c r="O110" s="100">
        <v>0</v>
      </c>
      <c r="P110" s="98">
        <v>0</v>
      </c>
      <c r="Q110" s="101">
        <f t="shared" ref="Q110:Q115" si="120">O110*P110</f>
        <v>0</v>
      </c>
      <c r="R110" s="100">
        <v>0</v>
      </c>
      <c r="S110" s="98">
        <v>0</v>
      </c>
      <c r="T110" s="101">
        <f t="shared" ref="T110:T115" si="121">R110*S110</f>
        <v>0</v>
      </c>
      <c r="U110" s="183">
        <v>1</v>
      </c>
      <c r="V110" s="99">
        <v>1</v>
      </c>
      <c r="W110" s="98">
        <v>0</v>
      </c>
      <c r="X110" s="98">
        <v>0</v>
      </c>
      <c r="Y110" s="101">
        <f t="shared" ref="Y110:Y115" si="122">W110*X110</f>
        <v>0</v>
      </c>
      <c r="Z110" s="101">
        <v>1</v>
      </c>
      <c r="AA110" s="183">
        <v>0</v>
      </c>
      <c r="AB110" s="99">
        <v>1</v>
      </c>
      <c r="AC110" s="98">
        <v>0</v>
      </c>
      <c r="AD110" s="98">
        <v>0</v>
      </c>
      <c r="AE110" s="101">
        <f t="shared" ref="AE110:AE115" si="123">AC110*AD110</f>
        <v>0</v>
      </c>
      <c r="AF110" s="100">
        <v>0</v>
      </c>
      <c r="AG110" s="98">
        <v>0</v>
      </c>
      <c r="AH110" s="99">
        <f t="shared" si="117"/>
        <v>0</v>
      </c>
      <c r="AI110" s="101">
        <v>1</v>
      </c>
      <c r="AJ110" s="106"/>
    </row>
    <row r="111" spans="2:36" s="35" customFormat="1" ht="17.100000000000001" customHeight="1">
      <c r="B111" s="105"/>
      <c r="C111" s="54"/>
      <c r="D111" s="96"/>
      <c r="E111" s="111"/>
      <c r="F111" s="112"/>
      <c r="G111" s="113"/>
      <c r="H111" s="183">
        <v>1</v>
      </c>
      <c r="I111" s="98">
        <v>0</v>
      </c>
      <c r="J111" s="98">
        <v>0</v>
      </c>
      <c r="K111" s="101">
        <f t="shared" si="118"/>
        <v>0</v>
      </c>
      <c r="L111" s="100">
        <v>0</v>
      </c>
      <c r="M111" s="98">
        <v>0</v>
      </c>
      <c r="N111" s="101">
        <f t="shared" si="119"/>
        <v>0</v>
      </c>
      <c r="O111" s="100">
        <v>0</v>
      </c>
      <c r="P111" s="98">
        <v>0</v>
      </c>
      <c r="Q111" s="101">
        <f t="shared" si="120"/>
        <v>0</v>
      </c>
      <c r="R111" s="100">
        <v>0</v>
      </c>
      <c r="S111" s="98">
        <v>0</v>
      </c>
      <c r="T111" s="101">
        <f t="shared" si="121"/>
        <v>0</v>
      </c>
      <c r="U111" s="183">
        <v>1</v>
      </c>
      <c r="V111" s="99">
        <v>1</v>
      </c>
      <c r="W111" s="98">
        <v>0</v>
      </c>
      <c r="X111" s="98">
        <v>0</v>
      </c>
      <c r="Y111" s="101">
        <f t="shared" si="122"/>
        <v>0</v>
      </c>
      <c r="Z111" s="101">
        <v>1</v>
      </c>
      <c r="AA111" s="183">
        <v>0</v>
      </c>
      <c r="AB111" s="99">
        <v>1</v>
      </c>
      <c r="AC111" s="98">
        <v>0</v>
      </c>
      <c r="AD111" s="98">
        <v>0</v>
      </c>
      <c r="AE111" s="101">
        <f t="shared" si="123"/>
        <v>0</v>
      </c>
      <c r="AF111" s="100">
        <v>0</v>
      </c>
      <c r="AG111" s="98">
        <v>0</v>
      </c>
      <c r="AH111" s="99">
        <f t="shared" si="117"/>
        <v>0</v>
      </c>
      <c r="AI111" s="101">
        <v>1</v>
      </c>
      <c r="AJ111" s="106"/>
    </row>
    <row r="112" spans="2:36" s="35" customFormat="1" ht="17.100000000000001" customHeight="1">
      <c r="B112" s="105"/>
      <c r="C112" s="54"/>
      <c r="D112" s="96"/>
      <c r="E112" s="111"/>
      <c r="F112" s="112"/>
      <c r="G112" s="113"/>
      <c r="H112" s="183">
        <v>1</v>
      </c>
      <c r="I112" s="98">
        <v>0</v>
      </c>
      <c r="J112" s="98">
        <v>0</v>
      </c>
      <c r="K112" s="101">
        <f t="shared" si="118"/>
        <v>0</v>
      </c>
      <c r="L112" s="100">
        <v>0</v>
      </c>
      <c r="M112" s="98">
        <v>0</v>
      </c>
      <c r="N112" s="101">
        <f t="shared" si="119"/>
        <v>0</v>
      </c>
      <c r="O112" s="100">
        <v>0</v>
      </c>
      <c r="P112" s="98">
        <v>0</v>
      </c>
      <c r="Q112" s="101">
        <f t="shared" si="120"/>
        <v>0</v>
      </c>
      <c r="R112" s="100">
        <v>0</v>
      </c>
      <c r="S112" s="98">
        <v>0</v>
      </c>
      <c r="T112" s="101">
        <f t="shared" si="121"/>
        <v>0</v>
      </c>
      <c r="U112" s="183">
        <v>1</v>
      </c>
      <c r="V112" s="99">
        <v>1</v>
      </c>
      <c r="W112" s="98">
        <v>0</v>
      </c>
      <c r="X112" s="98">
        <v>0</v>
      </c>
      <c r="Y112" s="101">
        <f t="shared" si="122"/>
        <v>0</v>
      </c>
      <c r="Z112" s="101">
        <v>1</v>
      </c>
      <c r="AA112" s="183">
        <v>0</v>
      </c>
      <c r="AB112" s="99">
        <v>1</v>
      </c>
      <c r="AC112" s="98">
        <v>0</v>
      </c>
      <c r="AD112" s="98">
        <v>0</v>
      </c>
      <c r="AE112" s="101">
        <f t="shared" si="123"/>
        <v>0</v>
      </c>
      <c r="AF112" s="100">
        <v>0</v>
      </c>
      <c r="AG112" s="98">
        <v>0</v>
      </c>
      <c r="AH112" s="99">
        <f t="shared" si="117"/>
        <v>0</v>
      </c>
      <c r="AI112" s="101">
        <v>1</v>
      </c>
      <c r="AJ112" s="106"/>
    </row>
    <row r="113" spans="2:36" s="35" customFormat="1" ht="17.100000000000001" customHeight="1">
      <c r="B113" s="105"/>
      <c r="C113" s="54"/>
      <c r="D113" s="96"/>
      <c r="E113" s="111"/>
      <c r="F113" s="112"/>
      <c r="G113" s="113"/>
      <c r="H113" s="183">
        <v>1</v>
      </c>
      <c r="I113" s="98">
        <v>0</v>
      </c>
      <c r="J113" s="98">
        <v>0</v>
      </c>
      <c r="K113" s="101">
        <f t="shared" si="118"/>
        <v>0</v>
      </c>
      <c r="L113" s="100">
        <v>0</v>
      </c>
      <c r="M113" s="98">
        <v>0</v>
      </c>
      <c r="N113" s="101">
        <f t="shared" si="119"/>
        <v>0</v>
      </c>
      <c r="O113" s="100">
        <v>0</v>
      </c>
      <c r="P113" s="98">
        <v>0</v>
      </c>
      <c r="Q113" s="101">
        <f t="shared" si="120"/>
        <v>0</v>
      </c>
      <c r="R113" s="100">
        <v>0</v>
      </c>
      <c r="S113" s="98">
        <v>0</v>
      </c>
      <c r="T113" s="101">
        <f t="shared" si="121"/>
        <v>0</v>
      </c>
      <c r="U113" s="183">
        <v>1</v>
      </c>
      <c r="V113" s="99">
        <v>1</v>
      </c>
      <c r="W113" s="98">
        <v>0</v>
      </c>
      <c r="X113" s="98">
        <v>0</v>
      </c>
      <c r="Y113" s="101">
        <f t="shared" si="122"/>
        <v>0</v>
      </c>
      <c r="Z113" s="101">
        <v>1</v>
      </c>
      <c r="AA113" s="183">
        <v>0</v>
      </c>
      <c r="AB113" s="99">
        <v>1</v>
      </c>
      <c r="AC113" s="98">
        <v>0</v>
      </c>
      <c r="AD113" s="98">
        <v>0</v>
      </c>
      <c r="AE113" s="101">
        <f t="shared" si="123"/>
        <v>0</v>
      </c>
      <c r="AF113" s="100">
        <v>0</v>
      </c>
      <c r="AG113" s="98">
        <v>0</v>
      </c>
      <c r="AH113" s="99">
        <f t="shared" si="117"/>
        <v>0</v>
      </c>
      <c r="AI113" s="101">
        <v>1</v>
      </c>
      <c r="AJ113" s="106"/>
    </row>
    <row r="114" spans="2:36" s="35" customFormat="1" ht="17.100000000000001" customHeight="1">
      <c r="B114" s="105"/>
      <c r="C114" s="54"/>
      <c r="D114" s="96"/>
      <c r="E114" s="111"/>
      <c r="F114" s="112"/>
      <c r="G114" s="113"/>
      <c r="H114" s="183">
        <v>1</v>
      </c>
      <c r="I114" s="98">
        <v>0</v>
      </c>
      <c r="J114" s="98">
        <v>0</v>
      </c>
      <c r="K114" s="101">
        <f t="shared" si="118"/>
        <v>0</v>
      </c>
      <c r="L114" s="100">
        <v>0</v>
      </c>
      <c r="M114" s="98">
        <v>0</v>
      </c>
      <c r="N114" s="101">
        <f t="shared" si="119"/>
        <v>0</v>
      </c>
      <c r="O114" s="100">
        <v>0</v>
      </c>
      <c r="P114" s="98">
        <v>0</v>
      </c>
      <c r="Q114" s="101">
        <f t="shared" si="120"/>
        <v>0</v>
      </c>
      <c r="R114" s="100">
        <v>0</v>
      </c>
      <c r="S114" s="98">
        <v>0</v>
      </c>
      <c r="T114" s="101">
        <f t="shared" si="121"/>
        <v>0</v>
      </c>
      <c r="U114" s="183">
        <v>1</v>
      </c>
      <c r="V114" s="99">
        <v>1</v>
      </c>
      <c r="W114" s="98">
        <v>0</v>
      </c>
      <c r="X114" s="98">
        <v>0</v>
      </c>
      <c r="Y114" s="101">
        <f t="shared" si="122"/>
        <v>0</v>
      </c>
      <c r="Z114" s="101">
        <v>1</v>
      </c>
      <c r="AA114" s="183">
        <v>0</v>
      </c>
      <c r="AB114" s="99">
        <v>1</v>
      </c>
      <c r="AC114" s="98">
        <v>0</v>
      </c>
      <c r="AD114" s="98">
        <v>0</v>
      </c>
      <c r="AE114" s="101">
        <f t="shared" si="123"/>
        <v>0</v>
      </c>
      <c r="AF114" s="100">
        <v>0</v>
      </c>
      <c r="AG114" s="98">
        <v>0</v>
      </c>
      <c r="AH114" s="99">
        <f t="shared" si="117"/>
        <v>0</v>
      </c>
      <c r="AI114" s="101">
        <v>1</v>
      </c>
      <c r="AJ114" s="106"/>
    </row>
    <row r="115" spans="2:36" s="35" customFormat="1" ht="17.100000000000001" customHeight="1">
      <c r="B115" s="105"/>
      <c r="C115" s="54"/>
      <c r="D115" s="96"/>
      <c r="E115" s="111"/>
      <c r="F115" s="112"/>
      <c r="G115" s="113"/>
      <c r="H115" s="183">
        <v>1</v>
      </c>
      <c r="I115" s="98">
        <v>0</v>
      </c>
      <c r="J115" s="98">
        <v>0</v>
      </c>
      <c r="K115" s="101">
        <f t="shared" si="118"/>
        <v>0</v>
      </c>
      <c r="L115" s="100">
        <v>0</v>
      </c>
      <c r="M115" s="98">
        <v>0</v>
      </c>
      <c r="N115" s="101">
        <f t="shared" si="119"/>
        <v>0</v>
      </c>
      <c r="O115" s="100">
        <v>0</v>
      </c>
      <c r="P115" s="98">
        <v>0</v>
      </c>
      <c r="Q115" s="101">
        <f t="shared" si="120"/>
        <v>0</v>
      </c>
      <c r="R115" s="100">
        <v>0</v>
      </c>
      <c r="S115" s="98">
        <v>0</v>
      </c>
      <c r="T115" s="101">
        <f t="shared" si="121"/>
        <v>0</v>
      </c>
      <c r="U115" s="183">
        <v>1</v>
      </c>
      <c r="V115" s="99">
        <v>1</v>
      </c>
      <c r="W115" s="98">
        <v>0</v>
      </c>
      <c r="X115" s="98">
        <v>0</v>
      </c>
      <c r="Y115" s="101">
        <f t="shared" si="122"/>
        <v>0</v>
      </c>
      <c r="Z115" s="101">
        <v>1</v>
      </c>
      <c r="AA115" s="183">
        <v>0</v>
      </c>
      <c r="AB115" s="99">
        <v>1</v>
      </c>
      <c r="AC115" s="98">
        <v>0</v>
      </c>
      <c r="AD115" s="98">
        <v>0</v>
      </c>
      <c r="AE115" s="101">
        <f t="shared" si="123"/>
        <v>0</v>
      </c>
      <c r="AF115" s="100">
        <v>0</v>
      </c>
      <c r="AG115" s="98">
        <v>0</v>
      </c>
      <c r="AH115" s="99">
        <f t="shared" si="117"/>
        <v>0</v>
      </c>
      <c r="AI115" s="101">
        <v>1</v>
      </c>
      <c r="AJ115" s="106"/>
    </row>
    <row r="116" spans="2:36" s="126" customFormat="1" ht="17.100000000000001" customHeight="1" thickBot="1">
      <c r="B116" s="128"/>
      <c r="C116" s="154"/>
      <c r="D116" s="155"/>
      <c r="E116" s="156"/>
      <c r="F116" s="129"/>
      <c r="G116" s="130"/>
      <c r="H116" s="184">
        <v>1</v>
      </c>
      <c r="I116" s="361" t="s">
        <v>201</v>
      </c>
      <c r="J116" s="361"/>
      <c r="K116" s="131">
        <f>SUM(K109:K115)</f>
        <v>0</v>
      </c>
      <c r="L116" s="344" t="s">
        <v>201</v>
      </c>
      <c r="M116" s="345"/>
      <c r="N116" s="131">
        <f>SUM(N109:N115)</f>
        <v>0</v>
      </c>
      <c r="O116" s="344" t="s">
        <v>201</v>
      </c>
      <c r="P116" s="345"/>
      <c r="Q116" s="131">
        <f>SUM(Q109:Q115)</f>
        <v>0</v>
      </c>
      <c r="R116" s="344" t="s">
        <v>201</v>
      </c>
      <c r="S116" s="345"/>
      <c r="T116" s="131">
        <f>SUM(T109:T115)</f>
        <v>30</v>
      </c>
      <c r="U116" s="184">
        <v>2</v>
      </c>
      <c r="V116" s="160">
        <v>2</v>
      </c>
      <c r="W116" s="361" t="s">
        <v>201</v>
      </c>
      <c r="X116" s="361"/>
      <c r="Y116" s="131">
        <f>SUM(Y109:Y115)</f>
        <v>250</v>
      </c>
      <c r="Z116" s="133">
        <v>1</v>
      </c>
      <c r="AA116" s="184">
        <v>0</v>
      </c>
      <c r="AB116" s="160">
        <v>1</v>
      </c>
      <c r="AC116" s="361" t="s">
        <v>201</v>
      </c>
      <c r="AD116" s="361"/>
      <c r="AE116" s="131">
        <f>SUM(AE109:AE115)</f>
        <v>0</v>
      </c>
      <c r="AF116" s="362" t="s">
        <v>201</v>
      </c>
      <c r="AG116" s="361"/>
      <c r="AH116" s="144">
        <f>SUM(AH109:AH115)</f>
        <v>0</v>
      </c>
      <c r="AI116" s="133">
        <v>1</v>
      </c>
      <c r="AJ116" s="134"/>
    </row>
    <row r="117" spans="2:36" s="35" customFormat="1" ht="16.95" customHeight="1">
      <c r="B117" s="114"/>
      <c r="C117" s="157">
        <f>'3. Rekap Back Up Non Aspal '!C33</f>
        <v>2200</v>
      </c>
      <c r="D117" s="158">
        <f>'3. Rekap Back Up Non Aspal '!D33</f>
        <v>2300</v>
      </c>
      <c r="E117" s="159">
        <f>'3. Rekap Back Up Non Aspal '!E33</f>
        <v>3</v>
      </c>
      <c r="F117" s="115">
        <f>(100/((D117-C117)*E117))*((K124*0.05)+(N124*0.05)+(Q124*0.05)+(T124)+(Y124)+(AE124*1.5)+(AH124*1))</f>
        <v>66.666666666666657</v>
      </c>
      <c r="G117" s="116" t="str">
        <f>IF(F117&lt;=25,"RB",IF(F117&lt;=75,"RB",IF(F117&lt;=100,"RB","RB")))</f>
        <v>RB</v>
      </c>
      <c r="H117" s="185">
        <v>1</v>
      </c>
      <c r="I117" s="136">
        <v>0</v>
      </c>
      <c r="J117" s="136">
        <v>0</v>
      </c>
      <c r="K117" s="137">
        <f t="shared" ref="K117:K123" si="124">I117*J117</f>
        <v>0</v>
      </c>
      <c r="L117" s="136">
        <v>0</v>
      </c>
      <c r="M117" s="136">
        <v>0</v>
      </c>
      <c r="N117" s="137">
        <f t="shared" ref="N117:N123" si="125">L117*M117</f>
        <v>0</v>
      </c>
      <c r="O117" s="136">
        <v>0</v>
      </c>
      <c r="P117" s="136">
        <v>3</v>
      </c>
      <c r="Q117" s="137">
        <f t="shared" ref="Q117:Q123" si="126">O117*P117</f>
        <v>0</v>
      </c>
      <c r="R117" s="136">
        <v>0</v>
      </c>
      <c r="S117" s="136">
        <v>0</v>
      </c>
      <c r="T117" s="137">
        <f t="shared" ref="T117:T123" si="127">R117*S117</f>
        <v>0</v>
      </c>
      <c r="U117" s="185">
        <v>3</v>
      </c>
      <c r="V117" s="138">
        <v>2</v>
      </c>
      <c r="W117" s="136">
        <v>100</v>
      </c>
      <c r="X117" s="136">
        <v>2</v>
      </c>
      <c r="Y117" s="137">
        <f>W117*X117</f>
        <v>200</v>
      </c>
      <c r="Z117" s="137">
        <v>1</v>
      </c>
      <c r="AA117" s="185">
        <v>0</v>
      </c>
      <c r="AB117" s="138">
        <v>1</v>
      </c>
      <c r="AC117" s="136">
        <v>0</v>
      </c>
      <c r="AD117" s="136">
        <v>0</v>
      </c>
      <c r="AE117" s="137">
        <f t="shared" ref="AE117:AE123" si="128">AC117*AD117</f>
        <v>0</v>
      </c>
      <c r="AF117" s="136">
        <v>0</v>
      </c>
      <c r="AG117" s="136">
        <v>0</v>
      </c>
      <c r="AH117" s="138">
        <f t="shared" ref="AH117:AH123" si="129">AF117*AG117</f>
        <v>0</v>
      </c>
      <c r="AI117" s="137">
        <v>1</v>
      </c>
      <c r="AJ117" s="139"/>
    </row>
    <row r="118" spans="2:36" s="35" customFormat="1" ht="17.100000000000001" customHeight="1">
      <c r="B118" s="105"/>
      <c r="C118" s="54"/>
      <c r="D118" s="96"/>
      <c r="E118" s="111"/>
      <c r="F118" s="112"/>
      <c r="G118" s="113"/>
      <c r="H118" s="183">
        <v>1</v>
      </c>
      <c r="I118" s="98">
        <v>0</v>
      </c>
      <c r="J118" s="98">
        <v>0</v>
      </c>
      <c r="K118" s="101">
        <f t="shared" si="124"/>
        <v>0</v>
      </c>
      <c r="L118" s="100">
        <v>0</v>
      </c>
      <c r="M118" s="98">
        <v>0</v>
      </c>
      <c r="N118" s="101">
        <f t="shared" si="125"/>
        <v>0</v>
      </c>
      <c r="O118" s="100">
        <v>0</v>
      </c>
      <c r="P118" s="98">
        <v>0</v>
      </c>
      <c r="Q118" s="101">
        <f t="shared" si="126"/>
        <v>0</v>
      </c>
      <c r="R118" s="100">
        <v>0</v>
      </c>
      <c r="S118" s="98">
        <v>0</v>
      </c>
      <c r="T118" s="101">
        <f t="shared" si="127"/>
        <v>0</v>
      </c>
      <c r="U118" s="183">
        <v>1</v>
      </c>
      <c r="V118" s="99">
        <v>1</v>
      </c>
      <c r="W118" s="98">
        <v>0</v>
      </c>
      <c r="X118" s="98">
        <v>0</v>
      </c>
      <c r="Y118" s="101">
        <f t="shared" ref="Y118:Y123" si="130">W118*X118</f>
        <v>0</v>
      </c>
      <c r="Z118" s="101">
        <v>1</v>
      </c>
      <c r="AA118" s="183">
        <v>0</v>
      </c>
      <c r="AB118" s="99">
        <v>1</v>
      </c>
      <c r="AC118" s="98">
        <v>0</v>
      </c>
      <c r="AD118" s="98">
        <v>0</v>
      </c>
      <c r="AE118" s="101">
        <f t="shared" si="128"/>
        <v>0</v>
      </c>
      <c r="AF118" s="100">
        <v>0</v>
      </c>
      <c r="AG118" s="98">
        <v>0</v>
      </c>
      <c r="AH118" s="99">
        <f t="shared" si="129"/>
        <v>0</v>
      </c>
      <c r="AI118" s="101">
        <v>1</v>
      </c>
      <c r="AJ118" s="106"/>
    </row>
    <row r="119" spans="2:36" s="35" customFormat="1" ht="17.100000000000001" customHeight="1">
      <c r="B119" s="105"/>
      <c r="C119" s="54"/>
      <c r="D119" s="96"/>
      <c r="E119" s="111"/>
      <c r="F119" s="112"/>
      <c r="G119" s="113"/>
      <c r="H119" s="183">
        <v>1</v>
      </c>
      <c r="I119" s="98">
        <v>0</v>
      </c>
      <c r="J119" s="98">
        <v>0</v>
      </c>
      <c r="K119" s="101">
        <f t="shared" si="124"/>
        <v>0</v>
      </c>
      <c r="L119" s="100">
        <v>0</v>
      </c>
      <c r="M119" s="98">
        <v>0</v>
      </c>
      <c r="N119" s="101">
        <f t="shared" si="125"/>
        <v>0</v>
      </c>
      <c r="O119" s="100">
        <v>0</v>
      </c>
      <c r="P119" s="98">
        <v>0</v>
      </c>
      <c r="Q119" s="101">
        <f t="shared" si="126"/>
        <v>0</v>
      </c>
      <c r="R119" s="100">
        <v>0</v>
      </c>
      <c r="S119" s="98">
        <v>0</v>
      </c>
      <c r="T119" s="101">
        <f t="shared" si="127"/>
        <v>0</v>
      </c>
      <c r="U119" s="183">
        <v>1</v>
      </c>
      <c r="V119" s="99">
        <v>1</v>
      </c>
      <c r="W119" s="98">
        <v>0</v>
      </c>
      <c r="X119" s="98">
        <v>0</v>
      </c>
      <c r="Y119" s="101">
        <f t="shared" si="130"/>
        <v>0</v>
      </c>
      <c r="Z119" s="101">
        <v>1</v>
      </c>
      <c r="AA119" s="183">
        <v>0</v>
      </c>
      <c r="AB119" s="99">
        <v>1</v>
      </c>
      <c r="AC119" s="98">
        <v>0</v>
      </c>
      <c r="AD119" s="98">
        <v>0</v>
      </c>
      <c r="AE119" s="101">
        <f t="shared" si="128"/>
        <v>0</v>
      </c>
      <c r="AF119" s="100">
        <v>0</v>
      </c>
      <c r="AG119" s="98">
        <v>0</v>
      </c>
      <c r="AH119" s="99">
        <f t="shared" si="129"/>
        <v>0</v>
      </c>
      <c r="AI119" s="101">
        <v>1</v>
      </c>
      <c r="AJ119" s="106"/>
    </row>
    <row r="120" spans="2:36" s="35" customFormat="1" ht="17.100000000000001" customHeight="1">
      <c r="B120" s="105"/>
      <c r="C120" s="54"/>
      <c r="D120" s="96"/>
      <c r="E120" s="111"/>
      <c r="F120" s="112"/>
      <c r="G120" s="113"/>
      <c r="H120" s="183">
        <v>1</v>
      </c>
      <c r="I120" s="98">
        <v>0</v>
      </c>
      <c r="J120" s="98">
        <v>0</v>
      </c>
      <c r="K120" s="101">
        <f t="shared" si="124"/>
        <v>0</v>
      </c>
      <c r="L120" s="100">
        <v>0</v>
      </c>
      <c r="M120" s="98">
        <v>0</v>
      </c>
      <c r="N120" s="101">
        <f t="shared" si="125"/>
        <v>0</v>
      </c>
      <c r="O120" s="100">
        <v>0</v>
      </c>
      <c r="P120" s="98">
        <v>0</v>
      </c>
      <c r="Q120" s="101">
        <f t="shared" si="126"/>
        <v>0</v>
      </c>
      <c r="R120" s="100">
        <v>0</v>
      </c>
      <c r="S120" s="98">
        <v>0</v>
      </c>
      <c r="T120" s="101">
        <f t="shared" si="127"/>
        <v>0</v>
      </c>
      <c r="U120" s="183">
        <v>1</v>
      </c>
      <c r="V120" s="99">
        <v>1</v>
      </c>
      <c r="W120" s="98">
        <v>0</v>
      </c>
      <c r="X120" s="98">
        <v>0</v>
      </c>
      <c r="Y120" s="101">
        <f t="shared" si="130"/>
        <v>0</v>
      </c>
      <c r="Z120" s="101">
        <v>1</v>
      </c>
      <c r="AA120" s="183">
        <v>0</v>
      </c>
      <c r="AB120" s="99">
        <v>1</v>
      </c>
      <c r="AC120" s="98">
        <v>0</v>
      </c>
      <c r="AD120" s="98">
        <v>0</v>
      </c>
      <c r="AE120" s="101">
        <f t="shared" si="128"/>
        <v>0</v>
      </c>
      <c r="AF120" s="100">
        <v>0</v>
      </c>
      <c r="AG120" s="98">
        <v>0</v>
      </c>
      <c r="AH120" s="99">
        <f t="shared" si="129"/>
        <v>0</v>
      </c>
      <c r="AI120" s="101">
        <v>1</v>
      </c>
      <c r="AJ120" s="106"/>
    </row>
    <row r="121" spans="2:36" s="35" customFormat="1" ht="17.100000000000001" customHeight="1">
      <c r="B121" s="105"/>
      <c r="C121" s="54"/>
      <c r="D121" s="96"/>
      <c r="E121" s="111"/>
      <c r="F121" s="112"/>
      <c r="G121" s="113"/>
      <c r="H121" s="183">
        <v>1</v>
      </c>
      <c r="I121" s="98">
        <v>0</v>
      </c>
      <c r="J121" s="98">
        <v>0</v>
      </c>
      <c r="K121" s="101">
        <f t="shared" si="124"/>
        <v>0</v>
      </c>
      <c r="L121" s="100">
        <v>0</v>
      </c>
      <c r="M121" s="98">
        <v>0</v>
      </c>
      <c r="N121" s="101">
        <f t="shared" si="125"/>
        <v>0</v>
      </c>
      <c r="O121" s="100">
        <v>0</v>
      </c>
      <c r="P121" s="98">
        <v>0</v>
      </c>
      <c r="Q121" s="101">
        <f t="shared" si="126"/>
        <v>0</v>
      </c>
      <c r="R121" s="100">
        <v>0</v>
      </c>
      <c r="S121" s="98">
        <v>0</v>
      </c>
      <c r="T121" s="101">
        <f t="shared" si="127"/>
        <v>0</v>
      </c>
      <c r="U121" s="183">
        <v>1</v>
      </c>
      <c r="V121" s="99">
        <v>1</v>
      </c>
      <c r="W121" s="98">
        <v>0</v>
      </c>
      <c r="X121" s="98">
        <v>0</v>
      </c>
      <c r="Y121" s="101">
        <f t="shared" si="130"/>
        <v>0</v>
      </c>
      <c r="Z121" s="101">
        <v>1</v>
      </c>
      <c r="AA121" s="183">
        <v>0</v>
      </c>
      <c r="AB121" s="99">
        <v>1</v>
      </c>
      <c r="AC121" s="98">
        <v>0</v>
      </c>
      <c r="AD121" s="98">
        <v>0</v>
      </c>
      <c r="AE121" s="101">
        <f t="shared" si="128"/>
        <v>0</v>
      </c>
      <c r="AF121" s="100">
        <v>0</v>
      </c>
      <c r="AG121" s="98">
        <v>0</v>
      </c>
      <c r="AH121" s="99">
        <f t="shared" si="129"/>
        <v>0</v>
      </c>
      <c r="AI121" s="101">
        <v>1</v>
      </c>
      <c r="AJ121" s="106"/>
    </row>
    <row r="122" spans="2:36" s="35" customFormat="1" ht="17.100000000000001" customHeight="1">
      <c r="B122" s="105"/>
      <c r="C122" s="54"/>
      <c r="D122" s="96"/>
      <c r="E122" s="111"/>
      <c r="F122" s="112"/>
      <c r="G122" s="113"/>
      <c r="H122" s="183">
        <v>1</v>
      </c>
      <c r="I122" s="98">
        <v>0</v>
      </c>
      <c r="J122" s="98">
        <v>0</v>
      </c>
      <c r="K122" s="101">
        <f t="shared" si="124"/>
        <v>0</v>
      </c>
      <c r="L122" s="100">
        <v>0</v>
      </c>
      <c r="M122" s="98">
        <v>0</v>
      </c>
      <c r="N122" s="101">
        <f t="shared" si="125"/>
        <v>0</v>
      </c>
      <c r="O122" s="100">
        <v>0</v>
      </c>
      <c r="P122" s="98">
        <v>0</v>
      </c>
      <c r="Q122" s="101">
        <f t="shared" si="126"/>
        <v>0</v>
      </c>
      <c r="R122" s="100">
        <v>0</v>
      </c>
      <c r="S122" s="98">
        <v>0</v>
      </c>
      <c r="T122" s="101">
        <f t="shared" si="127"/>
        <v>0</v>
      </c>
      <c r="U122" s="183">
        <v>1</v>
      </c>
      <c r="V122" s="99">
        <v>1</v>
      </c>
      <c r="W122" s="98">
        <v>0</v>
      </c>
      <c r="X122" s="98">
        <v>0</v>
      </c>
      <c r="Y122" s="101">
        <f t="shared" si="130"/>
        <v>0</v>
      </c>
      <c r="Z122" s="101">
        <v>1</v>
      </c>
      <c r="AA122" s="183">
        <v>0</v>
      </c>
      <c r="AB122" s="99">
        <v>1</v>
      </c>
      <c r="AC122" s="98">
        <v>0</v>
      </c>
      <c r="AD122" s="98">
        <v>0</v>
      </c>
      <c r="AE122" s="101">
        <f t="shared" si="128"/>
        <v>0</v>
      </c>
      <c r="AF122" s="100">
        <v>0</v>
      </c>
      <c r="AG122" s="98">
        <v>0</v>
      </c>
      <c r="AH122" s="99">
        <f t="shared" si="129"/>
        <v>0</v>
      </c>
      <c r="AI122" s="101">
        <v>1</v>
      </c>
      <c r="AJ122" s="106"/>
    </row>
    <row r="123" spans="2:36" s="35" customFormat="1" ht="17.100000000000001" customHeight="1">
      <c r="B123" s="105"/>
      <c r="C123" s="54"/>
      <c r="D123" s="96"/>
      <c r="E123" s="111"/>
      <c r="F123" s="112"/>
      <c r="G123" s="113"/>
      <c r="H123" s="183">
        <v>1</v>
      </c>
      <c r="I123" s="98">
        <v>0</v>
      </c>
      <c r="J123" s="98">
        <v>0</v>
      </c>
      <c r="K123" s="101">
        <f t="shared" si="124"/>
        <v>0</v>
      </c>
      <c r="L123" s="100">
        <v>0</v>
      </c>
      <c r="M123" s="98">
        <v>0</v>
      </c>
      <c r="N123" s="101">
        <f t="shared" si="125"/>
        <v>0</v>
      </c>
      <c r="O123" s="100">
        <v>0</v>
      </c>
      <c r="P123" s="98">
        <v>0</v>
      </c>
      <c r="Q123" s="101">
        <f t="shared" si="126"/>
        <v>0</v>
      </c>
      <c r="R123" s="100">
        <v>0</v>
      </c>
      <c r="S123" s="98">
        <v>0</v>
      </c>
      <c r="T123" s="101">
        <f t="shared" si="127"/>
        <v>0</v>
      </c>
      <c r="U123" s="183">
        <v>1</v>
      </c>
      <c r="V123" s="99">
        <v>1</v>
      </c>
      <c r="W123" s="98">
        <v>0</v>
      </c>
      <c r="X123" s="98">
        <v>0</v>
      </c>
      <c r="Y123" s="101">
        <f t="shared" si="130"/>
        <v>0</v>
      </c>
      <c r="Z123" s="101">
        <v>1</v>
      </c>
      <c r="AA123" s="183">
        <v>0</v>
      </c>
      <c r="AB123" s="99">
        <v>1</v>
      </c>
      <c r="AC123" s="98">
        <v>0</v>
      </c>
      <c r="AD123" s="98">
        <v>0</v>
      </c>
      <c r="AE123" s="101">
        <f t="shared" si="128"/>
        <v>0</v>
      </c>
      <c r="AF123" s="100">
        <v>0</v>
      </c>
      <c r="AG123" s="98">
        <v>0</v>
      </c>
      <c r="AH123" s="99">
        <f t="shared" si="129"/>
        <v>0</v>
      </c>
      <c r="AI123" s="101">
        <v>1</v>
      </c>
      <c r="AJ123" s="106"/>
    </row>
    <row r="124" spans="2:36" s="126" customFormat="1" ht="17.100000000000001" customHeight="1">
      <c r="B124" s="118"/>
      <c r="C124" s="119"/>
      <c r="D124" s="120"/>
      <c r="E124" s="121"/>
      <c r="F124" s="122"/>
      <c r="G124" s="123"/>
      <c r="H124" s="183">
        <v>1</v>
      </c>
      <c r="I124" s="363" t="s">
        <v>201</v>
      </c>
      <c r="J124" s="363"/>
      <c r="K124" s="124">
        <f>SUM(K117:K123)</f>
        <v>0</v>
      </c>
      <c r="L124" s="341" t="s">
        <v>201</v>
      </c>
      <c r="M124" s="342"/>
      <c r="N124" s="124">
        <f>SUM(N117:N123)</f>
        <v>0</v>
      </c>
      <c r="O124" s="341" t="s">
        <v>201</v>
      </c>
      <c r="P124" s="342"/>
      <c r="Q124" s="124">
        <f>SUM(Q117:Q123)</f>
        <v>0</v>
      </c>
      <c r="R124" s="341" t="s">
        <v>201</v>
      </c>
      <c r="S124" s="342"/>
      <c r="T124" s="124">
        <f>SUM(T117:T123)</f>
        <v>0</v>
      </c>
      <c r="U124" s="183">
        <v>3</v>
      </c>
      <c r="V124" s="99">
        <v>2</v>
      </c>
      <c r="W124" s="363" t="s">
        <v>201</v>
      </c>
      <c r="X124" s="363"/>
      <c r="Y124" s="124">
        <f>SUM(Y117:Y123)</f>
        <v>200</v>
      </c>
      <c r="Z124" s="101">
        <v>1</v>
      </c>
      <c r="AA124" s="183">
        <v>0</v>
      </c>
      <c r="AB124" s="99">
        <v>1</v>
      </c>
      <c r="AC124" s="363" t="s">
        <v>201</v>
      </c>
      <c r="AD124" s="363"/>
      <c r="AE124" s="124">
        <f>SUM(AE117:AE123)</f>
        <v>0</v>
      </c>
      <c r="AF124" s="364" t="s">
        <v>201</v>
      </c>
      <c r="AG124" s="363"/>
      <c r="AH124" s="143">
        <f>SUM(AH117:AH123)</f>
        <v>0</v>
      </c>
      <c r="AI124" s="101">
        <v>1</v>
      </c>
      <c r="AJ124" s="125"/>
    </row>
    <row r="125" spans="2:36" s="35" customFormat="1" ht="16.95" customHeight="1">
      <c r="B125" s="105"/>
      <c r="C125" s="54">
        <f>'3. Rekap Back Up Non Aspal '!C34</f>
        <v>2300</v>
      </c>
      <c r="D125" s="96">
        <f>'3. Rekap Back Up Non Aspal '!D34</f>
        <v>2400</v>
      </c>
      <c r="E125" s="111">
        <f>'3. Rekap Back Up Non Aspal '!E34</f>
        <v>3</v>
      </c>
      <c r="F125" s="112">
        <f>(100/((D125-C125)*E125))*((K132*0.05)+(N132*0.05)+(Q132*0.05)+(T132)+(Y132)+(AE132*1.5)+(AH132*1))</f>
        <v>83.333333333333329</v>
      </c>
      <c r="G125" s="113" t="str">
        <f>IF(F125&lt;=25,"RB",IF(F125&lt;=75,"RB",IF(F125&lt;=100,"RB","RB")))</f>
        <v>RB</v>
      </c>
      <c r="H125" s="183">
        <v>1</v>
      </c>
      <c r="I125" s="98">
        <v>0</v>
      </c>
      <c r="J125" s="98">
        <v>0</v>
      </c>
      <c r="K125" s="101">
        <f t="shared" ref="K125:K131" si="131">I125*J125</f>
        <v>0</v>
      </c>
      <c r="L125" s="98">
        <v>0</v>
      </c>
      <c r="M125" s="98">
        <v>0</v>
      </c>
      <c r="N125" s="101">
        <f t="shared" ref="N125:N131" si="132">L125*M125</f>
        <v>0</v>
      </c>
      <c r="O125" s="98">
        <v>0</v>
      </c>
      <c r="P125" s="98">
        <v>0</v>
      </c>
      <c r="Q125" s="101">
        <f t="shared" ref="Q125:Q131" si="133">O125*P125</f>
        <v>0</v>
      </c>
      <c r="R125" s="98">
        <v>0</v>
      </c>
      <c r="S125" s="98">
        <v>0</v>
      </c>
      <c r="T125" s="101">
        <f t="shared" ref="T125:T131" si="134">R125*S125</f>
        <v>0</v>
      </c>
      <c r="U125" s="183">
        <v>2</v>
      </c>
      <c r="V125" s="99">
        <v>4</v>
      </c>
      <c r="W125" s="98">
        <v>100</v>
      </c>
      <c r="X125" s="187">
        <v>2.5</v>
      </c>
      <c r="Y125" s="101">
        <f>W125*X125</f>
        <v>250</v>
      </c>
      <c r="Z125" s="101">
        <v>1</v>
      </c>
      <c r="AA125" s="183">
        <v>0</v>
      </c>
      <c r="AB125" s="99">
        <v>1</v>
      </c>
      <c r="AC125" s="98">
        <v>0</v>
      </c>
      <c r="AD125" s="98">
        <v>0</v>
      </c>
      <c r="AE125" s="101">
        <f t="shared" ref="AE125:AE131" si="135">AC125*AD125</f>
        <v>0</v>
      </c>
      <c r="AF125" s="98">
        <v>0</v>
      </c>
      <c r="AG125" s="98">
        <v>3</v>
      </c>
      <c r="AH125" s="99">
        <f t="shared" ref="AH125:AH131" si="136">AF125*AG125</f>
        <v>0</v>
      </c>
      <c r="AI125" s="101">
        <v>1</v>
      </c>
      <c r="AJ125" s="106"/>
    </row>
    <row r="126" spans="2:36" s="35" customFormat="1" ht="17.100000000000001" customHeight="1">
      <c r="B126" s="105"/>
      <c r="C126" s="54"/>
      <c r="D126" s="96"/>
      <c r="E126" s="111"/>
      <c r="F126" s="112"/>
      <c r="G126" s="113"/>
      <c r="H126" s="183">
        <v>1</v>
      </c>
      <c r="I126" s="98">
        <v>0</v>
      </c>
      <c r="J126" s="98">
        <v>0</v>
      </c>
      <c r="K126" s="101">
        <f t="shared" si="131"/>
        <v>0</v>
      </c>
      <c r="L126" s="100">
        <v>0</v>
      </c>
      <c r="M126" s="98">
        <v>0</v>
      </c>
      <c r="N126" s="101">
        <f t="shared" si="132"/>
        <v>0</v>
      </c>
      <c r="O126" s="100">
        <v>0</v>
      </c>
      <c r="P126" s="98">
        <v>0</v>
      </c>
      <c r="Q126" s="101">
        <f t="shared" si="133"/>
        <v>0</v>
      </c>
      <c r="R126" s="100">
        <v>0</v>
      </c>
      <c r="S126" s="98">
        <v>0</v>
      </c>
      <c r="T126" s="101">
        <f t="shared" si="134"/>
        <v>0</v>
      </c>
      <c r="U126" s="183">
        <v>1</v>
      </c>
      <c r="V126" s="99">
        <v>1</v>
      </c>
      <c r="W126" s="98">
        <v>0</v>
      </c>
      <c r="X126" s="98">
        <v>0</v>
      </c>
      <c r="Y126" s="101">
        <f t="shared" ref="Y126:Y131" si="137">W126*X126</f>
        <v>0</v>
      </c>
      <c r="Z126" s="101">
        <v>1</v>
      </c>
      <c r="AA126" s="183">
        <v>0</v>
      </c>
      <c r="AB126" s="99">
        <v>1</v>
      </c>
      <c r="AC126" s="98">
        <v>0</v>
      </c>
      <c r="AD126" s="98">
        <v>0</v>
      </c>
      <c r="AE126" s="101">
        <f t="shared" si="135"/>
        <v>0</v>
      </c>
      <c r="AF126" s="100">
        <v>0</v>
      </c>
      <c r="AG126" s="98">
        <v>0</v>
      </c>
      <c r="AH126" s="99">
        <f t="shared" si="136"/>
        <v>0</v>
      </c>
      <c r="AI126" s="101">
        <v>1</v>
      </c>
      <c r="AJ126" s="106"/>
    </row>
    <row r="127" spans="2:36" s="35" customFormat="1" ht="17.100000000000001" customHeight="1">
      <c r="B127" s="105"/>
      <c r="C127" s="54"/>
      <c r="D127" s="96"/>
      <c r="E127" s="111"/>
      <c r="F127" s="112"/>
      <c r="G127" s="113"/>
      <c r="H127" s="183">
        <v>1</v>
      </c>
      <c r="I127" s="98">
        <v>0</v>
      </c>
      <c r="J127" s="98">
        <v>0</v>
      </c>
      <c r="K127" s="101">
        <f t="shared" si="131"/>
        <v>0</v>
      </c>
      <c r="L127" s="100">
        <v>0</v>
      </c>
      <c r="M127" s="98">
        <v>0</v>
      </c>
      <c r="N127" s="101">
        <f t="shared" si="132"/>
        <v>0</v>
      </c>
      <c r="O127" s="100">
        <v>0</v>
      </c>
      <c r="P127" s="98">
        <v>0</v>
      </c>
      <c r="Q127" s="101">
        <f t="shared" si="133"/>
        <v>0</v>
      </c>
      <c r="R127" s="100">
        <v>0</v>
      </c>
      <c r="S127" s="98">
        <v>0</v>
      </c>
      <c r="T127" s="101">
        <f t="shared" si="134"/>
        <v>0</v>
      </c>
      <c r="U127" s="183">
        <v>1</v>
      </c>
      <c r="V127" s="99">
        <v>1</v>
      </c>
      <c r="W127" s="98">
        <v>0</v>
      </c>
      <c r="X127" s="98">
        <v>0</v>
      </c>
      <c r="Y127" s="101">
        <f t="shared" si="137"/>
        <v>0</v>
      </c>
      <c r="Z127" s="101">
        <v>1</v>
      </c>
      <c r="AA127" s="183">
        <v>0</v>
      </c>
      <c r="AB127" s="99">
        <v>1</v>
      </c>
      <c r="AC127" s="98">
        <v>0</v>
      </c>
      <c r="AD127" s="98">
        <v>0</v>
      </c>
      <c r="AE127" s="101">
        <f t="shared" si="135"/>
        <v>0</v>
      </c>
      <c r="AF127" s="100">
        <v>0</v>
      </c>
      <c r="AG127" s="98">
        <v>0</v>
      </c>
      <c r="AH127" s="99">
        <f t="shared" si="136"/>
        <v>0</v>
      </c>
      <c r="AI127" s="101">
        <v>1</v>
      </c>
      <c r="AJ127" s="106"/>
    </row>
    <row r="128" spans="2:36" s="35" customFormat="1" ht="17.100000000000001" customHeight="1">
      <c r="B128" s="105"/>
      <c r="C128" s="54"/>
      <c r="D128" s="96"/>
      <c r="E128" s="111"/>
      <c r="F128" s="112"/>
      <c r="G128" s="113"/>
      <c r="H128" s="183">
        <v>1</v>
      </c>
      <c r="I128" s="98">
        <v>0</v>
      </c>
      <c r="J128" s="98">
        <v>0</v>
      </c>
      <c r="K128" s="101">
        <f t="shared" si="131"/>
        <v>0</v>
      </c>
      <c r="L128" s="100">
        <v>0</v>
      </c>
      <c r="M128" s="98">
        <v>0</v>
      </c>
      <c r="N128" s="101">
        <f t="shared" si="132"/>
        <v>0</v>
      </c>
      <c r="O128" s="100">
        <v>0</v>
      </c>
      <c r="P128" s="98">
        <v>0</v>
      </c>
      <c r="Q128" s="101">
        <f t="shared" si="133"/>
        <v>0</v>
      </c>
      <c r="R128" s="100">
        <v>0</v>
      </c>
      <c r="S128" s="98">
        <v>0</v>
      </c>
      <c r="T128" s="101">
        <f t="shared" si="134"/>
        <v>0</v>
      </c>
      <c r="U128" s="183">
        <v>1</v>
      </c>
      <c r="V128" s="99">
        <v>1</v>
      </c>
      <c r="W128" s="98">
        <v>0</v>
      </c>
      <c r="X128" s="98">
        <v>0</v>
      </c>
      <c r="Y128" s="101">
        <f t="shared" si="137"/>
        <v>0</v>
      </c>
      <c r="Z128" s="101">
        <v>1</v>
      </c>
      <c r="AA128" s="183">
        <v>0</v>
      </c>
      <c r="AB128" s="99">
        <v>1</v>
      </c>
      <c r="AC128" s="98">
        <v>0</v>
      </c>
      <c r="AD128" s="98">
        <v>0</v>
      </c>
      <c r="AE128" s="101">
        <f t="shared" si="135"/>
        <v>0</v>
      </c>
      <c r="AF128" s="100">
        <v>0</v>
      </c>
      <c r="AG128" s="98">
        <v>0</v>
      </c>
      <c r="AH128" s="99">
        <f t="shared" si="136"/>
        <v>0</v>
      </c>
      <c r="AI128" s="101">
        <v>1</v>
      </c>
      <c r="AJ128" s="106"/>
    </row>
    <row r="129" spans="2:36" s="35" customFormat="1" ht="17.100000000000001" customHeight="1">
      <c r="B129" s="105"/>
      <c r="C129" s="54"/>
      <c r="D129" s="96"/>
      <c r="E129" s="111"/>
      <c r="F129" s="112"/>
      <c r="G129" s="113"/>
      <c r="H129" s="183">
        <v>1</v>
      </c>
      <c r="I129" s="98">
        <v>0</v>
      </c>
      <c r="J129" s="98">
        <v>0</v>
      </c>
      <c r="K129" s="101">
        <f t="shared" si="131"/>
        <v>0</v>
      </c>
      <c r="L129" s="100">
        <v>0</v>
      </c>
      <c r="M129" s="98">
        <v>0</v>
      </c>
      <c r="N129" s="101">
        <f t="shared" si="132"/>
        <v>0</v>
      </c>
      <c r="O129" s="100">
        <v>0</v>
      </c>
      <c r="P129" s="98">
        <v>0</v>
      </c>
      <c r="Q129" s="101">
        <f t="shared" si="133"/>
        <v>0</v>
      </c>
      <c r="R129" s="100">
        <v>0</v>
      </c>
      <c r="S129" s="98">
        <v>0</v>
      </c>
      <c r="T129" s="101">
        <f t="shared" si="134"/>
        <v>0</v>
      </c>
      <c r="U129" s="183">
        <v>1</v>
      </c>
      <c r="V129" s="99">
        <v>1</v>
      </c>
      <c r="W129" s="98">
        <v>0</v>
      </c>
      <c r="X129" s="98">
        <v>0</v>
      </c>
      <c r="Y129" s="101">
        <f t="shared" si="137"/>
        <v>0</v>
      </c>
      <c r="Z129" s="101">
        <v>1</v>
      </c>
      <c r="AA129" s="183">
        <v>0</v>
      </c>
      <c r="AB129" s="99">
        <v>1</v>
      </c>
      <c r="AC129" s="98">
        <v>0</v>
      </c>
      <c r="AD129" s="98">
        <v>0</v>
      </c>
      <c r="AE129" s="101">
        <f t="shared" si="135"/>
        <v>0</v>
      </c>
      <c r="AF129" s="100">
        <v>0</v>
      </c>
      <c r="AG129" s="98">
        <v>0</v>
      </c>
      <c r="AH129" s="99">
        <f t="shared" si="136"/>
        <v>0</v>
      </c>
      <c r="AI129" s="101">
        <v>1</v>
      </c>
      <c r="AJ129" s="106"/>
    </row>
    <row r="130" spans="2:36" s="35" customFormat="1" ht="17.100000000000001" customHeight="1">
      <c r="B130" s="105"/>
      <c r="C130" s="54"/>
      <c r="D130" s="96"/>
      <c r="E130" s="111"/>
      <c r="F130" s="112"/>
      <c r="G130" s="113"/>
      <c r="H130" s="183">
        <v>1</v>
      </c>
      <c r="I130" s="98">
        <v>0</v>
      </c>
      <c r="J130" s="98">
        <v>0</v>
      </c>
      <c r="K130" s="101">
        <f t="shared" si="131"/>
        <v>0</v>
      </c>
      <c r="L130" s="100">
        <v>0</v>
      </c>
      <c r="M130" s="98">
        <v>0</v>
      </c>
      <c r="N130" s="101">
        <f t="shared" si="132"/>
        <v>0</v>
      </c>
      <c r="O130" s="100">
        <v>0</v>
      </c>
      <c r="P130" s="98">
        <v>0</v>
      </c>
      <c r="Q130" s="101">
        <f t="shared" si="133"/>
        <v>0</v>
      </c>
      <c r="R130" s="100">
        <v>0</v>
      </c>
      <c r="S130" s="98">
        <v>0</v>
      </c>
      <c r="T130" s="101">
        <f t="shared" si="134"/>
        <v>0</v>
      </c>
      <c r="U130" s="183">
        <v>1</v>
      </c>
      <c r="V130" s="99">
        <v>1</v>
      </c>
      <c r="W130" s="98">
        <v>0</v>
      </c>
      <c r="X130" s="98">
        <v>0</v>
      </c>
      <c r="Y130" s="101">
        <f t="shared" si="137"/>
        <v>0</v>
      </c>
      <c r="Z130" s="101">
        <v>1</v>
      </c>
      <c r="AA130" s="183">
        <v>0</v>
      </c>
      <c r="AB130" s="99">
        <v>1</v>
      </c>
      <c r="AC130" s="98">
        <v>0</v>
      </c>
      <c r="AD130" s="98">
        <v>0</v>
      </c>
      <c r="AE130" s="101">
        <f t="shared" si="135"/>
        <v>0</v>
      </c>
      <c r="AF130" s="100">
        <v>0</v>
      </c>
      <c r="AG130" s="98">
        <v>0</v>
      </c>
      <c r="AH130" s="99">
        <f t="shared" si="136"/>
        <v>0</v>
      </c>
      <c r="AI130" s="101">
        <v>1</v>
      </c>
      <c r="AJ130" s="106"/>
    </row>
    <row r="131" spans="2:36" s="35" customFormat="1" ht="17.100000000000001" customHeight="1">
      <c r="B131" s="105"/>
      <c r="C131" s="54"/>
      <c r="D131" s="96"/>
      <c r="E131" s="111"/>
      <c r="F131" s="112"/>
      <c r="G131" s="113"/>
      <c r="H131" s="183">
        <v>1</v>
      </c>
      <c r="I131" s="98">
        <v>0</v>
      </c>
      <c r="J131" s="98">
        <v>0</v>
      </c>
      <c r="K131" s="101">
        <f t="shared" si="131"/>
        <v>0</v>
      </c>
      <c r="L131" s="100">
        <v>0</v>
      </c>
      <c r="M131" s="98">
        <v>0</v>
      </c>
      <c r="N131" s="101">
        <f t="shared" si="132"/>
        <v>0</v>
      </c>
      <c r="O131" s="100">
        <v>0</v>
      </c>
      <c r="P131" s="98">
        <v>0</v>
      </c>
      <c r="Q131" s="101">
        <f t="shared" si="133"/>
        <v>0</v>
      </c>
      <c r="R131" s="100">
        <v>0</v>
      </c>
      <c r="S131" s="98">
        <v>0</v>
      </c>
      <c r="T131" s="101">
        <f t="shared" si="134"/>
        <v>0</v>
      </c>
      <c r="U131" s="183">
        <v>1</v>
      </c>
      <c r="V131" s="99">
        <v>1</v>
      </c>
      <c r="W131" s="98">
        <v>0</v>
      </c>
      <c r="X131" s="98">
        <v>0</v>
      </c>
      <c r="Y131" s="101">
        <f t="shared" si="137"/>
        <v>0</v>
      </c>
      <c r="Z131" s="101">
        <v>1</v>
      </c>
      <c r="AA131" s="183">
        <v>0</v>
      </c>
      <c r="AB131" s="99">
        <v>1</v>
      </c>
      <c r="AC131" s="98">
        <v>0</v>
      </c>
      <c r="AD131" s="98">
        <v>0</v>
      </c>
      <c r="AE131" s="101">
        <f t="shared" si="135"/>
        <v>0</v>
      </c>
      <c r="AF131" s="100">
        <v>0</v>
      </c>
      <c r="AG131" s="98">
        <v>0</v>
      </c>
      <c r="AH131" s="99">
        <f t="shared" si="136"/>
        <v>0</v>
      </c>
      <c r="AI131" s="101">
        <v>1</v>
      </c>
      <c r="AJ131" s="106"/>
    </row>
    <row r="132" spans="2:36" s="126" customFormat="1" ht="17.100000000000001" customHeight="1">
      <c r="B132" s="118"/>
      <c r="C132" s="119"/>
      <c r="D132" s="120"/>
      <c r="E132" s="121"/>
      <c r="F132" s="122"/>
      <c r="G132" s="123"/>
      <c r="H132" s="183">
        <v>1</v>
      </c>
      <c r="I132" s="363" t="s">
        <v>201</v>
      </c>
      <c r="J132" s="363"/>
      <c r="K132" s="124">
        <f>SUM(K125:K131)</f>
        <v>0</v>
      </c>
      <c r="L132" s="341" t="s">
        <v>201</v>
      </c>
      <c r="M132" s="342"/>
      <c r="N132" s="124">
        <f>SUM(N125:N131)</f>
        <v>0</v>
      </c>
      <c r="O132" s="341" t="s">
        <v>201</v>
      </c>
      <c r="P132" s="342"/>
      <c r="Q132" s="124">
        <f>SUM(Q125:Q131)</f>
        <v>0</v>
      </c>
      <c r="R132" s="341" t="s">
        <v>201</v>
      </c>
      <c r="S132" s="342"/>
      <c r="T132" s="124">
        <f>SUM(T125:T131)</f>
        <v>0</v>
      </c>
      <c r="U132" s="183">
        <v>2</v>
      </c>
      <c r="V132" s="99">
        <v>4</v>
      </c>
      <c r="W132" s="363" t="s">
        <v>201</v>
      </c>
      <c r="X132" s="363"/>
      <c r="Y132" s="124">
        <f>SUM(Y125:Y131)</f>
        <v>250</v>
      </c>
      <c r="Z132" s="101">
        <v>1</v>
      </c>
      <c r="AA132" s="183">
        <v>0</v>
      </c>
      <c r="AB132" s="99">
        <v>1</v>
      </c>
      <c r="AC132" s="363" t="s">
        <v>201</v>
      </c>
      <c r="AD132" s="363"/>
      <c r="AE132" s="124">
        <f>SUM(AE125:AE131)</f>
        <v>0</v>
      </c>
      <c r="AF132" s="364" t="s">
        <v>201</v>
      </c>
      <c r="AG132" s="363"/>
      <c r="AH132" s="143">
        <f>SUM(AH125:AH131)</f>
        <v>0</v>
      </c>
      <c r="AI132" s="101">
        <v>1</v>
      </c>
      <c r="AJ132" s="125"/>
    </row>
    <row r="133" spans="2:36" s="35" customFormat="1" ht="16.95" customHeight="1">
      <c r="B133" s="105"/>
      <c r="C133" s="54">
        <f>'3. Rekap Back Up Non Aspal '!C35</f>
        <v>2400</v>
      </c>
      <c r="D133" s="96">
        <f>'3. Rekap Back Up Non Aspal '!D35</f>
        <v>2500</v>
      </c>
      <c r="E133" s="111">
        <f>'3. Rekap Back Up Non Aspal '!E35</f>
        <v>3</v>
      </c>
      <c r="F133" s="112">
        <f>(100/((D133-C133)*E133))*((K140*0.05)+(N140*0.05)+(Q140*0.05)+(T140)+(Y140)+(AE140*1.5)+(AH140*1))</f>
        <v>83.333333333333329</v>
      </c>
      <c r="G133" s="113" t="str">
        <f>IF(F133&lt;=25,"RB",IF(F133&lt;=75,"RB",IF(F133&lt;=100,"RB","RB")))</f>
        <v>RB</v>
      </c>
      <c r="H133" s="183">
        <v>1</v>
      </c>
      <c r="I133" s="98">
        <v>0</v>
      </c>
      <c r="J133" s="98">
        <v>0</v>
      </c>
      <c r="K133" s="101">
        <f t="shared" ref="K133:K139" si="138">I133*J133</f>
        <v>0</v>
      </c>
      <c r="L133" s="98">
        <v>0</v>
      </c>
      <c r="M133" s="98">
        <v>0</v>
      </c>
      <c r="N133" s="101">
        <f t="shared" ref="N133:N139" si="139">L133*M133</f>
        <v>0</v>
      </c>
      <c r="O133" s="98">
        <v>0</v>
      </c>
      <c r="P133" s="98">
        <v>0</v>
      </c>
      <c r="Q133" s="101">
        <f t="shared" ref="Q133:Q139" si="140">O133*P133</f>
        <v>0</v>
      </c>
      <c r="R133" s="98">
        <v>0</v>
      </c>
      <c r="S133" s="98">
        <v>0</v>
      </c>
      <c r="T133" s="101">
        <f t="shared" ref="T133:T139" si="141">R133*S133</f>
        <v>0</v>
      </c>
      <c r="U133" s="183">
        <v>2</v>
      </c>
      <c r="V133" s="99">
        <v>3</v>
      </c>
      <c r="W133" s="98">
        <v>100</v>
      </c>
      <c r="X133" s="187">
        <v>2.5</v>
      </c>
      <c r="Y133" s="101">
        <f>W133*X133</f>
        <v>250</v>
      </c>
      <c r="Z133" s="101">
        <v>1</v>
      </c>
      <c r="AA133" s="183">
        <v>0</v>
      </c>
      <c r="AB133" s="99">
        <v>1</v>
      </c>
      <c r="AC133" s="98">
        <v>0</v>
      </c>
      <c r="AD133" s="98">
        <v>0</v>
      </c>
      <c r="AE133" s="101">
        <f t="shared" ref="AE133:AE139" si="142">AC133*AD133</f>
        <v>0</v>
      </c>
      <c r="AF133" s="98">
        <v>0</v>
      </c>
      <c r="AG133" s="98">
        <v>3</v>
      </c>
      <c r="AH133" s="99">
        <f t="shared" ref="AH133:AH139" si="143">AF133*AG133</f>
        <v>0</v>
      </c>
      <c r="AI133" s="101">
        <v>1</v>
      </c>
      <c r="AJ133" s="106"/>
    </row>
    <row r="134" spans="2:36" s="35" customFormat="1" ht="17.100000000000001" customHeight="1">
      <c r="B134" s="105"/>
      <c r="C134" s="54"/>
      <c r="D134" s="96"/>
      <c r="E134" s="111"/>
      <c r="F134" s="112"/>
      <c r="G134" s="113"/>
      <c r="H134" s="183">
        <v>1</v>
      </c>
      <c r="I134" s="98">
        <v>0</v>
      </c>
      <c r="J134" s="98">
        <v>0</v>
      </c>
      <c r="K134" s="101">
        <f t="shared" si="138"/>
        <v>0</v>
      </c>
      <c r="L134" s="100">
        <v>0</v>
      </c>
      <c r="M134" s="98">
        <v>0</v>
      </c>
      <c r="N134" s="101">
        <f t="shared" si="139"/>
        <v>0</v>
      </c>
      <c r="O134" s="100">
        <v>0</v>
      </c>
      <c r="P134" s="98">
        <v>0</v>
      </c>
      <c r="Q134" s="101">
        <f t="shared" si="140"/>
        <v>0</v>
      </c>
      <c r="R134" s="100">
        <v>0</v>
      </c>
      <c r="S134" s="98">
        <v>0</v>
      </c>
      <c r="T134" s="101">
        <f t="shared" si="141"/>
        <v>0</v>
      </c>
      <c r="U134" s="183">
        <v>1</v>
      </c>
      <c r="V134" s="99">
        <v>1</v>
      </c>
      <c r="W134" s="98">
        <v>0</v>
      </c>
      <c r="X134" s="98">
        <v>0</v>
      </c>
      <c r="Y134" s="101">
        <f t="shared" ref="Y134:Y139" si="144">W134*X134</f>
        <v>0</v>
      </c>
      <c r="Z134" s="101">
        <v>1</v>
      </c>
      <c r="AA134" s="183">
        <v>0</v>
      </c>
      <c r="AB134" s="99">
        <v>1</v>
      </c>
      <c r="AC134" s="98">
        <v>0</v>
      </c>
      <c r="AD134" s="98">
        <v>0</v>
      </c>
      <c r="AE134" s="101">
        <f t="shared" si="142"/>
        <v>0</v>
      </c>
      <c r="AF134" s="100">
        <v>0</v>
      </c>
      <c r="AG134" s="98">
        <v>0</v>
      </c>
      <c r="AH134" s="99">
        <f t="shared" si="143"/>
        <v>0</v>
      </c>
      <c r="AI134" s="101">
        <v>1</v>
      </c>
      <c r="AJ134" s="106"/>
    </row>
    <row r="135" spans="2:36" s="35" customFormat="1" ht="17.100000000000001" customHeight="1">
      <c r="B135" s="105"/>
      <c r="C135" s="54"/>
      <c r="D135" s="96"/>
      <c r="E135" s="111"/>
      <c r="F135" s="112"/>
      <c r="G135" s="113"/>
      <c r="H135" s="183">
        <v>1</v>
      </c>
      <c r="I135" s="98">
        <v>0</v>
      </c>
      <c r="J135" s="98">
        <v>0</v>
      </c>
      <c r="K135" s="101">
        <f t="shared" si="138"/>
        <v>0</v>
      </c>
      <c r="L135" s="100">
        <v>0</v>
      </c>
      <c r="M135" s="98">
        <v>0</v>
      </c>
      <c r="N135" s="101">
        <f t="shared" si="139"/>
        <v>0</v>
      </c>
      <c r="O135" s="100">
        <v>0</v>
      </c>
      <c r="P135" s="98">
        <v>0</v>
      </c>
      <c r="Q135" s="101">
        <f t="shared" si="140"/>
        <v>0</v>
      </c>
      <c r="R135" s="100">
        <v>0</v>
      </c>
      <c r="S135" s="98">
        <v>0</v>
      </c>
      <c r="T135" s="101">
        <f t="shared" si="141"/>
        <v>0</v>
      </c>
      <c r="U135" s="183">
        <v>1</v>
      </c>
      <c r="V135" s="99">
        <v>1</v>
      </c>
      <c r="W135" s="98">
        <v>0</v>
      </c>
      <c r="X135" s="98">
        <v>0</v>
      </c>
      <c r="Y135" s="101">
        <f t="shared" si="144"/>
        <v>0</v>
      </c>
      <c r="Z135" s="101">
        <v>1</v>
      </c>
      <c r="AA135" s="183">
        <v>0</v>
      </c>
      <c r="AB135" s="99">
        <v>1</v>
      </c>
      <c r="AC135" s="98">
        <v>0</v>
      </c>
      <c r="AD135" s="98">
        <v>0</v>
      </c>
      <c r="AE135" s="101">
        <f t="shared" si="142"/>
        <v>0</v>
      </c>
      <c r="AF135" s="100">
        <v>0</v>
      </c>
      <c r="AG135" s="98">
        <v>0</v>
      </c>
      <c r="AH135" s="99">
        <f t="shared" si="143"/>
        <v>0</v>
      </c>
      <c r="AI135" s="101">
        <v>1</v>
      </c>
      <c r="AJ135" s="106"/>
    </row>
    <row r="136" spans="2:36" s="35" customFormat="1" ht="17.100000000000001" customHeight="1">
      <c r="B136" s="105"/>
      <c r="C136" s="54"/>
      <c r="D136" s="96"/>
      <c r="E136" s="111"/>
      <c r="F136" s="112"/>
      <c r="G136" s="113"/>
      <c r="H136" s="183">
        <v>1</v>
      </c>
      <c r="I136" s="98">
        <v>0</v>
      </c>
      <c r="J136" s="98">
        <v>0</v>
      </c>
      <c r="K136" s="101">
        <f t="shared" si="138"/>
        <v>0</v>
      </c>
      <c r="L136" s="100">
        <v>0</v>
      </c>
      <c r="M136" s="98">
        <v>0</v>
      </c>
      <c r="N136" s="101">
        <f t="shared" si="139"/>
        <v>0</v>
      </c>
      <c r="O136" s="100">
        <v>0</v>
      </c>
      <c r="P136" s="98">
        <v>0</v>
      </c>
      <c r="Q136" s="101">
        <f t="shared" si="140"/>
        <v>0</v>
      </c>
      <c r="R136" s="100">
        <v>0</v>
      </c>
      <c r="S136" s="98">
        <v>0</v>
      </c>
      <c r="T136" s="101">
        <f t="shared" si="141"/>
        <v>0</v>
      </c>
      <c r="U136" s="183">
        <v>1</v>
      </c>
      <c r="V136" s="99">
        <v>1</v>
      </c>
      <c r="W136" s="98">
        <v>0</v>
      </c>
      <c r="X136" s="98">
        <v>0</v>
      </c>
      <c r="Y136" s="101">
        <f t="shared" si="144"/>
        <v>0</v>
      </c>
      <c r="Z136" s="101">
        <v>1</v>
      </c>
      <c r="AA136" s="183">
        <v>0</v>
      </c>
      <c r="AB136" s="99">
        <v>1</v>
      </c>
      <c r="AC136" s="98">
        <v>0</v>
      </c>
      <c r="AD136" s="98">
        <v>0</v>
      </c>
      <c r="AE136" s="101">
        <f t="shared" si="142"/>
        <v>0</v>
      </c>
      <c r="AF136" s="100">
        <v>0</v>
      </c>
      <c r="AG136" s="98">
        <v>0</v>
      </c>
      <c r="AH136" s="99">
        <f t="shared" si="143"/>
        <v>0</v>
      </c>
      <c r="AI136" s="101">
        <v>1</v>
      </c>
      <c r="AJ136" s="106"/>
    </row>
    <row r="137" spans="2:36" s="35" customFormat="1" ht="17.100000000000001" customHeight="1">
      <c r="B137" s="105"/>
      <c r="C137" s="54"/>
      <c r="D137" s="96"/>
      <c r="E137" s="111"/>
      <c r="F137" s="112"/>
      <c r="G137" s="113"/>
      <c r="H137" s="183">
        <v>1</v>
      </c>
      <c r="I137" s="98">
        <v>0</v>
      </c>
      <c r="J137" s="98">
        <v>0</v>
      </c>
      <c r="K137" s="101">
        <f t="shared" si="138"/>
        <v>0</v>
      </c>
      <c r="L137" s="100">
        <v>0</v>
      </c>
      <c r="M137" s="98">
        <v>0</v>
      </c>
      <c r="N137" s="101">
        <f t="shared" si="139"/>
        <v>0</v>
      </c>
      <c r="O137" s="100">
        <v>0</v>
      </c>
      <c r="P137" s="98">
        <v>0</v>
      </c>
      <c r="Q137" s="101">
        <f t="shared" si="140"/>
        <v>0</v>
      </c>
      <c r="R137" s="100">
        <v>0</v>
      </c>
      <c r="S137" s="98">
        <v>0</v>
      </c>
      <c r="T137" s="101">
        <f t="shared" si="141"/>
        <v>0</v>
      </c>
      <c r="U137" s="183">
        <v>1</v>
      </c>
      <c r="V137" s="99">
        <v>1</v>
      </c>
      <c r="W137" s="98">
        <v>0</v>
      </c>
      <c r="X137" s="98">
        <v>0</v>
      </c>
      <c r="Y137" s="101">
        <f t="shared" si="144"/>
        <v>0</v>
      </c>
      <c r="Z137" s="101">
        <v>1</v>
      </c>
      <c r="AA137" s="183">
        <v>0</v>
      </c>
      <c r="AB137" s="99">
        <v>1</v>
      </c>
      <c r="AC137" s="98">
        <v>0</v>
      </c>
      <c r="AD137" s="98">
        <v>0</v>
      </c>
      <c r="AE137" s="101">
        <f t="shared" si="142"/>
        <v>0</v>
      </c>
      <c r="AF137" s="100">
        <v>0</v>
      </c>
      <c r="AG137" s="98">
        <v>0</v>
      </c>
      <c r="AH137" s="99">
        <f t="shared" si="143"/>
        <v>0</v>
      </c>
      <c r="AI137" s="101">
        <v>1</v>
      </c>
      <c r="AJ137" s="106"/>
    </row>
    <row r="138" spans="2:36" s="35" customFormat="1" ht="17.100000000000001" customHeight="1">
      <c r="B138" s="105"/>
      <c r="C138" s="54"/>
      <c r="D138" s="96"/>
      <c r="E138" s="111"/>
      <c r="F138" s="112"/>
      <c r="G138" s="113"/>
      <c r="H138" s="183">
        <v>1</v>
      </c>
      <c r="I138" s="98">
        <v>0</v>
      </c>
      <c r="J138" s="98">
        <v>0</v>
      </c>
      <c r="K138" s="101">
        <f t="shared" si="138"/>
        <v>0</v>
      </c>
      <c r="L138" s="100">
        <v>0</v>
      </c>
      <c r="M138" s="98">
        <v>0</v>
      </c>
      <c r="N138" s="101">
        <f t="shared" si="139"/>
        <v>0</v>
      </c>
      <c r="O138" s="100">
        <v>0</v>
      </c>
      <c r="P138" s="98">
        <v>0</v>
      </c>
      <c r="Q138" s="101">
        <f t="shared" si="140"/>
        <v>0</v>
      </c>
      <c r="R138" s="100">
        <v>0</v>
      </c>
      <c r="S138" s="98">
        <v>0</v>
      </c>
      <c r="T138" s="101">
        <f t="shared" si="141"/>
        <v>0</v>
      </c>
      <c r="U138" s="183">
        <v>1</v>
      </c>
      <c r="V138" s="99">
        <v>1</v>
      </c>
      <c r="W138" s="98">
        <v>0</v>
      </c>
      <c r="X138" s="98">
        <v>0</v>
      </c>
      <c r="Y138" s="101">
        <f t="shared" si="144"/>
        <v>0</v>
      </c>
      <c r="Z138" s="101">
        <v>1</v>
      </c>
      <c r="AA138" s="183">
        <v>0</v>
      </c>
      <c r="AB138" s="99">
        <v>1</v>
      </c>
      <c r="AC138" s="98">
        <v>0</v>
      </c>
      <c r="AD138" s="98">
        <v>0</v>
      </c>
      <c r="AE138" s="101">
        <f t="shared" si="142"/>
        <v>0</v>
      </c>
      <c r="AF138" s="100">
        <v>0</v>
      </c>
      <c r="AG138" s="98">
        <v>0</v>
      </c>
      <c r="AH138" s="99">
        <f t="shared" si="143"/>
        <v>0</v>
      </c>
      <c r="AI138" s="101">
        <v>1</v>
      </c>
      <c r="AJ138" s="106"/>
    </row>
    <row r="139" spans="2:36" s="35" customFormat="1" ht="17.100000000000001" customHeight="1">
      <c r="B139" s="105"/>
      <c r="C139" s="54"/>
      <c r="D139" s="96"/>
      <c r="E139" s="111"/>
      <c r="F139" s="112"/>
      <c r="G139" s="113"/>
      <c r="H139" s="183">
        <v>1</v>
      </c>
      <c r="I139" s="98">
        <v>0</v>
      </c>
      <c r="J139" s="98">
        <v>0</v>
      </c>
      <c r="K139" s="101">
        <f t="shared" si="138"/>
        <v>0</v>
      </c>
      <c r="L139" s="100">
        <v>0</v>
      </c>
      <c r="M139" s="98">
        <v>0</v>
      </c>
      <c r="N139" s="101">
        <f t="shared" si="139"/>
        <v>0</v>
      </c>
      <c r="O139" s="100">
        <v>0</v>
      </c>
      <c r="P139" s="98">
        <v>0</v>
      </c>
      <c r="Q139" s="101">
        <f t="shared" si="140"/>
        <v>0</v>
      </c>
      <c r="R139" s="100">
        <v>0</v>
      </c>
      <c r="S139" s="98">
        <v>0</v>
      </c>
      <c r="T139" s="101">
        <f t="shared" si="141"/>
        <v>0</v>
      </c>
      <c r="U139" s="183">
        <v>1</v>
      </c>
      <c r="V139" s="99">
        <v>1</v>
      </c>
      <c r="W139" s="98">
        <v>0</v>
      </c>
      <c r="X139" s="98">
        <v>0</v>
      </c>
      <c r="Y139" s="101">
        <f t="shared" si="144"/>
        <v>0</v>
      </c>
      <c r="Z139" s="101">
        <v>1</v>
      </c>
      <c r="AA139" s="183">
        <v>0</v>
      </c>
      <c r="AB139" s="99">
        <v>1</v>
      </c>
      <c r="AC139" s="98">
        <v>0</v>
      </c>
      <c r="AD139" s="98">
        <v>0</v>
      </c>
      <c r="AE139" s="101">
        <f t="shared" si="142"/>
        <v>0</v>
      </c>
      <c r="AF139" s="100">
        <v>0</v>
      </c>
      <c r="AG139" s="98">
        <v>0</v>
      </c>
      <c r="AH139" s="99">
        <f t="shared" si="143"/>
        <v>0</v>
      </c>
      <c r="AI139" s="101">
        <v>1</v>
      </c>
      <c r="AJ139" s="106"/>
    </row>
    <row r="140" spans="2:36" s="126" customFormat="1" ht="17.100000000000001" customHeight="1">
      <c r="B140" s="118"/>
      <c r="C140" s="119"/>
      <c r="D140" s="120"/>
      <c r="E140" s="121"/>
      <c r="F140" s="122"/>
      <c r="G140" s="123"/>
      <c r="H140" s="183">
        <v>1</v>
      </c>
      <c r="I140" s="363" t="s">
        <v>201</v>
      </c>
      <c r="J140" s="363"/>
      <c r="K140" s="124">
        <f>SUM(K133:K139)</f>
        <v>0</v>
      </c>
      <c r="L140" s="341" t="s">
        <v>201</v>
      </c>
      <c r="M140" s="342"/>
      <c r="N140" s="124">
        <f>SUM(N133:N139)</f>
        <v>0</v>
      </c>
      <c r="O140" s="341" t="s">
        <v>201</v>
      </c>
      <c r="P140" s="342"/>
      <c r="Q140" s="124">
        <f>SUM(Q133:Q139)</f>
        <v>0</v>
      </c>
      <c r="R140" s="341" t="s">
        <v>201</v>
      </c>
      <c r="S140" s="342"/>
      <c r="T140" s="124">
        <f>SUM(T133:T139)</f>
        <v>0</v>
      </c>
      <c r="U140" s="183">
        <v>2</v>
      </c>
      <c r="V140" s="99">
        <v>3</v>
      </c>
      <c r="W140" s="363" t="s">
        <v>201</v>
      </c>
      <c r="X140" s="363"/>
      <c r="Y140" s="124">
        <f>SUM(Y133:Y139)</f>
        <v>250</v>
      </c>
      <c r="Z140" s="101">
        <v>1</v>
      </c>
      <c r="AA140" s="183">
        <v>0</v>
      </c>
      <c r="AB140" s="99">
        <v>1</v>
      </c>
      <c r="AC140" s="363" t="s">
        <v>201</v>
      </c>
      <c r="AD140" s="363"/>
      <c r="AE140" s="124">
        <f>SUM(AE133:AE139)</f>
        <v>0</v>
      </c>
      <c r="AF140" s="364" t="s">
        <v>201</v>
      </c>
      <c r="AG140" s="363"/>
      <c r="AH140" s="143">
        <f>SUM(AH133:AH139)</f>
        <v>0</v>
      </c>
      <c r="AI140" s="101">
        <v>1</v>
      </c>
      <c r="AJ140" s="125"/>
    </row>
    <row r="141" spans="2:36" s="35" customFormat="1" ht="16.95" customHeight="1">
      <c r="B141" s="105"/>
      <c r="C141" s="54">
        <f>'3. Rekap Back Up Non Aspal '!C36</f>
        <v>2500</v>
      </c>
      <c r="D141" s="96">
        <f>'3. Rekap Back Up Non Aspal '!D36</f>
        <v>2600</v>
      </c>
      <c r="E141" s="111">
        <f>'3. Rekap Back Up Non Aspal '!E36</f>
        <v>3</v>
      </c>
      <c r="F141" s="112">
        <f>(100/((D141-C141)*E141))*((K148*0.05)+(N148*0.05)+(Q148*0.05)+(T148)+(Y148)+(AE148*1.5)+(AH148*1))</f>
        <v>91.666666666666657</v>
      </c>
      <c r="G141" s="113" t="str">
        <f>IF(F141&lt;=25,"RB",IF(F141&lt;=75,"RB",IF(F141&lt;=100,"RB","RB")))</f>
        <v>RB</v>
      </c>
      <c r="H141" s="183">
        <v>1</v>
      </c>
      <c r="I141" s="98">
        <v>0</v>
      </c>
      <c r="J141" s="98">
        <v>0</v>
      </c>
      <c r="K141" s="101">
        <f t="shared" ref="K141:K147" si="145">I141*J141</f>
        <v>0</v>
      </c>
      <c r="L141" s="98">
        <v>0</v>
      </c>
      <c r="M141" s="98">
        <v>0</v>
      </c>
      <c r="N141" s="101">
        <f t="shared" ref="N141:N147" si="146">L141*M141</f>
        <v>0</v>
      </c>
      <c r="O141" s="98">
        <v>0</v>
      </c>
      <c r="P141" s="98">
        <v>0</v>
      </c>
      <c r="Q141" s="101">
        <f t="shared" ref="Q141:Q147" si="147">O141*P141</f>
        <v>0</v>
      </c>
      <c r="R141" s="98">
        <v>20</v>
      </c>
      <c r="S141" s="187">
        <v>2.5</v>
      </c>
      <c r="T141" s="101">
        <f t="shared" ref="T141:T147" si="148">R141*S141</f>
        <v>50</v>
      </c>
      <c r="U141" s="183">
        <v>3</v>
      </c>
      <c r="V141" s="99">
        <v>3</v>
      </c>
      <c r="W141" s="98">
        <v>100</v>
      </c>
      <c r="X141" s="98">
        <v>2</v>
      </c>
      <c r="Y141" s="101">
        <f>W141*X141</f>
        <v>200</v>
      </c>
      <c r="Z141" s="101">
        <v>1</v>
      </c>
      <c r="AA141" s="183">
        <v>0</v>
      </c>
      <c r="AB141" s="99">
        <v>1</v>
      </c>
      <c r="AC141" s="98">
        <v>0</v>
      </c>
      <c r="AD141" s="98">
        <v>0</v>
      </c>
      <c r="AE141" s="101">
        <f t="shared" ref="AE141:AE147" si="149">AC141*AD141</f>
        <v>0</v>
      </c>
      <c r="AF141" s="98">
        <v>0</v>
      </c>
      <c r="AG141" s="98">
        <v>3</v>
      </c>
      <c r="AH141" s="99">
        <f t="shared" ref="AH141:AH147" si="150">AF141*AG141</f>
        <v>0</v>
      </c>
      <c r="AI141" s="101">
        <v>1</v>
      </c>
      <c r="AJ141" s="106"/>
    </row>
    <row r="142" spans="2:36" s="35" customFormat="1" ht="17.100000000000001" customHeight="1">
      <c r="B142" s="105"/>
      <c r="C142" s="54"/>
      <c r="D142" s="96"/>
      <c r="E142" s="111"/>
      <c r="F142" s="112"/>
      <c r="G142" s="113"/>
      <c r="H142" s="183">
        <v>1</v>
      </c>
      <c r="I142" s="98">
        <v>0</v>
      </c>
      <c r="J142" s="98">
        <v>0</v>
      </c>
      <c r="K142" s="101">
        <f t="shared" si="145"/>
        <v>0</v>
      </c>
      <c r="L142" s="100">
        <v>0</v>
      </c>
      <c r="M142" s="98">
        <v>0</v>
      </c>
      <c r="N142" s="101">
        <f t="shared" si="146"/>
        <v>0</v>
      </c>
      <c r="O142" s="100">
        <v>0</v>
      </c>
      <c r="P142" s="98">
        <v>0</v>
      </c>
      <c r="Q142" s="101">
        <f t="shared" si="147"/>
        <v>0</v>
      </c>
      <c r="R142" s="100">
        <v>10</v>
      </c>
      <c r="S142" s="187">
        <v>2.5</v>
      </c>
      <c r="T142" s="101">
        <f t="shared" si="148"/>
        <v>25</v>
      </c>
      <c r="U142" s="183">
        <v>1</v>
      </c>
      <c r="V142" s="99">
        <v>1</v>
      </c>
      <c r="W142" s="98">
        <v>0</v>
      </c>
      <c r="X142" s="98">
        <v>0</v>
      </c>
      <c r="Y142" s="101">
        <f t="shared" ref="Y142:Y147" si="151">W142*X142</f>
        <v>0</v>
      </c>
      <c r="Z142" s="101">
        <v>1</v>
      </c>
      <c r="AA142" s="183">
        <v>0</v>
      </c>
      <c r="AB142" s="99">
        <v>1</v>
      </c>
      <c r="AC142" s="98">
        <v>0</v>
      </c>
      <c r="AD142" s="98">
        <v>0</v>
      </c>
      <c r="AE142" s="101">
        <f t="shared" si="149"/>
        <v>0</v>
      </c>
      <c r="AF142" s="100">
        <v>0</v>
      </c>
      <c r="AG142" s="98">
        <v>0</v>
      </c>
      <c r="AH142" s="99">
        <f t="shared" si="150"/>
        <v>0</v>
      </c>
      <c r="AI142" s="101">
        <v>1</v>
      </c>
      <c r="AJ142" s="106"/>
    </row>
    <row r="143" spans="2:36" s="35" customFormat="1" ht="17.100000000000001" customHeight="1">
      <c r="B143" s="105"/>
      <c r="C143" s="54"/>
      <c r="D143" s="96"/>
      <c r="E143" s="111"/>
      <c r="F143" s="112"/>
      <c r="G143" s="113"/>
      <c r="H143" s="183">
        <v>1</v>
      </c>
      <c r="I143" s="98">
        <v>0</v>
      </c>
      <c r="J143" s="98">
        <v>0</v>
      </c>
      <c r="K143" s="101">
        <f t="shared" si="145"/>
        <v>0</v>
      </c>
      <c r="L143" s="100">
        <v>0</v>
      </c>
      <c r="M143" s="98">
        <v>0</v>
      </c>
      <c r="N143" s="101">
        <f t="shared" si="146"/>
        <v>0</v>
      </c>
      <c r="O143" s="100">
        <v>0</v>
      </c>
      <c r="P143" s="98">
        <v>0</v>
      </c>
      <c r="Q143" s="101">
        <f t="shared" si="147"/>
        <v>0</v>
      </c>
      <c r="R143" s="100">
        <v>0</v>
      </c>
      <c r="S143" s="98">
        <v>0</v>
      </c>
      <c r="T143" s="101">
        <f t="shared" si="148"/>
        <v>0</v>
      </c>
      <c r="U143" s="183">
        <v>1</v>
      </c>
      <c r="V143" s="99">
        <v>1</v>
      </c>
      <c r="W143" s="98">
        <v>0</v>
      </c>
      <c r="X143" s="98">
        <v>0</v>
      </c>
      <c r="Y143" s="101">
        <f t="shared" si="151"/>
        <v>0</v>
      </c>
      <c r="Z143" s="101">
        <v>1</v>
      </c>
      <c r="AA143" s="183">
        <v>0</v>
      </c>
      <c r="AB143" s="99">
        <v>1</v>
      </c>
      <c r="AC143" s="98">
        <v>0</v>
      </c>
      <c r="AD143" s="98">
        <v>0</v>
      </c>
      <c r="AE143" s="101">
        <f t="shared" si="149"/>
        <v>0</v>
      </c>
      <c r="AF143" s="100">
        <v>0</v>
      </c>
      <c r="AG143" s="98">
        <v>0</v>
      </c>
      <c r="AH143" s="99">
        <f t="shared" si="150"/>
        <v>0</v>
      </c>
      <c r="AI143" s="101">
        <v>1</v>
      </c>
      <c r="AJ143" s="106"/>
    </row>
    <row r="144" spans="2:36" s="35" customFormat="1" ht="17.100000000000001" customHeight="1">
      <c r="B144" s="105"/>
      <c r="C144" s="54"/>
      <c r="D144" s="96"/>
      <c r="E144" s="111"/>
      <c r="F144" s="112"/>
      <c r="G144" s="113"/>
      <c r="H144" s="183">
        <v>1</v>
      </c>
      <c r="I144" s="98">
        <v>0</v>
      </c>
      <c r="J144" s="98">
        <v>0</v>
      </c>
      <c r="K144" s="101">
        <f t="shared" si="145"/>
        <v>0</v>
      </c>
      <c r="L144" s="100">
        <v>0</v>
      </c>
      <c r="M144" s="98">
        <v>0</v>
      </c>
      <c r="N144" s="101">
        <f t="shared" si="146"/>
        <v>0</v>
      </c>
      <c r="O144" s="100">
        <v>0</v>
      </c>
      <c r="P144" s="98">
        <v>0</v>
      </c>
      <c r="Q144" s="101">
        <f t="shared" si="147"/>
        <v>0</v>
      </c>
      <c r="R144" s="100">
        <v>0</v>
      </c>
      <c r="S144" s="98">
        <v>0</v>
      </c>
      <c r="T144" s="101">
        <f t="shared" si="148"/>
        <v>0</v>
      </c>
      <c r="U144" s="183">
        <v>1</v>
      </c>
      <c r="V144" s="99">
        <v>1</v>
      </c>
      <c r="W144" s="98">
        <v>0</v>
      </c>
      <c r="X144" s="98">
        <v>0</v>
      </c>
      <c r="Y144" s="101">
        <f t="shared" si="151"/>
        <v>0</v>
      </c>
      <c r="Z144" s="101">
        <v>1</v>
      </c>
      <c r="AA144" s="183">
        <v>0</v>
      </c>
      <c r="AB144" s="99">
        <v>1</v>
      </c>
      <c r="AC144" s="98">
        <v>0</v>
      </c>
      <c r="AD144" s="98">
        <v>0</v>
      </c>
      <c r="AE144" s="101">
        <f t="shared" si="149"/>
        <v>0</v>
      </c>
      <c r="AF144" s="100">
        <v>0</v>
      </c>
      <c r="AG144" s="98">
        <v>0</v>
      </c>
      <c r="AH144" s="99">
        <f t="shared" si="150"/>
        <v>0</v>
      </c>
      <c r="AI144" s="101">
        <v>1</v>
      </c>
      <c r="AJ144" s="106"/>
    </row>
    <row r="145" spans="2:36" s="35" customFormat="1" ht="17.100000000000001" customHeight="1">
      <c r="B145" s="105"/>
      <c r="C145" s="54"/>
      <c r="D145" s="96"/>
      <c r="E145" s="111"/>
      <c r="F145" s="112"/>
      <c r="G145" s="113"/>
      <c r="H145" s="183">
        <v>1</v>
      </c>
      <c r="I145" s="98">
        <v>0</v>
      </c>
      <c r="J145" s="98">
        <v>0</v>
      </c>
      <c r="K145" s="101">
        <f t="shared" si="145"/>
        <v>0</v>
      </c>
      <c r="L145" s="100">
        <v>0</v>
      </c>
      <c r="M145" s="98">
        <v>0</v>
      </c>
      <c r="N145" s="101">
        <f t="shared" si="146"/>
        <v>0</v>
      </c>
      <c r="O145" s="100">
        <v>0</v>
      </c>
      <c r="P145" s="98">
        <v>0</v>
      </c>
      <c r="Q145" s="101">
        <f t="shared" si="147"/>
        <v>0</v>
      </c>
      <c r="R145" s="100">
        <v>0</v>
      </c>
      <c r="S145" s="98">
        <v>0</v>
      </c>
      <c r="T145" s="101">
        <f t="shared" si="148"/>
        <v>0</v>
      </c>
      <c r="U145" s="183">
        <v>1</v>
      </c>
      <c r="V145" s="99">
        <v>1</v>
      </c>
      <c r="W145" s="98">
        <v>0</v>
      </c>
      <c r="X145" s="98">
        <v>0</v>
      </c>
      <c r="Y145" s="101">
        <f t="shared" si="151"/>
        <v>0</v>
      </c>
      <c r="Z145" s="101">
        <v>1</v>
      </c>
      <c r="AA145" s="183">
        <v>0</v>
      </c>
      <c r="AB145" s="99">
        <v>1</v>
      </c>
      <c r="AC145" s="98">
        <v>0</v>
      </c>
      <c r="AD145" s="98">
        <v>0</v>
      </c>
      <c r="AE145" s="101">
        <f t="shared" si="149"/>
        <v>0</v>
      </c>
      <c r="AF145" s="100">
        <v>0</v>
      </c>
      <c r="AG145" s="98">
        <v>0</v>
      </c>
      <c r="AH145" s="99">
        <f t="shared" si="150"/>
        <v>0</v>
      </c>
      <c r="AI145" s="101">
        <v>1</v>
      </c>
      <c r="AJ145" s="106"/>
    </row>
    <row r="146" spans="2:36" s="35" customFormat="1" ht="17.100000000000001" customHeight="1">
      <c r="B146" s="105"/>
      <c r="C146" s="54"/>
      <c r="D146" s="96"/>
      <c r="E146" s="111"/>
      <c r="F146" s="112"/>
      <c r="G146" s="113"/>
      <c r="H146" s="183">
        <v>1</v>
      </c>
      <c r="I146" s="98">
        <v>0</v>
      </c>
      <c r="J146" s="98">
        <v>0</v>
      </c>
      <c r="K146" s="101">
        <f t="shared" si="145"/>
        <v>0</v>
      </c>
      <c r="L146" s="100">
        <v>0</v>
      </c>
      <c r="M146" s="98">
        <v>0</v>
      </c>
      <c r="N146" s="101">
        <f t="shared" si="146"/>
        <v>0</v>
      </c>
      <c r="O146" s="100">
        <v>0</v>
      </c>
      <c r="P146" s="98">
        <v>0</v>
      </c>
      <c r="Q146" s="101">
        <f t="shared" si="147"/>
        <v>0</v>
      </c>
      <c r="R146" s="100">
        <v>0</v>
      </c>
      <c r="S146" s="98">
        <v>0</v>
      </c>
      <c r="T146" s="101">
        <f t="shared" si="148"/>
        <v>0</v>
      </c>
      <c r="U146" s="183">
        <v>1</v>
      </c>
      <c r="V146" s="99">
        <v>1</v>
      </c>
      <c r="W146" s="98">
        <v>0</v>
      </c>
      <c r="X146" s="98">
        <v>0</v>
      </c>
      <c r="Y146" s="101">
        <f t="shared" si="151"/>
        <v>0</v>
      </c>
      <c r="Z146" s="101">
        <v>1</v>
      </c>
      <c r="AA146" s="183">
        <v>0</v>
      </c>
      <c r="AB146" s="99">
        <v>1</v>
      </c>
      <c r="AC146" s="98">
        <v>0</v>
      </c>
      <c r="AD146" s="98">
        <v>0</v>
      </c>
      <c r="AE146" s="101">
        <f t="shared" si="149"/>
        <v>0</v>
      </c>
      <c r="AF146" s="100">
        <v>0</v>
      </c>
      <c r="AG146" s="98">
        <v>0</v>
      </c>
      <c r="AH146" s="99">
        <f t="shared" si="150"/>
        <v>0</v>
      </c>
      <c r="AI146" s="101">
        <v>1</v>
      </c>
      <c r="AJ146" s="106"/>
    </row>
    <row r="147" spans="2:36" s="35" customFormat="1" ht="17.100000000000001" customHeight="1">
      <c r="B147" s="105"/>
      <c r="C147" s="54"/>
      <c r="D147" s="96"/>
      <c r="E147" s="111"/>
      <c r="F147" s="112"/>
      <c r="G147" s="113"/>
      <c r="H147" s="183">
        <v>1</v>
      </c>
      <c r="I147" s="98">
        <v>0</v>
      </c>
      <c r="J147" s="98">
        <v>0</v>
      </c>
      <c r="K147" s="101">
        <f t="shared" si="145"/>
        <v>0</v>
      </c>
      <c r="L147" s="100">
        <v>0</v>
      </c>
      <c r="M147" s="98">
        <v>0</v>
      </c>
      <c r="N147" s="101">
        <f t="shared" si="146"/>
        <v>0</v>
      </c>
      <c r="O147" s="100">
        <v>0</v>
      </c>
      <c r="P147" s="98">
        <v>0</v>
      </c>
      <c r="Q147" s="101">
        <f t="shared" si="147"/>
        <v>0</v>
      </c>
      <c r="R147" s="100">
        <v>0</v>
      </c>
      <c r="S147" s="98">
        <v>0</v>
      </c>
      <c r="T147" s="101">
        <f t="shared" si="148"/>
        <v>0</v>
      </c>
      <c r="U147" s="183">
        <v>1</v>
      </c>
      <c r="V147" s="99">
        <v>1</v>
      </c>
      <c r="W147" s="98">
        <v>0</v>
      </c>
      <c r="X147" s="98">
        <v>0</v>
      </c>
      <c r="Y147" s="101">
        <f t="shared" si="151"/>
        <v>0</v>
      </c>
      <c r="Z147" s="101">
        <v>1</v>
      </c>
      <c r="AA147" s="183">
        <v>0</v>
      </c>
      <c r="AB147" s="99">
        <v>1</v>
      </c>
      <c r="AC147" s="98">
        <v>0</v>
      </c>
      <c r="AD147" s="98">
        <v>0</v>
      </c>
      <c r="AE147" s="101">
        <f t="shared" si="149"/>
        <v>0</v>
      </c>
      <c r="AF147" s="100">
        <v>0</v>
      </c>
      <c r="AG147" s="98">
        <v>0</v>
      </c>
      <c r="AH147" s="99">
        <f t="shared" si="150"/>
        <v>0</v>
      </c>
      <c r="AI147" s="101">
        <v>1</v>
      </c>
      <c r="AJ147" s="106"/>
    </row>
    <row r="148" spans="2:36" s="126" customFormat="1" ht="17.100000000000001" customHeight="1">
      <c r="B148" s="118"/>
      <c r="C148" s="119"/>
      <c r="D148" s="120"/>
      <c r="E148" s="121"/>
      <c r="F148" s="122"/>
      <c r="G148" s="123"/>
      <c r="H148" s="183">
        <v>1</v>
      </c>
      <c r="I148" s="363" t="s">
        <v>201</v>
      </c>
      <c r="J148" s="363"/>
      <c r="K148" s="124">
        <f>SUM(K141:K147)</f>
        <v>0</v>
      </c>
      <c r="L148" s="341" t="s">
        <v>201</v>
      </c>
      <c r="M148" s="342"/>
      <c r="N148" s="124">
        <f>SUM(N141:N147)</f>
        <v>0</v>
      </c>
      <c r="O148" s="341" t="s">
        <v>201</v>
      </c>
      <c r="P148" s="342"/>
      <c r="Q148" s="124">
        <f>SUM(Q141:Q147)</f>
        <v>0</v>
      </c>
      <c r="R148" s="341" t="s">
        <v>201</v>
      </c>
      <c r="S148" s="342"/>
      <c r="T148" s="124">
        <f>SUM(T141:T147)</f>
        <v>75</v>
      </c>
      <c r="U148" s="183">
        <v>3</v>
      </c>
      <c r="V148" s="99">
        <v>3</v>
      </c>
      <c r="W148" s="363" t="s">
        <v>201</v>
      </c>
      <c r="X148" s="363"/>
      <c r="Y148" s="124">
        <f>SUM(Y141:Y147)</f>
        <v>200</v>
      </c>
      <c r="Z148" s="101">
        <v>1</v>
      </c>
      <c r="AA148" s="183">
        <v>0</v>
      </c>
      <c r="AB148" s="99">
        <v>1</v>
      </c>
      <c r="AC148" s="363" t="s">
        <v>201</v>
      </c>
      <c r="AD148" s="363"/>
      <c r="AE148" s="124">
        <f>SUM(AE141:AE147)</f>
        <v>0</v>
      </c>
      <c r="AF148" s="364" t="s">
        <v>201</v>
      </c>
      <c r="AG148" s="363"/>
      <c r="AH148" s="143">
        <f>SUM(AH141:AH147)</f>
        <v>0</v>
      </c>
      <c r="AI148" s="101">
        <v>1</v>
      </c>
      <c r="AJ148" s="125"/>
    </row>
    <row r="149" spans="2:36" s="35" customFormat="1" ht="16.95" customHeight="1">
      <c r="B149" s="105"/>
      <c r="C149" s="54">
        <f>'3. Rekap Back Up Non Aspal '!C37</f>
        <v>2600</v>
      </c>
      <c r="D149" s="96">
        <f>'3. Rekap Back Up Non Aspal '!D37</f>
        <v>2700</v>
      </c>
      <c r="E149" s="111">
        <f>'3. Rekap Back Up Non Aspal '!E37</f>
        <v>3</v>
      </c>
      <c r="F149" s="112">
        <f>(100/((D149-C149)*E149))*((K156*0.05)+(N156*0.05)+(Q156*0.05)+(T156)+(Y156)+(AE156*1.5)+(AH156*1))</f>
        <v>83.333333333333329</v>
      </c>
      <c r="G149" s="113" t="str">
        <f>IF(F149&lt;=25,"RB",IF(F149&lt;=75,"RB",IF(F149&lt;=100,"RB","RB")))</f>
        <v>RB</v>
      </c>
      <c r="H149" s="183">
        <v>1</v>
      </c>
      <c r="I149" s="98">
        <v>0</v>
      </c>
      <c r="J149" s="98">
        <v>0</v>
      </c>
      <c r="K149" s="101">
        <f t="shared" ref="K149:K155" si="152">I149*J149</f>
        <v>0</v>
      </c>
      <c r="L149" s="98">
        <v>0</v>
      </c>
      <c r="M149" s="98">
        <v>0</v>
      </c>
      <c r="N149" s="101">
        <f t="shared" ref="N149:N155" si="153">L149*M149</f>
        <v>0</v>
      </c>
      <c r="O149" s="98">
        <v>0</v>
      </c>
      <c r="P149" s="98">
        <v>0</v>
      </c>
      <c r="Q149" s="101">
        <f t="shared" ref="Q149:Q155" si="154">O149*P149</f>
        <v>0</v>
      </c>
      <c r="R149" s="98">
        <v>0</v>
      </c>
      <c r="S149" s="98">
        <v>0</v>
      </c>
      <c r="T149" s="101">
        <f t="shared" ref="T149:T155" si="155">R149*S149</f>
        <v>0</v>
      </c>
      <c r="U149" s="183">
        <v>3</v>
      </c>
      <c r="V149" s="99">
        <v>3</v>
      </c>
      <c r="W149" s="98">
        <v>100</v>
      </c>
      <c r="X149" s="187">
        <v>2.5</v>
      </c>
      <c r="Y149" s="101">
        <f>W149*X149</f>
        <v>250</v>
      </c>
      <c r="Z149" s="101">
        <v>1</v>
      </c>
      <c r="AA149" s="183">
        <v>0</v>
      </c>
      <c r="AB149" s="99">
        <v>1</v>
      </c>
      <c r="AC149" s="98">
        <v>0</v>
      </c>
      <c r="AD149" s="98">
        <v>0</v>
      </c>
      <c r="AE149" s="101">
        <f t="shared" ref="AE149:AE155" si="156">AC149*AD149</f>
        <v>0</v>
      </c>
      <c r="AF149" s="98">
        <v>0</v>
      </c>
      <c r="AG149" s="98">
        <v>3</v>
      </c>
      <c r="AH149" s="99">
        <f t="shared" ref="AH149:AH155" si="157">AF149*AG149</f>
        <v>0</v>
      </c>
      <c r="AI149" s="101">
        <v>1</v>
      </c>
      <c r="AJ149" s="106"/>
    </row>
    <row r="150" spans="2:36" s="35" customFormat="1" ht="17.100000000000001" customHeight="1">
      <c r="B150" s="105"/>
      <c r="C150" s="54"/>
      <c r="D150" s="96"/>
      <c r="E150" s="111"/>
      <c r="F150" s="112"/>
      <c r="G150" s="113"/>
      <c r="H150" s="183">
        <v>1</v>
      </c>
      <c r="I150" s="98">
        <v>0</v>
      </c>
      <c r="J150" s="98">
        <v>0</v>
      </c>
      <c r="K150" s="101">
        <f t="shared" si="152"/>
        <v>0</v>
      </c>
      <c r="L150" s="100">
        <v>0</v>
      </c>
      <c r="M150" s="98">
        <v>0</v>
      </c>
      <c r="N150" s="101">
        <f t="shared" si="153"/>
        <v>0</v>
      </c>
      <c r="O150" s="100">
        <v>0</v>
      </c>
      <c r="P150" s="98">
        <v>0</v>
      </c>
      <c r="Q150" s="101">
        <f t="shared" si="154"/>
        <v>0</v>
      </c>
      <c r="R150" s="100">
        <v>0</v>
      </c>
      <c r="S150" s="98">
        <v>0</v>
      </c>
      <c r="T150" s="101">
        <f t="shared" si="155"/>
        <v>0</v>
      </c>
      <c r="U150" s="183">
        <v>1</v>
      </c>
      <c r="V150" s="99">
        <v>1</v>
      </c>
      <c r="W150" s="98">
        <v>0</v>
      </c>
      <c r="X150" s="98">
        <v>0</v>
      </c>
      <c r="Y150" s="101">
        <f t="shared" ref="Y150:Y155" si="158">W150*X150</f>
        <v>0</v>
      </c>
      <c r="Z150" s="101">
        <v>1</v>
      </c>
      <c r="AA150" s="183">
        <v>0</v>
      </c>
      <c r="AB150" s="99">
        <v>1</v>
      </c>
      <c r="AC150" s="98">
        <v>0</v>
      </c>
      <c r="AD150" s="98">
        <v>0</v>
      </c>
      <c r="AE150" s="101">
        <f t="shared" si="156"/>
        <v>0</v>
      </c>
      <c r="AF150" s="100">
        <v>0</v>
      </c>
      <c r="AG150" s="98">
        <v>0</v>
      </c>
      <c r="AH150" s="99">
        <f t="shared" si="157"/>
        <v>0</v>
      </c>
      <c r="AI150" s="101">
        <v>1</v>
      </c>
      <c r="AJ150" s="106"/>
    </row>
    <row r="151" spans="2:36" s="35" customFormat="1" ht="17.100000000000001" customHeight="1">
      <c r="B151" s="105"/>
      <c r="C151" s="54"/>
      <c r="D151" s="96"/>
      <c r="E151" s="111"/>
      <c r="F151" s="112"/>
      <c r="G151" s="113"/>
      <c r="H151" s="183">
        <v>1</v>
      </c>
      <c r="I151" s="98">
        <v>0</v>
      </c>
      <c r="J151" s="98">
        <v>0</v>
      </c>
      <c r="K151" s="101">
        <f t="shared" si="152"/>
        <v>0</v>
      </c>
      <c r="L151" s="100">
        <v>0</v>
      </c>
      <c r="M151" s="98">
        <v>0</v>
      </c>
      <c r="N151" s="101">
        <f t="shared" si="153"/>
        <v>0</v>
      </c>
      <c r="O151" s="100">
        <v>0</v>
      </c>
      <c r="P151" s="98">
        <v>0</v>
      </c>
      <c r="Q151" s="101">
        <f t="shared" si="154"/>
        <v>0</v>
      </c>
      <c r="R151" s="100">
        <v>0</v>
      </c>
      <c r="S151" s="98">
        <v>0</v>
      </c>
      <c r="T151" s="101">
        <f t="shared" si="155"/>
        <v>0</v>
      </c>
      <c r="U151" s="183">
        <v>1</v>
      </c>
      <c r="V151" s="99">
        <v>1</v>
      </c>
      <c r="W151" s="98">
        <v>0</v>
      </c>
      <c r="X151" s="98">
        <v>0</v>
      </c>
      <c r="Y151" s="101">
        <f t="shared" si="158"/>
        <v>0</v>
      </c>
      <c r="Z151" s="101">
        <v>1</v>
      </c>
      <c r="AA151" s="183">
        <v>0</v>
      </c>
      <c r="AB151" s="99">
        <v>1</v>
      </c>
      <c r="AC151" s="98">
        <v>0</v>
      </c>
      <c r="AD151" s="98">
        <v>0</v>
      </c>
      <c r="AE151" s="101">
        <f t="shared" si="156"/>
        <v>0</v>
      </c>
      <c r="AF151" s="100">
        <v>0</v>
      </c>
      <c r="AG151" s="98">
        <v>0</v>
      </c>
      <c r="AH151" s="99">
        <f t="shared" si="157"/>
        <v>0</v>
      </c>
      <c r="AI151" s="101">
        <v>1</v>
      </c>
      <c r="AJ151" s="106"/>
    </row>
    <row r="152" spans="2:36" s="35" customFormat="1" ht="17.100000000000001" customHeight="1">
      <c r="B152" s="105"/>
      <c r="C152" s="54"/>
      <c r="D152" s="96"/>
      <c r="E152" s="111"/>
      <c r="F152" s="112"/>
      <c r="G152" s="113"/>
      <c r="H152" s="183">
        <v>1</v>
      </c>
      <c r="I152" s="98">
        <v>0</v>
      </c>
      <c r="J152" s="98">
        <v>0</v>
      </c>
      <c r="K152" s="101">
        <f t="shared" si="152"/>
        <v>0</v>
      </c>
      <c r="L152" s="100">
        <v>0</v>
      </c>
      <c r="M152" s="98">
        <v>0</v>
      </c>
      <c r="N152" s="101">
        <f t="shared" si="153"/>
        <v>0</v>
      </c>
      <c r="O152" s="100">
        <v>0</v>
      </c>
      <c r="P152" s="98">
        <v>0</v>
      </c>
      <c r="Q152" s="101">
        <f t="shared" si="154"/>
        <v>0</v>
      </c>
      <c r="R152" s="100">
        <v>0</v>
      </c>
      <c r="S152" s="98">
        <v>0</v>
      </c>
      <c r="T152" s="101">
        <f t="shared" si="155"/>
        <v>0</v>
      </c>
      <c r="U152" s="183">
        <v>1</v>
      </c>
      <c r="V152" s="99">
        <v>1</v>
      </c>
      <c r="W152" s="98">
        <v>0</v>
      </c>
      <c r="X152" s="98">
        <v>0</v>
      </c>
      <c r="Y152" s="101">
        <f t="shared" si="158"/>
        <v>0</v>
      </c>
      <c r="Z152" s="101">
        <v>1</v>
      </c>
      <c r="AA152" s="183">
        <v>0</v>
      </c>
      <c r="AB152" s="99">
        <v>1</v>
      </c>
      <c r="AC152" s="98">
        <v>0</v>
      </c>
      <c r="AD152" s="98">
        <v>0</v>
      </c>
      <c r="AE152" s="101">
        <f t="shared" si="156"/>
        <v>0</v>
      </c>
      <c r="AF152" s="100">
        <v>0</v>
      </c>
      <c r="AG152" s="98">
        <v>0</v>
      </c>
      <c r="AH152" s="99">
        <f t="shared" si="157"/>
        <v>0</v>
      </c>
      <c r="AI152" s="101">
        <v>1</v>
      </c>
      <c r="AJ152" s="106"/>
    </row>
    <row r="153" spans="2:36" s="35" customFormat="1" ht="17.100000000000001" customHeight="1">
      <c r="B153" s="105"/>
      <c r="C153" s="54"/>
      <c r="D153" s="96"/>
      <c r="E153" s="111"/>
      <c r="F153" s="112"/>
      <c r="G153" s="113"/>
      <c r="H153" s="183">
        <v>1</v>
      </c>
      <c r="I153" s="98">
        <v>0</v>
      </c>
      <c r="J153" s="98">
        <v>0</v>
      </c>
      <c r="K153" s="101">
        <f t="shared" si="152"/>
        <v>0</v>
      </c>
      <c r="L153" s="100">
        <v>0</v>
      </c>
      <c r="M153" s="98">
        <v>0</v>
      </c>
      <c r="N153" s="101">
        <f t="shared" si="153"/>
        <v>0</v>
      </c>
      <c r="O153" s="100">
        <v>0</v>
      </c>
      <c r="P153" s="98">
        <v>0</v>
      </c>
      <c r="Q153" s="101">
        <f t="shared" si="154"/>
        <v>0</v>
      </c>
      <c r="R153" s="100">
        <v>0</v>
      </c>
      <c r="S153" s="98">
        <v>0</v>
      </c>
      <c r="T153" s="101">
        <f t="shared" si="155"/>
        <v>0</v>
      </c>
      <c r="U153" s="183">
        <v>1</v>
      </c>
      <c r="V153" s="99">
        <v>1</v>
      </c>
      <c r="W153" s="98">
        <v>0</v>
      </c>
      <c r="X153" s="98">
        <v>0</v>
      </c>
      <c r="Y153" s="101">
        <f t="shared" si="158"/>
        <v>0</v>
      </c>
      <c r="Z153" s="101">
        <v>1</v>
      </c>
      <c r="AA153" s="183">
        <v>0</v>
      </c>
      <c r="AB153" s="99">
        <v>1</v>
      </c>
      <c r="AC153" s="98">
        <v>0</v>
      </c>
      <c r="AD153" s="98">
        <v>0</v>
      </c>
      <c r="AE153" s="101">
        <f t="shared" si="156"/>
        <v>0</v>
      </c>
      <c r="AF153" s="100">
        <v>0</v>
      </c>
      <c r="AG153" s="98">
        <v>0</v>
      </c>
      <c r="AH153" s="99">
        <f t="shared" si="157"/>
        <v>0</v>
      </c>
      <c r="AI153" s="101">
        <v>1</v>
      </c>
      <c r="AJ153" s="106"/>
    </row>
    <row r="154" spans="2:36" s="35" customFormat="1" ht="17.100000000000001" customHeight="1">
      <c r="B154" s="105"/>
      <c r="C154" s="54"/>
      <c r="D154" s="96"/>
      <c r="E154" s="111"/>
      <c r="F154" s="112"/>
      <c r="G154" s="113"/>
      <c r="H154" s="183">
        <v>1</v>
      </c>
      <c r="I154" s="98">
        <v>0</v>
      </c>
      <c r="J154" s="98">
        <v>0</v>
      </c>
      <c r="K154" s="101">
        <f t="shared" si="152"/>
        <v>0</v>
      </c>
      <c r="L154" s="100">
        <v>0</v>
      </c>
      <c r="M154" s="98">
        <v>0</v>
      </c>
      <c r="N154" s="101">
        <f t="shared" si="153"/>
        <v>0</v>
      </c>
      <c r="O154" s="100">
        <v>0</v>
      </c>
      <c r="P154" s="98">
        <v>0</v>
      </c>
      <c r="Q154" s="101">
        <f t="shared" si="154"/>
        <v>0</v>
      </c>
      <c r="R154" s="100">
        <v>0</v>
      </c>
      <c r="S154" s="98">
        <v>0</v>
      </c>
      <c r="T154" s="101">
        <f t="shared" si="155"/>
        <v>0</v>
      </c>
      <c r="U154" s="183">
        <v>1</v>
      </c>
      <c r="V154" s="99">
        <v>1</v>
      </c>
      <c r="W154" s="98">
        <v>0</v>
      </c>
      <c r="X154" s="98">
        <v>0</v>
      </c>
      <c r="Y154" s="101">
        <f t="shared" si="158"/>
        <v>0</v>
      </c>
      <c r="Z154" s="101">
        <v>1</v>
      </c>
      <c r="AA154" s="183">
        <v>0</v>
      </c>
      <c r="AB154" s="99">
        <v>1</v>
      </c>
      <c r="AC154" s="98">
        <v>0</v>
      </c>
      <c r="AD154" s="98">
        <v>0</v>
      </c>
      <c r="AE154" s="101">
        <f t="shared" si="156"/>
        <v>0</v>
      </c>
      <c r="AF154" s="100">
        <v>0</v>
      </c>
      <c r="AG154" s="98">
        <v>0</v>
      </c>
      <c r="AH154" s="99">
        <f t="shared" si="157"/>
        <v>0</v>
      </c>
      <c r="AI154" s="101">
        <v>1</v>
      </c>
      <c r="AJ154" s="106"/>
    </row>
    <row r="155" spans="2:36" s="35" customFormat="1" ht="17.100000000000001" customHeight="1">
      <c r="B155" s="105"/>
      <c r="C155" s="54"/>
      <c r="D155" s="96"/>
      <c r="E155" s="111"/>
      <c r="F155" s="112"/>
      <c r="G155" s="113"/>
      <c r="H155" s="183">
        <v>1</v>
      </c>
      <c r="I155" s="98">
        <v>0</v>
      </c>
      <c r="J155" s="98">
        <v>0</v>
      </c>
      <c r="K155" s="101">
        <f t="shared" si="152"/>
        <v>0</v>
      </c>
      <c r="L155" s="100">
        <v>0</v>
      </c>
      <c r="M155" s="98">
        <v>0</v>
      </c>
      <c r="N155" s="101">
        <f t="shared" si="153"/>
        <v>0</v>
      </c>
      <c r="O155" s="100">
        <v>0</v>
      </c>
      <c r="P155" s="98">
        <v>0</v>
      </c>
      <c r="Q155" s="101">
        <f t="shared" si="154"/>
        <v>0</v>
      </c>
      <c r="R155" s="100">
        <v>0</v>
      </c>
      <c r="S155" s="98">
        <v>0</v>
      </c>
      <c r="T155" s="101">
        <f t="shared" si="155"/>
        <v>0</v>
      </c>
      <c r="U155" s="183">
        <v>1</v>
      </c>
      <c r="V155" s="99">
        <v>1</v>
      </c>
      <c r="W155" s="98">
        <v>0</v>
      </c>
      <c r="X155" s="98">
        <v>0</v>
      </c>
      <c r="Y155" s="101">
        <f t="shared" si="158"/>
        <v>0</v>
      </c>
      <c r="Z155" s="101">
        <v>1</v>
      </c>
      <c r="AA155" s="183">
        <v>0</v>
      </c>
      <c r="AB155" s="99">
        <v>1</v>
      </c>
      <c r="AC155" s="98">
        <v>0</v>
      </c>
      <c r="AD155" s="98">
        <v>0</v>
      </c>
      <c r="AE155" s="101">
        <f t="shared" si="156"/>
        <v>0</v>
      </c>
      <c r="AF155" s="100">
        <v>0</v>
      </c>
      <c r="AG155" s="98">
        <v>0</v>
      </c>
      <c r="AH155" s="99">
        <f t="shared" si="157"/>
        <v>0</v>
      </c>
      <c r="AI155" s="101">
        <v>1</v>
      </c>
      <c r="AJ155" s="106"/>
    </row>
    <row r="156" spans="2:36" s="126" customFormat="1" ht="17.100000000000001" customHeight="1">
      <c r="B156" s="118"/>
      <c r="C156" s="119"/>
      <c r="D156" s="120"/>
      <c r="E156" s="121"/>
      <c r="F156" s="122"/>
      <c r="G156" s="123"/>
      <c r="H156" s="183">
        <v>1</v>
      </c>
      <c r="I156" s="363" t="s">
        <v>201</v>
      </c>
      <c r="J156" s="363"/>
      <c r="K156" s="124">
        <f>SUM(K149:K155)</f>
        <v>0</v>
      </c>
      <c r="L156" s="341" t="s">
        <v>201</v>
      </c>
      <c r="M156" s="342"/>
      <c r="N156" s="124">
        <f>SUM(N149:N155)</f>
        <v>0</v>
      </c>
      <c r="O156" s="341" t="s">
        <v>201</v>
      </c>
      <c r="P156" s="342"/>
      <c r="Q156" s="124">
        <f>SUM(Q149:Q155)</f>
        <v>0</v>
      </c>
      <c r="R156" s="341" t="s">
        <v>201</v>
      </c>
      <c r="S156" s="342"/>
      <c r="T156" s="124">
        <f>SUM(T149:T155)</f>
        <v>0</v>
      </c>
      <c r="U156" s="183">
        <v>3</v>
      </c>
      <c r="V156" s="99">
        <v>3</v>
      </c>
      <c r="W156" s="363" t="s">
        <v>201</v>
      </c>
      <c r="X156" s="363"/>
      <c r="Y156" s="124">
        <f>SUM(Y149:Y155)</f>
        <v>250</v>
      </c>
      <c r="Z156" s="101">
        <v>1</v>
      </c>
      <c r="AA156" s="183">
        <v>0</v>
      </c>
      <c r="AB156" s="99">
        <v>1</v>
      </c>
      <c r="AC156" s="363" t="s">
        <v>201</v>
      </c>
      <c r="AD156" s="363"/>
      <c r="AE156" s="124">
        <f>SUM(AE149:AE155)</f>
        <v>0</v>
      </c>
      <c r="AF156" s="364" t="s">
        <v>201</v>
      </c>
      <c r="AG156" s="363"/>
      <c r="AH156" s="143">
        <f>SUM(AH149:AH155)</f>
        <v>0</v>
      </c>
      <c r="AI156" s="101">
        <v>1</v>
      </c>
      <c r="AJ156" s="125"/>
    </row>
    <row r="157" spans="2:36" s="35" customFormat="1" ht="16.95" customHeight="1">
      <c r="B157" s="105"/>
      <c r="C157" s="54">
        <f>'3. Rekap Back Up Non Aspal '!C38</f>
        <v>2700</v>
      </c>
      <c r="D157" s="96">
        <f>'3. Rekap Back Up Non Aspal '!D38</f>
        <v>2800</v>
      </c>
      <c r="E157" s="111">
        <f>'3. Rekap Back Up Non Aspal '!E38</f>
        <v>3</v>
      </c>
      <c r="F157" s="112">
        <f>(100/((D157-C157)*E157))*((K164*0.05)+(N164*0.05)+(Q164*0.05)+(T164)+(Y164)+(AE164*1.5)+(AH164*1))</f>
        <v>83.333333333333329</v>
      </c>
      <c r="G157" s="113" t="str">
        <f>IF(F157&lt;=25,"RB",IF(F157&lt;=75,"RB",IF(F157&lt;=100,"RB","RB")))</f>
        <v>RB</v>
      </c>
      <c r="H157" s="183">
        <v>1</v>
      </c>
      <c r="I157" s="98">
        <v>0</v>
      </c>
      <c r="J157" s="98">
        <v>0</v>
      </c>
      <c r="K157" s="101">
        <f t="shared" ref="K157:K163" si="159">I157*J157</f>
        <v>0</v>
      </c>
      <c r="L157" s="98">
        <v>0</v>
      </c>
      <c r="M157" s="98">
        <v>0</v>
      </c>
      <c r="N157" s="101">
        <f t="shared" ref="N157:N163" si="160">L157*M157</f>
        <v>0</v>
      </c>
      <c r="O157" s="98">
        <v>0</v>
      </c>
      <c r="P157" s="98">
        <v>0</v>
      </c>
      <c r="Q157" s="101">
        <f t="shared" ref="Q157:Q163" si="161">O157*P157</f>
        <v>0</v>
      </c>
      <c r="R157" s="98">
        <v>0</v>
      </c>
      <c r="S157" s="98">
        <v>0</v>
      </c>
      <c r="T157" s="101">
        <f t="shared" ref="T157:T163" si="162">R157*S157</f>
        <v>0</v>
      </c>
      <c r="U157" s="183">
        <v>4</v>
      </c>
      <c r="V157" s="99">
        <v>3</v>
      </c>
      <c r="W157" s="98">
        <v>100</v>
      </c>
      <c r="X157" s="187">
        <v>2.5</v>
      </c>
      <c r="Y157" s="101">
        <f>W157*X157</f>
        <v>250</v>
      </c>
      <c r="Z157" s="101">
        <v>1</v>
      </c>
      <c r="AA157" s="183">
        <v>0</v>
      </c>
      <c r="AB157" s="99">
        <v>1</v>
      </c>
      <c r="AC157" s="98">
        <v>0</v>
      </c>
      <c r="AD157" s="98">
        <v>0</v>
      </c>
      <c r="AE157" s="101">
        <f t="shared" ref="AE157:AE163" si="163">AC157*AD157</f>
        <v>0</v>
      </c>
      <c r="AF157" s="98">
        <v>0</v>
      </c>
      <c r="AG157" s="98">
        <v>3</v>
      </c>
      <c r="AH157" s="99">
        <f t="shared" ref="AH157:AH163" si="164">AF157*AG157</f>
        <v>0</v>
      </c>
      <c r="AI157" s="101">
        <v>1</v>
      </c>
      <c r="AJ157" s="106"/>
    </row>
    <row r="158" spans="2:36" s="35" customFormat="1" ht="17.100000000000001" customHeight="1">
      <c r="B158" s="105"/>
      <c r="C158" s="54"/>
      <c r="D158" s="96"/>
      <c r="E158" s="111"/>
      <c r="F158" s="112"/>
      <c r="G158" s="113"/>
      <c r="H158" s="183">
        <v>1</v>
      </c>
      <c r="I158" s="98">
        <v>0</v>
      </c>
      <c r="J158" s="98">
        <v>0</v>
      </c>
      <c r="K158" s="101">
        <f t="shared" si="159"/>
        <v>0</v>
      </c>
      <c r="L158" s="100">
        <v>0</v>
      </c>
      <c r="M158" s="98">
        <v>0</v>
      </c>
      <c r="N158" s="101">
        <f t="shared" si="160"/>
        <v>0</v>
      </c>
      <c r="O158" s="100">
        <v>0</v>
      </c>
      <c r="P158" s="98">
        <v>0</v>
      </c>
      <c r="Q158" s="101">
        <f t="shared" si="161"/>
        <v>0</v>
      </c>
      <c r="R158" s="100">
        <v>0</v>
      </c>
      <c r="S158" s="98">
        <v>0</v>
      </c>
      <c r="T158" s="101">
        <f t="shared" si="162"/>
        <v>0</v>
      </c>
      <c r="U158" s="183">
        <v>1</v>
      </c>
      <c r="V158" s="99">
        <v>1</v>
      </c>
      <c r="W158" s="98">
        <v>0</v>
      </c>
      <c r="X158" s="98">
        <v>0</v>
      </c>
      <c r="Y158" s="101">
        <f t="shared" ref="Y158:Y163" si="165">W158*X158</f>
        <v>0</v>
      </c>
      <c r="Z158" s="101">
        <v>1</v>
      </c>
      <c r="AA158" s="183">
        <v>0</v>
      </c>
      <c r="AB158" s="99">
        <v>1</v>
      </c>
      <c r="AC158" s="98">
        <v>0</v>
      </c>
      <c r="AD158" s="98">
        <v>0</v>
      </c>
      <c r="AE158" s="101">
        <f t="shared" si="163"/>
        <v>0</v>
      </c>
      <c r="AF158" s="100">
        <v>0</v>
      </c>
      <c r="AG158" s="98">
        <v>0</v>
      </c>
      <c r="AH158" s="99">
        <f t="shared" si="164"/>
        <v>0</v>
      </c>
      <c r="AI158" s="101">
        <v>1</v>
      </c>
      <c r="AJ158" s="106"/>
    </row>
    <row r="159" spans="2:36" s="35" customFormat="1" ht="17.100000000000001" customHeight="1">
      <c r="B159" s="105"/>
      <c r="C159" s="54"/>
      <c r="D159" s="96"/>
      <c r="E159" s="111"/>
      <c r="F159" s="112"/>
      <c r="G159" s="113"/>
      <c r="H159" s="183">
        <v>1</v>
      </c>
      <c r="I159" s="98">
        <v>0</v>
      </c>
      <c r="J159" s="98">
        <v>0</v>
      </c>
      <c r="K159" s="101">
        <f t="shared" si="159"/>
        <v>0</v>
      </c>
      <c r="L159" s="100">
        <v>0</v>
      </c>
      <c r="M159" s="98">
        <v>0</v>
      </c>
      <c r="N159" s="101">
        <f t="shared" si="160"/>
        <v>0</v>
      </c>
      <c r="O159" s="100">
        <v>0</v>
      </c>
      <c r="P159" s="98">
        <v>0</v>
      </c>
      <c r="Q159" s="101">
        <f t="shared" si="161"/>
        <v>0</v>
      </c>
      <c r="R159" s="100">
        <v>0</v>
      </c>
      <c r="S159" s="98">
        <v>0</v>
      </c>
      <c r="T159" s="101">
        <f t="shared" si="162"/>
        <v>0</v>
      </c>
      <c r="U159" s="183">
        <v>1</v>
      </c>
      <c r="V159" s="99">
        <v>1</v>
      </c>
      <c r="W159" s="98">
        <v>0</v>
      </c>
      <c r="X159" s="98">
        <v>0</v>
      </c>
      <c r="Y159" s="101">
        <f t="shared" si="165"/>
        <v>0</v>
      </c>
      <c r="Z159" s="101">
        <v>1</v>
      </c>
      <c r="AA159" s="183">
        <v>0</v>
      </c>
      <c r="AB159" s="99">
        <v>1</v>
      </c>
      <c r="AC159" s="98">
        <v>0</v>
      </c>
      <c r="AD159" s="98">
        <v>0</v>
      </c>
      <c r="AE159" s="101">
        <f t="shared" si="163"/>
        <v>0</v>
      </c>
      <c r="AF159" s="100">
        <v>0</v>
      </c>
      <c r="AG159" s="98">
        <v>0</v>
      </c>
      <c r="AH159" s="99">
        <f t="shared" si="164"/>
        <v>0</v>
      </c>
      <c r="AI159" s="101">
        <v>1</v>
      </c>
      <c r="AJ159" s="106"/>
    </row>
    <row r="160" spans="2:36" s="35" customFormat="1" ht="17.100000000000001" customHeight="1">
      <c r="B160" s="105"/>
      <c r="C160" s="54"/>
      <c r="D160" s="96"/>
      <c r="E160" s="111"/>
      <c r="F160" s="112"/>
      <c r="G160" s="113"/>
      <c r="H160" s="183">
        <v>1</v>
      </c>
      <c r="I160" s="98">
        <v>0</v>
      </c>
      <c r="J160" s="98">
        <v>0</v>
      </c>
      <c r="K160" s="101">
        <f t="shared" si="159"/>
        <v>0</v>
      </c>
      <c r="L160" s="100">
        <v>0</v>
      </c>
      <c r="M160" s="98">
        <v>0</v>
      </c>
      <c r="N160" s="101">
        <f t="shared" si="160"/>
        <v>0</v>
      </c>
      <c r="O160" s="100">
        <v>0</v>
      </c>
      <c r="P160" s="98">
        <v>0</v>
      </c>
      <c r="Q160" s="101">
        <f t="shared" si="161"/>
        <v>0</v>
      </c>
      <c r="R160" s="100">
        <v>0</v>
      </c>
      <c r="S160" s="98">
        <v>0</v>
      </c>
      <c r="T160" s="101">
        <f t="shared" si="162"/>
        <v>0</v>
      </c>
      <c r="U160" s="183">
        <v>1</v>
      </c>
      <c r="V160" s="99">
        <v>1</v>
      </c>
      <c r="W160" s="98">
        <v>0</v>
      </c>
      <c r="X160" s="98">
        <v>0</v>
      </c>
      <c r="Y160" s="101">
        <f t="shared" si="165"/>
        <v>0</v>
      </c>
      <c r="Z160" s="101">
        <v>1</v>
      </c>
      <c r="AA160" s="183">
        <v>0</v>
      </c>
      <c r="AB160" s="99">
        <v>1</v>
      </c>
      <c r="AC160" s="98">
        <v>0</v>
      </c>
      <c r="AD160" s="98">
        <v>0</v>
      </c>
      <c r="AE160" s="101">
        <f t="shared" si="163"/>
        <v>0</v>
      </c>
      <c r="AF160" s="100">
        <v>0</v>
      </c>
      <c r="AG160" s="98">
        <v>0</v>
      </c>
      <c r="AH160" s="99">
        <f t="shared" si="164"/>
        <v>0</v>
      </c>
      <c r="AI160" s="101">
        <v>1</v>
      </c>
      <c r="AJ160" s="106"/>
    </row>
    <row r="161" spans="2:36" s="35" customFormat="1" ht="17.100000000000001" customHeight="1">
      <c r="B161" s="105"/>
      <c r="C161" s="54"/>
      <c r="D161" s="96"/>
      <c r="E161" s="111"/>
      <c r="F161" s="112"/>
      <c r="G161" s="113"/>
      <c r="H161" s="183">
        <v>1</v>
      </c>
      <c r="I161" s="98">
        <v>0</v>
      </c>
      <c r="J161" s="98">
        <v>0</v>
      </c>
      <c r="K161" s="101">
        <f t="shared" si="159"/>
        <v>0</v>
      </c>
      <c r="L161" s="100">
        <v>0</v>
      </c>
      <c r="M161" s="98">
        <v>0</v>
      </c>
      <c r="N161" s="101">
        <f t="shared" si="160"/>
        <v>0</v>
      </c>
      <c r="O161" s="100">
        <v>0</v>
      </c>
      <c r="P161" s="98">
        <v>0</v>
      </c>
      <c r="Q161" s="101">
        <f t="shared" si="161"/>
        <v>0</v>
      </c>
      <c r="R161" s="100">
        <v>0</v>
      </c>
      <c r="S161" s="98">
        <v>0</v>
      </c>
      <c r="T161" s="101">
        <f t="shared" si="162"/>
        <v>0</v>
      </c>
      <c r="U161" s="183">
        <v>1</v>
      </c>
      <c r="V161" s="99">
        <v>1</v>
      </c>
      <c r="W161" s="98">
        <v>0</v>
      </c>
      <c r="X161" s="98">
        <v>0</v>
      </c>
      <c r="Y161" s="101">
        <f t="shared" si="165"/>
        <v>0</v>
      </c>
      <c r="Z161" s="101">
        <v>1</v>
      </c>
      <c r="AA161" s="183">
        <v>0</v>
      </c>
      <c r="AB161" s="99">
        <v>1</v>
      </c>
      <c r="AC161" s="98">
        <v>0</v>
      </c>
      <c r="AD161" s="98">
        <v>0</v>
      </c>
      <c r="AE161" s="101">
        <f t="shared" si="163"/>
        <v>0</v>
      </c>
      <c r="AF161" s="100">
        <v>0</v>
      </c>
      <c r="AG161" s="98">
        <v>0</v>
      </c>
      <c r="AH161" s="99">
        <f t="shared" si="164"/>
        <v>0</v>
      </c>
      <c r="AI161" s="101">
        <v>1</v>
      </c>
      <c r="AJ161" s="106"/>
    </row>
    <row r="162" spans="2:36" s="35" customFormat="1" ht="17.100000000000001" customHeight="1">
      <c r="B162" s="105"/>
      <c r="C162" s="54"/>
      <c r="D162" s="96"/>
      <c r="E162" s="111"/>
      <c r="F162" s="112"/>
      <c r="G162" s="113"/>
      <c r="H162" s="183">
        <v>1</v>
      </c>
      <c r="I162" s="98">
        <v>0</v>
      </c>
      <c r="J162" s="98">
        <v>0</v>
      </c>
      <c r="K162" s="101">
        <f t="shared" si="159"/>
        <v>0</v>
      </c>
      <c r="L162" s="100">
        <v>0</v>
      </c>
      <c r="M162" s="98">
        <v>0</v>
      </c>
      <c r="N162" s="101">
        <f t="shared" si="160"/>
        <v>0</v>
      </c>
      <c r="O162" s="100">
        <v>0</v>
      </c>
      <c r="P162" s="98">
        <v>0</v>
      </c>
      <c r="Q162" s="101">
        <f t="shared" si="161"/>
        <v>0</v>
      </c>
      <c r="R162" s="100">
        <v>0</v>
      </c>
      <c r="S162" s="98">
        <v>0</v>
      </c>
      <c r="T162" s="101">
        <f t="shared" si="162"/>
        <v>0</v>
      </c>
      <c r="U162" s="183">
        <v>1</v>
      </c>
      <c r="V162" s="99">
        <v>1</v>
      </c>
      <c r="W162" s="98">
        <v>0</v>
      </c>
      <c r="X162" s="98">
        <v>0</v>
      </c>
      <c r="Y162" s="101">
        <f t="shared" si="165"/>
        <v>0</v>
      </c>
      <c r="Z162" s="101">
        <v>1</v>
      </c>
      <c r="AA162" s="183">
        <v>0</v>
      </c>
      <c r="AB162" s="99">
        <v>1</v>
      </c>
      <c r="AC162" s="98">
        <v>0</v>
      </c>
      <c r="AD162" s="98">
        <v>0</v>
      </c>
      <c r="AE162" s="101">
        <f t="shared" si="163"/>
        <v>0</v>
      </c>
      <c r="AF162" s="100">
        <v>0</v>
      </c>
      <c r="AG162" s="98">
        <v>0</v>
      </c>
      <c r="AH162" s="99">
        <f t="shared" si="164"/>
        <v>0</v>
      </c>
      <c r="AI162" s="101">
        <v>1</v>
      </c>
      <c r="AJ162" s="106"/>
    </row>
    <row r="163" spans="2:36" s="35" customFormat="1" ht="17.100000000000001" customHeight="1">
      <c r="B163" s="105"/>
      <c r="C163" s="54"/>
      <c r="D163" s="96"/>
      <c r="E163" s="111"/>
      <c r="F163" s="112"/>
      <c r="G163" s="113"/>
      <c r="H163" s="183">
        <v>1</v>
      </c>
      <c r="I163" s="98">
        <v>0</v>
      </c>
      <c r="J163" s="98">
        <v>0</v>
      </c>
      <c r="K163" s="101">
        <f t="shared" si="159"/>
        <v>0</v>
      </c>
      <c r="L163" s="100">
        <v>0</v>
      </c>
      <c r="M163" s="98">
        <v>0</v>
      </c>
      <c r="N163" s="101">
        <f t="shared" si="160"/>
        <v>0</v>
      </c>
      <c r="O163" s="100">
        <v>0</v>
      </c>
      <c r="P163" s="98">
        <v>0</v>
      </c>
      <c r="Q163" s="101">
        <f t="shared" si="161"/>
        <v>0</v>
      </c>
      <c r="R163" s="100">
        <v>0</v>
      </c>
      <c r="S163" s="98">
        <v>0</v>
      </c>
      <c r="T163" s="101">
        <f t="shared" si="162"/>
        <v>0</v>
      </c>
      <c r="U163" s="183">
        <v>1</v>
      </c>
      <c r="V163" s="99">
        <v>1</v>
      </c>
      <c r="W163" s="98">
        <v>0</v>
      </c>
      <c r="X163" s="98">
        <v>0</v>
      </c>
      <c r="Y163" s="101">
        <f t="shared" si="165"/>
        <v>0</v>
      </c>
      <c r="Z163" s="101">
        <v>1</v>
      </c>
      <c r="AA163" s="183">
        <v>0</v>
      </c>
      <c r="AB163" s="99">
        <v>1</v>
      </c>
      <c r="AC163" s="98">
        <v>0</v>
      </c>
      <c r="AD163" s="98">
        <v>0</v>
      </c>
      <c r="AE163" s="101">
        <f t="shared" si="163"/>
        <v>0</v>
      </c>
      <c r="AF163" s="100">
        <v>0</v>
      </c>
      <c r="AG163" s="98">
        <v>0</v>
      </c>
      <c r="AH163" s="99">
        <f t="shared" si="164"/>
        <v>0</v>
      </c>
      <c r="AI163" s="101">
        <v>1</v>
      </c>
      <c r="AJ163" s="106"/>
    </row>
    <row r="164" spans="2:36" s="126" customFormat="1" ht="17.100000000000001" customHeight="1">
      <c r="B164" s="118"/>
      <c r="C164" s="119"/>
      <c r="D164" s="120"/>
      <c r="E164" s="121"/>
      <c r="F164" s="122"/>
      <c r="G164" s="123"/>
      <c r="H164" s="183">
        <v>1</v>
      </c>
      <c r="I164" s="363" t="s">
        <v>201</v>
      </c>
      <c r="J164" s="363"/>
      <c r="K164" s="124">
        <f>SUM(K157:K163)</f>
        <v>0</v>
      </c>
      <c r="L164" s="341" t="s">
        <v>201</v>
      </c>
      <c r="M164" s="342"/>
      <c r="N164" s="124">
        <f>SUM(N157:N163)</f>
        <v>0</v>
      </c>
      <c r="O164" s="341" t="s">
        <v>201</v>
      </c>
      <c r="P164" s="342"/>
      <c r="Q164" s="124">
        <f>SUM(Q157:Q163)</f>
        <v>0</v>
      </c>
      <c r="R164" s="341" t="s">
        <v>201</v>
      </c>
      <c r="S164" s="342"/>
      <c r="T164" s="124">
        <f>SUM(T157:T163)</f>
        <v>0</v>
      </c>
      <c r="U164" s="183">
        <v>4</v>
      </c>
      <c r="V164" s="99">
        <v>3</v>
      </c>
      <c r="W164" s="363" t="s">
        <v>201</v>
      </c>
      <c r="X164" s="363"/>
      <c r="Y164" s="124">
        <f>SUM(Y157:Y163)</f>
        <v>250</v>
      </c>
      <c r="Z164" s="101">
        <v>1</v>
      </c>
      <c r="AA164" s="183">
        <v>0</v>
      </c>
      <c r="AB164" s="99">
        <v>1</v>
      </c>
      <c r="AC164" s="363" t="s">
        <v>201</v>
      </c>
      <c r="AD164" s="363"/>
      <c r="AE164" s="124">
        <f>SUM(AE157:AE163)</f>
        <v>0</v>
      </c>
      <c r="AF164" s="364" t="s">
        <v>201</v>
      </c>
      <c r="AG164" s="363"/>
      <c r="AH164" s="143">
        <f>SUM(AH157:AH163)</f>
        <v>0</v>
      </c>
      <c r="AI164" s="101">
        <v>1</v>
      </c>
      <c r="AJ164" s="125"/>
    </row>
    <row r="165" spans="2:36" s="35" customFormat="1" ht="16.95" customHeight="1">
      <c r="B165" s="105"/>
      <c r="C165" s="54">
        <f>'3. Rekap Back Up Non Aspal '!C39</f>
        <v>2800</v>
      </c>
      <c r="D165" s="96">
        <f>'3. Rekap Back Up Non Aspal '!D39</f>
        <v>2900</v>
      </c>
      <c r="E165" s="111">
        <f>'3. Rekap Back Up Non Aspal '!E39</f>
        <v>3</v>
      </c>
      <c r="F165" s="112">
        <f>(100/((D165-C165)*E165))*((K172*0.05)+(N172*0.05)+(Q172*0.05)+(T172)+(Y172)+(AE172*1.5)+(AH172*1))</f>
        <v>95.833333333333329</v>
      </c>
      <c r="G165" s="113" t="str">
        <f>IF(F165&lt;=25,"RB",IF(F165&lt;=75,"RB",IF(F165&lt;=100,"RB","RB")))</f>
        <v>RB</v>
      </c>
      <c r="H165" s="183">
        <v>1</v>
      </c>
      <c r="I165" s="98">
        <v>0</v>
      </c>
      <c r="J165" s="98">
        <v>0</v>
      </c>
      <c r="K165" s="101">
        <f t="shared" ref="K165:K171" si="166">I165*J165</f>
        <v>0</v>
      </c>
      <c r="L165" s="98">
        <v>0</v>
      </c>
      <c r="M165" s="98">
        <v>0</v>
      </c>
      <c r="N165" s="101">
        <f t="shared" ref="N165:N171" si="167">L165*M165</f>
        <v>0</v>
      </c>
      <c r="O165" s="98">
        <v>0</v>
      </c>
      <c r="P165" s="98">
        <v>0</v>
      </c>
      <c r="Q165" s="101">
        <f t="shared" ref="Q165:Q171" si="168">O165*P165</f>
        <v>0</v>
      </c>
      <c r="R165" s="98">
        <v>15</v>
      </c>
      <c r="S165" s="187">
        <v>2.5</v>
      </c>
      <c r="T165" s="101">
        <f t="shared" ref="T165:T171" si="169">R165*S165</f>
        <v>37.5</v>
      </c>
      <c r="U165" s="183">
        <v>2</v>
      </c>
      <c r="V165" s="99">
        <v>3</v>
      </c>
      <c r="W165" s="98">
        <v>100</v>
      </c>
      <c r="X165" s="187">
        <v>2.5</v>
      </c>
      <c r="Y165" s="101">
        <f>W165*X165</f>
        <v>250</v>
      </c>
      <c r="Z165" s="101">
        <v>1</v>
      </c>
      <c r="AA165" s="183">
        <v>0</v>
      </c>
      <c r="AB165" s="99">
        <v>1</v>
      </c>
      <c r="AC165" s="98">
        <v>0</v>
      </c>
      <c r="AD165" s="98">
        <v>0</v>
      </c>
      <c r="AE165" s="101">
        <f t="shared" ref="AE165:AE171" si="170">AC165*AD165</f>
        <v>0</v>
      </c>
      <c r="AF165" s="98">
        <v>0</v>
      </c>
      <c r="AG165" s="98">
        <v>3</v>
      </c>
      <c r="AH165" s="99">
        <f t="shared" ref="AH165:AH171" si="171">AF165*AG165</f>
        <v>0</v>
      </c>
      <c r="AI165" s="101">
        <v>1</v>
      </c>
      <c r="AJ165" s="106"/>
    </row>
    <row r="166" spans="2:36" s="35" customFormat="1" ht="17.100000000000001" customHeight="1">
      <c r="B166" s="105"/>
      <c r="C166" s="54"/>
      <c r="D166" s="96"/>
      <c r="E166" s="111"/>
      <c r="F166" s="112"/>
      <c r="G166" s="113"/>
      <c r="H166" s="183">
        <v>1</v>
      </c>
      <c r="I166" s="98">
        <v>0</v>
      </c>
      <c r="J166" s="98">
        <v>0</v>
      </c>
      <c r="K166" s="101">
        <f t="shared" si="166"/>
        <v>0</v>
      </c>
      <c r="L166" s="100">
        <v>0</v>
      </c>
      <c r="M166" s="98">
        <v>0</v>
      </c>
      <c r="N166" s="101">
        <f t="shared" si="167"/>
        <v>0</v>
      </c>
      <c r="O166" s="100">
        <v>0</v>
      </c>
      <c r="P166" s="98">
        <v>0</v>
      </c>
      <c r="Q166" s="101">
        <f t="shared" si="168"/>
        <v>0</v>
      </c>
      <c r="R166" s="100">
        <v>0</v>
      </c>
      <c r="S166" s="98">
        <v>0</v>
      </c>
      <c r="T166" s="101">
        <f t="shared" si="169"/>
        <v>0</v>
      </c>
      <c r="U166" s="183">
        <v>1</v>
      </c>
      <c r="V166" s="99">
        <v>1</v>
      </c>
      <c r="W166" s="98">
        <v>0</v>
      </c>
      <c r="X166" s="98">
        <v>0</v>
      </c>
      <c r="Y166" s="101">
        <f t="shared" ref="Y166:Y171" si="172">W166*X166</f>
        <v>0</v>
      </c>
      <c r="Z166" s="101">
        <v>1</v>
      </c>
      <c r="AA166" s="183">
        <v>0</v>
      </c>
      <c r="AB166" s="99">
        <v>1</v>
      </c>
      <c r="AC166" s="98">
        <v>0</v>
      </c>
      <c r="AD166" s="98">
        <v>0</v>
      </c>
      <c r="AE166" s="101">
        <f t="shared" si="170"/>
        <v>0</v>
      </c>
      <c r="AF166" s="100">
        <v>0</v>
      </c>
      <c r="AG166" s="98">
        <v>0</v>
      </c>
      <c r="AH166" s="99">
        <f t="shared" si="171"/>
        <v>0</v>
      </c>
      <c r="AI166" s="101">
        <v>1</v>
      </c>
      <c r="AJ166" s="106"/>
    </row>
    <row r="167" spans="2:36" s="35" customFormat="1" ht="17.100000000000001" customHeight="1">
      <c r="B167" s="105"/>
      <c r="C167" s="54"/>
      <c r="D167" s="96"/>
      <c r="E167" s="111"/>
      <c r="F167" s="112"/>
      <c r="G167" s="113"/>
      <c r="H167" s="183">
        <v>1</v>
      </c>
      <c r="I167" s="98">
        <v>0</v>
      </c>
      <c r="J167" s="98">
        <v>0</v>
      </c>
      <c r="K167" s="101">
        <f t="shared" si="166"/>
        <v>0</v>
      </c>
      <c r="L167" s="100">
        <v>0</v>
      </c>
      <c r="M167" s="98">
        <v>0</v>
      </c>
      <c r="N167" s="101">
        <f t="shared" si="167"/>
        <v>0</v>
      </c>
      <c r="O167" s="100">
        <v>0</v>
      </c>
      <c r="P167" s="98">
        <v>0</v>
      </c>
      <c r="Q167" s="101">
        <f t="shared" si="168"/>
        <v>0</v>
      </c>
      <c r="R167" s="100">
        <v>0</v>
      </c>
      <c r="S167" s="98">
        <v>0</v>
      </c>
      <c r="T167" s="101">
        <f t="shared" si="169"/>
        <v>0</v>
      </c>
      <c r="U167" s="183">
        <v>1</v>
      </c>
      <c r="V167" s="99">
        <v>1</v>
      </c>
      <c r="W167" s="98">
        <v>0</v>
      </c>
      <c r="X167" s="98">
        <v>0</v>
      </c>
      <c r="Y167" s="101">
        <f t="shared" si="172"/>
        <v>0</v>
      </c>
      <c r="Z167" s="101">
        <v>1</v>
      </c>
      <c r="AA167" s="183">
        <v>0</v>
      </c>
      <c r="AB167" s="99">
        <v>1</v>
      </c>
      <c r="AC167" s="98">
        <v>0</v>
      </c>
      <c r="AD167" s="98">
        <v>0</v>
      </c>
      <c r="AE167" s="101">
        <f t="shared" si="170"/>
        <v>0</v>
      </c>
      <c r="AF167" s="100">
        <v>0</v>
      </c>
      <c r="AG167" s="98">
        <v>0</v>
      </c>
      <c r="AH167" s="99">
        <f t="shared" si="171"/>
        <v>0</v>
      </c>
      <c r="AI167" s="101">
        <v>1</v>
      </c>
      <c r="AJ167" s="106"/>
    </row>
    <row r="168" spans="2:36" s="35" customFormat="1" ht="17.100000000000001" customHeight="1">
      <c r="B168" s="105"/>
      <c r="C168" s="54"/>
      <c r="D168" s="96"/>
      <c r="E168" s="111"/>
      <c r="F168" s="112"/>
      <c r="G168" s="113"/>
      <c r="H168" s="183">
        <v>1</v>
      </c>
      <c r="I168" s="98">
        <v>0</v>
      </c>
      <c r="J168" s="98">
        <v>0</v>
      </c>
      <c r="K168" s="101">
        <f t="shared" si="166"/>
        <v>0</v>
      </c>
      <c r="L168" s="100">
        <v>0</v>
      </c>
      <c r="M168" s="98">
        <v>0</v>
      </c>
      <c r="N168" s="101">
        <f t="shared" si="167"/>
        <v>0</v>
      </c>
      <c r="O168" s="100">
        <v>0</v>
      </c>
      <c r="P168" s="98">
        <v>0</v>
      </c>
      <c r="Q168" s="101">
        <f t="shared" si="168"/>
        <v>0</v>
      </c>
      <c r="R168" s="100">
        <v>0</v>
      </c>
      <c r="S168" s="98">
        <v>0</v>
      </c>
      <c r="T168" s="101">
        <f t="shared" si="169"/>
        <v>0</v>
      </c>
      <c r="U168" s="183">
        <v>1</v>
      </c>
      <c r="V168" s="99">
        <v>1</v>
      </c>
      <c r="W168" s="98">
        <v>0</v>
      </c>
      <c r="X168" s="98">
        <v>0</v>
      </c>
      <c r="Y168" s="101">
        <f t="shared" si="172"/>
        <v>0</v>
      </c>
      <c r="Z168" s="101">
        <v>1</v>
      </c>
      <c r="AA168" s="183">
        <v>0</v>
      </c>
      <c r="AB168" s="99">
        <v>1</v>
      </c>
      <c r="AC168" s="98">
        <v>0</v>
      </c>
      <c r="AD168" s="98">
        <v>0</v>
      </c>
      <c r="AE168" s="101">
        <f t="shared" si="170"/>
        <v>0</v>
      </c>
      <c r="AF168" s="100">
        <v>0</v>
      </c>
      <c r="AG168" s="98">
        <v>0</v>
      </c>
      <c r="AH168" s="99">
        <f t="shared" si="171"/>
        <v>0</v>
      </c>
      <c r="AI168" s="101">
        <v>1</v>
      </c>
      <c r="AJ168" s="106"/>
    </row>
    <row r="169" spans="2:36" s="35" customFormat="1" ht="17.100000000000001" customHeight="1">
      <c r="B169" s="105"/>
      <c r="C169" s="54"/>
      <c r="D169" s="96"/>
      <c r="E169" s="111"/>
      <c r="F169" s="112"/>
      <c r="G169" s="113"/>
      <c r="H169" s="183">
        <v>1</v>
      </c>
      <c r="I169" s="98">
        <v>0</v>
      </c>
      <c r="J169" s="98">
        <v>0</v>
      </c>
      <c r="K169" s="101">
        <f t="shared" si="166"/>
        <v>0</v>
      </c>
      <c r="L169" s="100">
        <v>0</v>
      </c>
      <c r="M169" s="98">
        <v>0</v>
      </c>
      <c r="N169" s="101">
        <f t="shared" si="167"/>
        <v>0</v>
      </c>
      <c r="O169" s="100">
        <v>0</v>
      </c>
      <c r="P169" s="98">
        <v>0</v>
      </c>
      <c r="Q169" s="101">
        <f t="shared" si="168"/>
        <v>0</v>
      </c>
      <c r="R169" s="100">
        <v>0</v>
      </c>
      <c r="S169" s="98">
        <v>0</v>
      </c>
      <c r="T169" s="101">
        <f t="shared" si="169"/>
        <v>0</v>
      </c>
      <c r="U169" s="183">
        <v>1</v>
      </c>
      <c r="V169" s="99">
        <v>1</v>
      </c>
      <c r="W169" s="98">
        <v>0</v>
      </c>
      <c r="X169" s="98">
        <v>0</v>
      </c>
      <c r="Y169" s="101">
        <f t="shared" si="172"/>
        <v>0</v>
      </c>
      <c r="Z169" s="101">
        <v>1</v>
      </c>
      <c r="AA169" s="183">
        <v>0</v>
      </c>
      <c r="AB169" s="99">
        <v>1</v>
      </c>
      <c r="AC169" s="98">
        <v>0</v>
      </c>
      <c r="AD169" s="98">
        <v>0</v>
      </c>
      <c r="AE169" s="101">
        <f t="shared" si="170"/>
        <v>0</v>
      </c>
      <c r="AF169" s="100">
        <v>0</v>
      </c>
      <c r="AG169" s="98">
        <v>0</v>
      </c>
      <c r="AH169" s="99">
        <f t="shared" si="171"/>
        <v>0</v>
      </c>
      <c r="AI169" s="101">
        <v>1</v>
      </c>
      <c r="AJ169" s="106"/>
    </row>
    <row r="170" spans="2:36" s="35" customFormat="1" ht="17.100000000000001" customHeight="1">
      <c r="B170" s="105"/>
      <c r="C170" s="54"/>
      <c r="D170" s="96"/>
      <c r="E170" s="111"/>
      <c r="F170" s="112"/>
      <c r="G170" s="113"/>
      <c r="H170" s="183">
        <v>1</v>
      </c>
      <c r="I170" s="98">
        <v>0</v>
      </c>
      <c r="J170" s="98">
        <v>0</v>
      </c>
      <c r="K170" s="101">
        <f t="shared" si="166"/>
        <v>0</v>
      </c>
      <c r="L170" s="100">
        <v>0</v>
      </c>
      <c r="M170" s="98">
        <v>0</v>
      </c>
      <c r="N170" s="101">
        <f t="shared" si="167"/>
        <v>0</v>
      </c>
      <c r="O170" s="100">
        <v>0</v>
      </c>
      <c r="P170" s="98">
        <v>0</v>
      </c>
      <c r="Q170" s="101">
        <f t="shared" si="168"/>
        <v>0</v>
      </c>
      <c r="R170" s="100">
        <v>0</v>
      </c>
      <c r="S170" s="98">
        <v>0</v>
      </c>
      <c r="T170" s="101">
        <f t="shared" si="169"/>
        <v>0</v>
      </c>
      <c r="U170" s="183">
        <v>1</v>
      </c>
      <c r="V170" s="99">
        <v>1</v>
      </c>
      <c r="W170" s="98">
        <v>0</v>
      </c>
      <c r="X170" s="98">
        <v>0</v>
      </c>
      <c r="Y170" s="101">
        <f t="shared" si="172"/>
        <v>0</v>
      </c>
      <c r="Z170" s="101">
        <v>1</v>
      </c>
      <c r="AA170" s="183">
        <v>0</v>
      </c>
      <c r="AB170" s="99">
        <v>1</v>
      </c>
      <c r="AC170" s="98">
        <v>0</v>
      </c>
      <c r="AD170" s="98">
        <v>0</v>
      </c>
      <c r="AE170" s="101">
        <f t="shared" si="170"/>
        <v>0</v>
      </c>
      <c r="AF170" s="100">
        <v>0</v>
      </c>
      <c r="AG170" s="98">
        <v>0</v>
      </c>
      <c r="AH170" s="99">
        <f t="shared" si="171"/>
        <v>0</v>
      </c>
      <c r="AI170" s="101">
        <v>1</v>
      </c>
      <c r="AJ170" s="106"/>
    </row>
    <row r="171" spans="2:36" s="35" customFormat="1" ht="17.100000000000001" customHeight="1">
      <c r="B171" s="105"/>
      <c r="C171" s="54"/>
      <c r="D171" s="96"/>
      <c r="E171" s="111"/>
      <c r="F171" s="112"/>
      <c r="G171" s="113"/>
      <c r="H171" s="183">
        <v>1</v>
      </c>
      <c r="I171" s="98">
        <v>0</v>
      </c>
      <c r="J171" s="98">
        <v>0</v>
      </c>
      <c r="K171" s="101">
        <f t="shared" si="166"/>
        <v>0</v>
      </c>
      <c r="L171" s="100">
        <v>0</v>
      </c>
      <c r="M171" s="98">
        <v>0</v>
      </c>
      <c r="N171" s="101">
        <f t="shared" si="167"/>
        <v>0</v>
      </c>
      <c r="O171" s="100">
        <v>0</v>
      </c>
      <c r="P171" s="98">
        <v>0</v>
      </c>
      <c r="Q171" s="101">
        <f t="shared" si="168"/>
        <v>0</v>
      </c>
      <c r="R171" s="100">
        <v>0</v>
      </c>
      <c r="S171" s="98">
        <v>0</v>
      </c>
      <c r="T171" s="101">
        <f t="shared" si="169"/>
        <v>0</v>
      </c>
      <c r="U171" s="183">
        <v>1</v>
      </c>
      <c r="V171" s="99">
        <v>1</v>
      </c>
      <c r="W171" s="98">
        <v>0</v>
      </c>
      <c r="X171" s="98">
        <v>0</v>
      </c>
      <c r="Y171" s="101">
        <f t="shared" si="172"/>
        <v>0</v>
      </c>
      <c r="Z171" s="101">
        <v>1</v>
      </c>
      <c r="AA171" s="183">
        <v>0</v>
      </c>
      <c r="AB171" s="99">
        <v>1</v>
      </c>
      <c r="AC171" s="98">
        <v>0</v>
      </c>
      <c r="AD171" s="98">
        <v>0</v>
      </c>
      <c r="AE171" s="101">
        <f t="shared" si="170"/>
        <v>0</v>
      </c>
      <c r="AF171" s="100">
        <v>0</v>
      </c>
      <c r="AG171" s="98">
        <v>0</v>
      </c>
      <c r="AH171" s="99">
        <f t="shared" si="171"/>
        <v>0</v>
      </c>
      <c r="AI171" s="101">
        <v>1</v>
      </c>
      <c r="AJ171" s="106"/>
    </row>
    <row r="172" spans="2:36" s="126" customFormat="1" ht="17.100000000000001" customHeight="1" thickBot="1">
      <c r="B172" s="128"/>
      <c r="C172" s="154"/>
      <c r="D172" s="155"/>
      <c r="E172" s="156"/>
      <c r="F172" s="129"/>
      <c r="G172" s="130"/>
      <c r="H172" s="184">
        <v>1</v>
      </c>
      <c r="I172" s="361" t="s">
        <v>201</v>
      </c>
      <c r="J172" s="361"/>
      <c r="K172" s="131">
        <f>SUM(K165:K171)</f>
        <v>0</v>
      </c>
      <c r="L172" s="344" t="s">
        <v>201</v>
      </c>
      <c r="M172" s="345"/>
      <c r="N172" s="131">
        <f>SUM(N165:N171)</f>
        <v>0</v>
      </c>
      <c r="O172" s="344" t="s">
        <v>201</v>
      </c>
      <c r="P172" s="345"/>
      <c r="Q172" s="131">
        <f>SUM(Q165:Q171)</f>
        <v>0</v>
      </c>
      <c r="R172" s="344" t="s">
        <v>201</v>
      </c>
      <c r="S172" s="345"/>
      <c r="T172" s="131">
        <f>SUM(T165:T171)</f>
        <v>37.5</v>
      </c>
      <c r="U172" s="184">
        <v>2</v>
      </c>
      <c r="V172" s="160">
        <v>3</v>
      </c>
      <c r="W172" s="361" t="s">
        <v>201</v>
      </c>
      <c r="X172" s="361"/>
      <c r="Y172" s="131">
        <f>SUM(Y165:Y171)</f>
        <v>250</v>
      </c>
      <c r="Z172" s="133">
        <v>1</v>
      </c>
      <c r="AA172" s="184">
        <v>0</v>
      </c>
      <c r="AB172" s="160">
        <v>1</v>
      </c>
      <c r="AC172" s="361" t="s">
        <v>201</v>
      </c>
      <c r="AD172" s="361"/>
      <c r="AE172" s="131">
        <f>SUM(AE165:AE171)</f>
        <v>0</v>
      </c>
      <c r="AF172" s="362" t="s">
        <v>201</v>
      </c>
      <c r="AG172" s="361"/>
      <c r="AH172" s="144">
        <f>SUM(AH165:AH171)</f>
        <v>0</v>
      </c>
      <c r="AI172" s="133">
        <v>1</v>
      </c>
      <c r="AJ172" s="134"/>
    </row>
    <row r="173" spans="2:36" s="35" customFormat="1" ht="16.95" customHeight="1">
      <c r="B173" s="114"/>
      <c r="C173" s="157">
        <f>'3. Rekap Back Up Non Aspal '!C40</f>
        <v>2900</v>
      </c>
      <c r="D173" s="158">
        <f>'3. Rekap Back Up Non Aspal '!D40</f>
        <v>3000</v>
      </c>
      <c r="E173" s="159">
        <f>'3. Rekap Back Up Non Aspal '!E40</f>
        <v>3</v>
      </c>
      <c r="F173" s="115">
        <f>(100/((D173-C173)*E173))*((K180*0.05)+(N180*0.05)+(Q180*0.05)+(T180)+(Y180)+(AE180*1.5)+(AH180*1))</f>
        <v>33.333333333333329</v>
      </c>
      <c r="G173" s="116" t="str">
        <f>IF(F173&lt;=25,"RB",IF(F173&lt;=75,"RB",IF(F173&lt;=100,"RB","RB")))</f>
        <v>RB</v>
      </c>
      <c r="H173" s="185">
        <v>1</v>
      </c>
      <c r="I173" s="136">
        <v>0</v>
      </c>
      <c r="J173" s="136">
        <v>0</v>
      </c>
      <c r="K173" s="137">
        <f t="shared" ref="K173:K179" si="173">I173*J173</f>
        <v>0</v>
      </c>
      <c r="L173" s="136">
        <v>0</v>
      </c>
      <c r="M173" s="136">
        <v>0</v>
      </c>
      <c r="N173" s="137">
        <f t="shared" ref="N173:N179" si="174">L173*M173</f>
        <v>0</v>
      </c>
      <c r="O173" s="136">
        <v>0</v>
      </c>
      <c r="P173" s="136">
        <v>3</v>
      </c>
      <c r="Q173" s="137">
        <f t="shared" ref="Q173:Q179" si="175">O173*P173</f>
        <v>0</v>
      </c>
      <c r="R173" s="136">
        <v>20</v>
      </c>
      <c r="S173" s="297">
        <v>2.5</v>
      </c>
      <c r="T173" s="137">
        <f t="shared" ref="T173:T179" si="176">R173*S173</f>
        <v>50</v>
      </c>
      <c r="U173" s="185">
        <v>4</v>
      </c>
      <c r="V173" s="138">
        <v>3</v>
      </c>
      <c r="W173" s="136">
        <v>25</v>
      </c>
      <c r="X173" s="136">
        <v>2</v>
      </c>
      <c r="Y173" s="137">
        <f>W173*X173</f>
        <v>50</v>
      </c>
      <c r="Z173" s="137">
        <v>1</v>
      </c>
      <c r="AA173" s="185">
        <v>0</v>
      </c>
      <c r="AB173" s="138">
        <v>1</v>
      </c>
      <c r="AC173" s="136">
        <v>0</v>
      </c>
      <c r="AD173" s="136">
        <v>0</v>
      </c>
      <c r="AE173" s="137">
        <f t="shared" ref="AE173:AE179" si="177">AC173*AD173</f>
        <v>0</v>
      </c>
      <c r="AF173" s="136">
        <v>0</v>
      </c>
      <c r="AG173" s="136">
        <v>0</v>
      </c>
      <c r="AH173" s="138">
        <f t="shared" ref="AH173:AH179" si="178">AF173*AG173</f>
        <v>0</v>
      </c>
      <c r="AI173" s="137">
        <v>1</v>
      </c>
      <c r="AJ173" s="139"/>
    </row>
    <row r="174" spans="2:36" s="35" customFormat="1" ht="17.100000000000001" customHeight="1">
      <c r="B174" s="105"/>
      <c r="C174" s="54"/>
      <c r="D174" s="96"/>
      <c r="E174" s="111"/>
      <c r="F174" s="112"/>
      <c r="G174" s="113"/>
      <c r="H174" s="183">
        <v>1</v>
      </c>
      <c r="I174" s="98">
        <v>0</v>
      </c>
      <c r="J174" s="98">
        <v>0</v>
      </c>
      <c r="K174" s="101">
        <f t="shared" si="173"/>
        <v>0</v>
      </c>
      <c r="L174" s="100">
        <v>0</v>
      </c>
      <c r="M174" s="98">
        <v>0</v>
      </c>
      <c r="N174" s="101">
        <f t="shared" si="174"/>
        <v>0</v>
      </c>
      <c r="O174" s="100">
        <v>0</v>
      </c>
      <c r="P174" s="98">
        <v>0</v>
      </c>
      <c r="Q174" s="101">
        <f t="shared" si="175"/>
        <v>0</v>
      </c>
      <c r="R174" s="100">
        <v>0</v>
      </c>
      <c r="S174" s="98">
        <v>0</v>
      </c>
      <c r="T174" s="101">
        <f t="shared" si="176"/>
        <v>0</v>
      </c>
      <c r="U174" s="183">
        <v>1</v>
      </c>
      <c r="V174" s="99">
        <v>1</v>
      </c>
      <c r="W174" s="98">
        <v>0</v>
      </c>
      <c r="X174" s="98">
        <v>0</v>
      </c>
      <c r="Y174" s="101">
        <f t="shared" ref="Y174:Y179" si="179">W174*X174</f>
        <v>0</v>
      </c>
      <c r="Z174" s="101">
        <v>1</v>
      </c>
      <c r="AA174" s="183">
        <v>0</v>
      </c>
      <c r="AB174" s="99">
        <v>1</v>
      </c>
      <c r="AC174" s="98">
        <v>0</v>
      </c>
      <c r="AD174" s="98">
        <v>0</v>
      </c>
      <c r="AE174" s="101">
        <f t="shared" si="177"/>
        <v>0</v>
      </c>
      <c r="AF174" s="100">
        <v>0</v>
      </c>
      <c r="AG174" s="98">
        <v>0</v>
      </c>
      <c r="AH174" s="99">
        <f t="shared" si="178"/>
        <v>0</v>
      </c>
      <c r="AI174" s="101">
        <v>1</v>
      </c>
      <c r="AJ174" s="106"/>
    </row>
    <row r="175" spans="2:36" s="35" customFormat="1" ht="17.100000000000001" customHeight="1">
      <c r="B175" s="105"/>
      <c r="C175" s="54"/>
      <c r="D175" s="96"/>
      <c r="E175" s="111"/>
      <c r="F175" s="112"/>
      <c r="G175" s="113"/>
      <c r="H175" s="183">
        <v>1</v>
      </c>
      <c r="I175" s="98">
        <v>0</v>
      </c>
      <c r="J175" s="98">
        <v>0</v>
      </c>
      <c r="K175" s="101">
        <f t="shared" si="173"/>
        <v>0</v>
      </c>
      <c r="L175" s="100">
        <v>0</v>
      </c>
      <c r="M175" s="98">
        <v>0</v>
      </c>
      <c r="N175" s="101">
        <f t="shared" si="174"/>
        <v>0</v>
      </c>
      <c r="O175" s="100">
        <v>0</v>
      </c>
      <c r="P175" s="98">
        <v>0</v>
      </c>
      <c r="Q175" s="101">
        <f t="shared" si="175"/>
        <v>0</v>
      </c>
      <c r="R175" s="100">
        <v>0</v>
      </c>
      <c r="S175" s="98">
        <v>0</v>
      </c>
      <c r="T175" s="101">
        <f t="shared" si="176"/>
        <v>0</v>
      </c>
      <c r="U175" s="183">
        <v>1</v>
      </c>
      <c r="V175" s="99">
        <v>1</v>
      </c>
      <c r="W175" s="98">
        <v>0</v>
      </c>
      <c r="X175" s="98">
        <v>0</v>
      </c>
      <c r="Y175" s="101">
        <f t="shared" si="179"/>
        <v>0</v>
      </c>
      <c r="Z175" s="101">
        <v>1</v>
      </c>
      <c r="AA175" s="183">
        <v>0</v>
      </c>
      <c r="AB175" s="99">
        <v>1</v>
      </c>
      <c r="AC175" s="98">
        <v>0</v>
      </c>
      <c r="AD175" s="98">
        <v>0</v>
      </c>
      <c r="AE175" s="101">
        <f t="shared" si="177"/>
        <v>0</v>
      </c>
      <c r="AF175" s="100">
        <v>0</v>
      </c>
      <c r="AG175" s="98">
        <v>0</v>
      </c>
      <c r="AH175" s="99">
        <f t="shared" si="178"/>
        <v>0</v>
      </c>
      <c r="AI175" s="101">
        <v>1</v>
      </c>
      <c r="AJ175" s="106"/>
    </row>
    <row r="176" spans="2:36" s="35" customFormat="1" ht="17.100000000000001" customHeight="1">
      <c r="B176" s="105"/>
      <c r="C176" s="54"/>
      <c r="D176" s="96"/>
      <c r="E176" s="111"/>
      <c r="F176" s="112"/>
      <c r="G176" s="113"/>
      <c r="H176" s="183">
        <v>1</v>
      </c>
      <c r="I176" s="98">
        <v>0</v>
      </c>
      <c r="J176" s="98">
        <v>0</v>
      </c>
      <c r="K176" s="101">
        <f t="shared" si="173"/>
        <v>0</v>
      </c>
      <c r="L176" s="100">
        <v>0</v>
      </c>
      <c r="M176" s="98">
        <v>0</v>
      </c>
      <c r="N176" s="101">
        <f t="shared" si="174"/>
        <v>0</v>
      </c>
      <c r="O176" s="100">
        <v>0</v>
      </c>
      <c r="P176" s="98">
        <v>0</v>
      </c>
      <c r="Q176" s="101">
        <f t="shared" si="175"/>
        <v>0</v>
      </c>
      <c r="R176" s="100">
        <v>0</v>
      </c>
      <c r="S176" s="98">
        <v>0</v>
      </c>
      <c r="T176" s="101">
        <f t="shared" si="176"/>
        <v>0</v>
      </c>
      <c r="U176" s="183">
        <v>1</v>
      </c>
      <c r="V176" s="99">
        <v>1</v>
      </c>
      <c r="W176" s="98">
        <v>0</v>
      </c>
      <c r="X176" s="98">
        <v>0</v>
      </c>
      <c r="Y176" s="101">
        <f t="shared" si="179"/>
        <v>0</v>
      </c>
      <c r="Z176" s="101">
        <v>1</v>
      </c>
      <c r="AA176" s="183">
        <v>0</v>
      </c>
      <c r="AB176" s="99">
        <v>1</v>
      </c>
      <c r="AC176" s="98">
        <v>0</v>
      </c>
      <c r="AD176" s="98">
        <v>0</v>
      </c>
      <c r="AE176" s="101">
        <f t="shared" si="177"/>
        <v>0</v>
      </c>
      <c r="AF176" s="100">
        <v>0</v>
      </c>
      <c r="AG176" s="98">
        <v>0</v>
      </c>
      <c r="AH176" s="99">
        <f t="shared" si="178"/>
        <v>0</v>
      </c>
      <c r="AI176" s="101">
        <v>1</v>
      </c>
      <c r="AJ176" s="106"/>
    </row>
    <row r="177" spans="2:36" s="35" customFormat="1" ht="17.100000000000001" customHeight="1">
      <c r="B177" s="105"/>
      <c r="C177" s="54"/>
      <c r="D177" s="96"/>
      <c r="E177" s="111"/>
      <c r="F177" s="112"/>
      <c r="G177" s="113"/>
      <c r="H177" s="183">
        <v>1</v>
      </c>
      <c r="I177" s="98">
        <v>0</v>
      </c>
      <c r="J177" s="98">
        <v>0</v>
      </c>
      <c r="K177" s="101">
        <f t="shared" si="173"/>
        <v>0</v>
      </c>
      <c r="L177" s="100">
        <v>0</v>
      </c>
      <c r="M177" s="98">
        <v>0</v>
      </c>
      <c r="N177" s="101">
        <f t="shared" si="174"/>
        <v>0</v>
      </c>
      <c r="O177" s="100">
        <v>0</v>
      </c>
      <c r="P177" s="98">
        <v>0</v>
      </c>
      <c r="Q177" s="101">
        <f t="shared" si="175"/>
        <v>0</v>
      </c>
      <c r="R177" s="100">
        <v>0</v>
      </c>
      <c r="S177" s="98">
        <v>0</v>
      </c>
      <c r="T177" s="101">
        <f t="shared" si="176"/>
        <v>0</v>
      </c>
      <c r="U177" s="183">
        <v>1</v>
      </c>
      <c r="V177" s="99">
        <v>1</v>
      </c>
      <c r="W177" s="98">
        <v>0</v>
      </c>
      <c r="X177" s="98">
        <v>0</v>
      </c>
      <c r="Y177" s="101">
        <f t="shared" si="179"/>
        <v>0</v>
      </c>
      <c r="Z177" s="101">
        <v>1</v>
      </c>
      <c r="AA177" s="183">
        <v>0</v>
      </c>
      <c r="AB177" s="99">
        <v>1</v>
      </c>
      <c r="AC177" s="98">
        <v>0</v>
      </c>
      <c r="AD177" s="98">
        <v>0</v>
      </c>
      <c r="AE177" s="101">
        <f t="shared" si="177"/>
        <v>0</v>
      </c>
      <c r="AF177" s="100">
        <v>0</v>
      </c>
      <c r="AG177" s="98">
        <v>0</v>
      </c>
      <c r="AH177" s="99">
        <f t="shared" si="178"/>
        <v>0</v>
      </c>
      <c r="AI177" s="101">
        <v>1</v>
      </c>
      <c r="AJ177" s="106"/>
    </row>
    <row r="178" spans="2:36" s="35" customFormat="1" ht="17.100000000000001" customHeight="1">
      <c r="B178" s="105"/>
      <c r="C178" s="54"/>
      <c r="D178" s="96"/>
      <c r="E178" s="111"/>
      <c r="F178" s="112"/>
      <c r="G178" s="113"/>
      <c r="H178" s="183">
        <v>1</v>
      </c>
      <c r="I178" s="98">
        <v>0</v>
      </c>
      <c r="J178" s="98">
        <v>0</v>
      </c>
      <c r="K178" s="101">
        <f t="shared" si="173"/>
        <v>0</v>
      </c>
      <c r="L178" s="100">
        <v>0</v>
      </c>
      <c r="M178" s="98">
        <v>0</v>
      </c>
      <c r="N178" s="101">
        <f t="shared" si="174"/>
        <v>0</v>
      </c>
      <c r="O178" s="100">
        <v>0</v>
      </c>
      <c r="P178" s="98">
        <v>0</v>
      </c>
      <c r="Q178" s="101">
        <f t="shared" si="175"/>
        <v>0</v>
      </c>
      <c r="R178" s="100">
        <v>0</v>
      </c>
      <c r="S178" s="98">
        <v>0</v>
      </c>
      <c r="T178" s="101">
        <f t="shared" si="176"/>
        <v>0</v>
      </c>
      <c r="U178" s="183">
        <v>1</v>
      </c>
      <c r="V178" s="99">
        <v>1</v>
      </c>
      <c r="W178" s="98">
        <v>0</v>
      </c>
      <c r="X178" s="98">
        <v>0</v>
      </c>
      <c r="Y178" s="101">
        <f t="shared" si="179"/>
        <v>0</v>
      </c>
      <c r="Z178" s="101">
        <v>1</v>
      </c>
      <c r="AA178" s="183">
        <v>0</v>
      </c>
      <c r="AB178" s="99">
        <v>1</v>
      </c>
      <c r="AC178" s="98">
        <v>0</v>
      </c>
      <c r="AD178" s="98">
        <v>0</v>
      </c>
      <c r="AE178" s="101">
        <f t="shared" si="177"/>
        <v>0</v>
      </c>
      <c r="AF178" s="100">
        <v>0</v>
      </c>
      <c r="AG178" s="98">
        <v>0</v>
      </c>
      <c r="AH178" s="99">
        <f t="shared" si="178"/>
        <v>0</v>
      </c>
      <c r="AI178" s="101">
        <v>1</v>
      </c>
      <c r="AJ178" s="106"/>
    </row>
    <row r="179" spans="2:36" s="35" customFormat="1" ht="17.100000000000001" customHeight="1">
      <c r="B179" s="105"/>
      <c r="C179" s="54"/>
      <c r="D179" s="96"/>
      <c r="E179" s="111"/>
      <c r="F179" s="112"/>
      <c r="G179" s="113"/>
      <c r="H179" s="183">
        <v>1</v>
      </c>
      <c r="I179" s="98">
        <v>0</v>
      </c>
      <c r="J179" s="98">
        <v>0</v>
      </c>
      <c r="K179" s="101">
        <f t="shared" si="173"/>
        <v>0</v>
      </c>
      <c r="L179" s="100">
        <v>0</v>
      </c>
      <c r="M179" s="98">
        <v>0</v>
      </c>
      <c r="N179" s="101">
        <f t="shared" si="174"/>
        <v>0</v>
      </c>
      <c r="O179" s="100">
        <v>0</v>
      </c>
      <c r="P179" s="98">
        <v>0</v>
      </c>
      <c r="Q179" s="101">
        <f t="shared" si="175"/>
        <v>0</v>
      </c>
      <c r="R179" s="100">
        <v>0</v>
      </c>
      <c r="S179" s="98">
        <v>0</v>
      </c>
      <c r="T179" s="101">
        <f t="shared" si="176"/>
        <v>0</v>
      </c>
      <c r="U179" s="183">
        <v>1</v>
      </c>
      <c r="V179" s="99">
        <v>1</v>
      </c>
      <c r="W179" s="98">
        <v>0</v>
      </c>
      <c r="X179" s="98">
        <v>0</v>
      </c>
      <c r="Y179" s="101">
        <f t="shared" si="179"/>
        <v>0</v>
      </c>
      <c r="Z179" s="101">
        <v>1</v>
      </c>
      <c r="AA179" s="183">
        <v>0</v>
      </c>
      <c r="AB179" s="99">
        <v>1</v>
      </c>
      <c r="AC179" s="98">
        <v>0</v>
      </c>
      <c r="AD179" s="98">
        <v>0</v>
      </c>
      <c r="AE179" s="101">
        <f t="shared" si="177"/>
        <v>0</v>
      </c>
      <c r="AF179" s="100">
        <v>0</v>
      </c>
      <c r="AG179" s="98">
        <v>0</v>
      </c>
      <c r="AH179" s="99">
        <f t="shared" si="178"/>
        <v>0</v>
      </c>
      <c r="AI179" s="101">
        <v>1</v>
      </c>
      <c r="AJ179" s="106"/>
    </row>
    <row r="180" spans="2:36" s="126" customFormat="1" ht="17.100000000000001" customHeight="1">
      <c r="B180" s="118"/>
      <c r="C180" s="119"/>
      <c r="D180" s="120"/>
      <c r="E180" s="121"/>
      <c r="F180" s="122"/>
      <c r="G180" s="123"/>
      <c r="H180" s="183">
        <v>1</v>
      </c>
      <c r="I180" s="363" t="s">
        <v>201</v>
      </c>
      <c r="J180" s="363"/>
      <c r="K180" s="124">
        <f>SUM(K173:K179)</f>
        <v>0</v>
      </c>
      <c r="L180" s="341" t="s">
        <v>201</v>
      </c>
      <c r="M180" s="342"/>
      <c r="N180" s="124">
        <f>SUM(N173:N179)</f>
        <v>0</v>
      </c>
      <c r="O180" s="341" t="s">
        <v>201</v>
      </c>
      <c r="P180" s="342"/>
      <c r="Q180" s="124">
        <f>SUM(Q173:Q179)</f>
        <v>0</v>
      </c>
      <c r="R180" s="341" t="s">
        <v>201</v>
      </c>
      <c r="S180" s="342"/>
      <c r="T180" s="124">
        <f>SUM(T173:T179)</f>
        <v>50</v>
      </c>
      <c r="U180" s="183">
        <v>4</v>
      </c>
      <c r="V180" s="99">
        <v>3</v>
      </c>
      <c r="W180" s="363" t="s">
        <v>201</v>
      </c>
      <c r="X180" s="363"/>
      <c r="Y180" s="124">
        <f>SUM(Y173:Y179)</f>
        <v>50</v>
      </c>
      <c r="Z180" s="101">
        <v>1</v>
      </c>
      <c r="AA180" s="183">
        <v>0</v>
      </c>
      <c r="AB180" s="99">
        <v>1</v>
      </c>
      <c r="AC180" s="363" t="s">
        <v>201</v>
      </c>
      <c r="AD180" s="363"/>
      <c r="AE180" s="124">
        <f>SUM(AE173:AE179)</f>
        <v>0</v>
      </c>
      <c r="AF180" s="364" t="s">
        <v>201</v>
      </c>
      <c r="AG180" s="363"/>
      <c r="AH180" s="143">
        <f>SUM(AH173:AH179)</f>
        <v>0</v>
      </c>
      <c r="AI180" s="101">
        <v>1</v>
      </c>
      <c r="AJ180" s="125"/>
    </row>
    <row r="181" spans="2:36" s="35" customFormat="1" ht="16.95" customHeight="1">
      <c r="B181" s="105"/>
      <c r="C181" s="54">
        <f>'3. Rekap Back Up Non Aspal '!C41</f>
        <v>3000</v>
      </c>
      <c r="D181" s="96">
        <f>'3. Rekap Back Up Non Aspal '!D41</f>
        <v>3100</v>
      </c>
      <c r="E181" s="111">
        <f>'3. Rekap Back Up Non Aspal '!E41</f>
        <v>3</v>
      </c>
      <c r="F181" s="112">
        <f>(100/((D181-C181)*E181))*((K188*0.05)+(N188*0.05)+(Q188*0.05)+(T188)+(Y188)+(AE188*1.5)+(AH188*1))</f>
        <v>83.333333333333329</v>
      </c>
      <c r="G181" s="113" t="str">
        <f>IF(F181&lt;=25,"RB",IF(F181&lt;=75,"RB",IF(F181&lt;=100,"RB","RB")))</f>
        <v>RB</v>
      </c>
      <c r="H181" s="183">
        <v>1</v>
      </c>
      <c r="I181" s="98">
        <v>0</v>
      </c>
      <c r="J181" s="98">
        <v>0</v>
      </c>
      <c r="K181" s="101">
        <f t="shared" ref="K181:K187" si="180">I181*J181</f>
        <v>0</v>
      </c>
      <c r="L181" s="98">
        <v>0</v>
      </c>
      <c r="M181" s="98">
        <v>0</v>
      </c>
      <c r="N181" s="101">
        <f t="shared" ref="N181:N187" si="181">L181*M181</f>
        <v>0</v>
      </c>
      <c r="O181" s="98">
        <v>0</v>
      </c>
      <c r="P181" s="98">
        <v>0</v>
      </c>
      <c r="Q181" s="101">
        <f t="shared" ref="Q181:Q187" si="182">O181*P181</f>
        <v>0</v>
      </c>
      <c r="R181" s="98">
        <v>0</v>
      </c>
      <c r="S181" s="98">
        <v>0</v>
      </c>
      <c r="T181" s="101">
        <f t="shared" ref="T181:T187" si="183">R181*S181</f>
        <v>0</v>
      </c>
      <c r="U181" s="183">
        <v>4</v>
      </c>
      <c r="V181" s="99">
        <v>4</v>
      </c>
      <c r="W181" s="98">
        <v>100</v>
      </c>
      <c r="X181" s="187">
        <v>2.5</v>
      </c>
      <c r="Y181" s="101">
        <f>W181*X181</f>
        <v>250</v>
      </c>
      <c r="Z181" s="101">
        <v>1</v>
      </c>
      <c r="AA181" s="183">
        <v>0</v>
      </c>
      <c r="AB181" s="99">
        <v>1</v>
      </c>
      <c r="AC181" s="98">
        <v>0</v>
      </c>
      <c r="AD181" s="98">
        <v>0</v>
      </c>
      <c r="AE181" s="101">
        <f t="shared" ref="AE181:AE187" si="184">AC181*AD181</f>
        <v>0</v>
      </c>
      <c r="AF181" s="98">
        <v>0</v>
      </c>
      <c r="AG181" s="98">
        <v>3</v>
      </c>
      <c r="AH181" s="99">
        <f t="shared" ref="AH181:AH187" si="185">AF181*AG181</f>
        <v>0</v>
      </c>
      <c r="AI181" s="101">
        <v>1</v>
      </c>
      <c r="AJ181" s="106"/>
    </row>
    <row r="182" spans="2:36" s="35" customFormat="1" ht="17.100000000000001" customHeight="1">
      <c r="B182" s="105"/>
      <c r="C182" s="54"/>
      <c r="D182" s="96"/>
      <c r="E182" s="111"/>
      <c r="F182" s="112"/>
      <c r="G182" s="113"/>
      <c r="H182" s="183">
        <v>1</v>
      </c>
      <c r="I182" s="98">
        <v>0</v>
      </c>
      <c r="J182" s="98">
        <v>0</v>
      </c>
      <c r="K182" s="101">
        <f t="shared" si="180"/>
        <v>0</v>
      </c>
      <c r="L182" s="100">
        <v>0</v>
      </c>
      <c r="M182" s="98">
        <v>0</v>
      </c>
      <c r="N182" s="101">
        <f t="shared" si="181"/>
        <v>0</v>
      </c>
      <c r="O182" s="100">
        <v>0</v>
      </c>
      <c r="P182" s="98">
        <v>0</v>
      </c>
      <c r="Q182" s="101">
        <f t="shared" si="182"/>
        <v>0</v>
      </c>
      <c r="R182" s="100">
        <v>0</v>
      </c>
      <c r="S182" s="98">
        <v>0</v>
      </c>
      <c r="T182" s="101">
        <f t="shared" si="183"/>
        <v>0</v>
      </c>
      <c r="U182" s="183">
        <v>1</v>
      </c>
      <c r="V182" s="99">
        <v>1</v>
      </c>
      <c r="W182" s="98">
        <v>0</v>
      </c>
      <c r="X182" s="98">
        <v>0</v>
      </c>
      <c r="Y182" s="101">
        <f t="shared" ref="Y182:Y187" si="186">W182*X182</f>
        <v>0</v>
      </c>
      <c r="Z182" s="101">
        <v>1</v>
      </c>
      <c r="AA182" s="183">
        <v>0</v>
      </c>
      <c r="AB182" s="99">
        <v>1</v>
      </c>
      <c r="AC182" s="98">
        <v>0</v>
      </c>
      <c r="AD182" s="98">
        <v>0</v>
      </c>
      <c r="AE182" s="101">
        <f t="shared" si="184"/>
        <v>0</v>
      </c>
      <c r="AF182" s="100">
        <v>0</v>
      </c>
      <c r="AG182" s="98">
        <v>0</v>
      </c>
      <c r="AH182" s="99">
        <f t="shared" si="185"/>
        <v>0</v>
      </c>
      <c r="AI182" s="101">
        <v>1</v>
      </c>
      <c r="AJ182" s="106"/>
    </row>
    <row r="183" spans="2:36" s="35" customFormat="1" ht="17.100000000000001" customHeight="1">
      <c r="B183" s="105"/>
      <c r="C183" s="54"/>
      <c r="D183" s="96"/>
      <c r="E183" s="111"/>
      <c r="F183" s="112"/>
      <c r="G183" s="113"/>
      <c r="H183" s="183">
        <v>1</v>
      </c>
      <c r="I183" s="98">
        <v>0</v>
      </c>
      <c r="J183" s="98">
        <v>0</v>
      </c>
      <c r="K183" s="101">
        <f t="shared" si="180"/>
        <v>0</v>
      </c>
      <c r="L183" s="100">
        <v>0</v>
      </c>
      <c r="M183" s="98">
        <v>0</v>
      </c>
      <c r="N183" s="101">
        <f t="shared" si="181"/>
        <v>0</v>
      </c>
      <c r="O183" s="100">
        <v>0</v>
      </c>
      <c r="P183" s="98">
        <v>0</v>
      </c>
      <c r="Q183" s="101">
        <f t="shared" si="182"/>
        <v>0</v>
      </c>
      <c r="R183" s="100">
        <v>0</v>
      </c>
      <c r="S183" s="98">
        <v>0</v>
      </c>
      <c r="T183" s="101">
        <f t="shared" si="183"/>
        <v>0</v>
      </c>
      <c r="U183" s="183">
        <v>1</v>
      </c>
      <c r="V183" s="99">
        <v>1</v>
      </c>
      <c r="W183" s="98">
        <v>0</v>
      </c>
      <c r="X183" s="98">
        <v>0</v>
      </c>
      <c r="Y183" s="101">
        <f t="shared" si="186"/>
        <v>0</v>
      </c>
      <c r="Z183" s="101">
        <v>1</v>
      </c>
      <c r="AA183" s="183">
        <v>0</v>
      </c>
      <c r="AB183" s="99">
        <v>1</v>
      </c>
      <c r="AC183" s="98">
        <v>0</v>
      </c>
      <c r="AD183" s="98">
        <v>0</v>
      </c>
      <c r="AE183" s="101">
        <f t="shared" si="184"/>
        <v>0</v>
      </c>
      <c r="AF183" s="100">
        <v>0</v>
      </c>
      <c r="AG183" s="98">
        <v>0</v>
      </c>
      <c r="AH183" s="99">
        <f t="shared" si="185"/>
        <v>0</v>
      </c>
      <c r="AI183" s="101">
        <v>1</v>
      </c>
      <c r="AJ183" s="106"/>
    </row>
    <row r="184" spans="2:36" s="35" customFormat="1" ht="17.100000000000001" customHeight="1">
      <c r="B184" s="105"/>
      <c r="C184" s="54"/>
      <c r="D184" s="96"/>
      <c r="E184" s="111"/>
      <c r="F184" s="112"/>
      <c r="G184" s="113"/>
      <c r="H184" s="183">
        <v>1</v>
      </c>
      <c r="I184" s="98">
        <v>0</v>
      </c>
      <c r="J184" s="98">
        <v>0</v>
      </c>
      <c r="K184" s="101">
        <f t="shared" si="180"/>
        <v>0</v>
      </c>
      <c r="L184" s="100">
        <v>0</v>
      </c>
      <c r="M184" s="98">
        <v>0</v>
      </c>
      <c r="N184" s="101">
        <f t="shared" si="181"/>
        <v>0</v>
      </c>
      <c r="O184" s="100">
        <v>0</v>
      </c>
      <c r="P184" s="98">
        <v>0</v>
      </c>
      <c r="Q184" s="101">
        <f t="shared" si="182"/>
        <v>0</v>
      </c>
      <c r="R184" s="100">
        <v>0</v>
      </c>
      <c r="S184" s="98">
        <v>0</v>
      </c>
      <c r="T184" s="101">
        <f t="shared" si="183"/>
        <v>0</v>
      </c>
      <c r="U184" s="183">
        <v>1</v>
      </c>
      <c r="V184" s="99">
        <v>1</v>
      </c>
      <c r="W184" s="98">
        <v>0</v>
      </c>
      <c r="X184" s="98">
        <v>0</v>
      </c>
      <c r="Y184" s="101">
        <f t="shared" si="186"/>
        <v>0</v>
      </c>
      <c r="Z184" s="101">
        <v>1</v>
      </c>
      <c r="AA184" s="183">
        <v>0</v>
      </c>
      <c r="AB184" s="99">
        <v>1</v>
      </c>
      <c r="AC184" s="98">
        <v>0</v>
      </c>
      <c r="AD184" s="98">
        <v>0</v>
      </c>
      <c r="AE184" s="101">
        <f t="shared" si="184"/>
        <v>0</v>
      </c>
      <c r="AF184" s="100">
        <v>0</v>
      </c>
      <c r="AG184" s="98">
        <v>0</v>
      </c>
      <c r="AH184" s="99">
        <f t="shared" si="185"/>
        <v>0</v>
      </c>
      <c r="AI184" s="101">
        <v>1</v>
      </c>
      <c r="AJ184" s="106"/>
    </row>
    <row r="185" spans="2:36" s="35" customFormat="1" ht="17.100000000000001" customHeight="1">
      <c r="B185" s="105"/>
      <c r="C185" s="54"/>
      <c r="D185" s="96"/>
      <c r="E185" s="111"/>
      <c r="F185" s="112"/>
      <c r="G185" s="113"/>
      <c r="H185" s="183">
        <v>1</v>
      </c>
      <c r="I185" s="98">
        <v>0</v>
      </c>
      <c r="J185" s="98">
        <v>0</v>
      </c>
      <c r="K185" s="101">
        <f t="shared" si="180"/>
        <v>0</v>
      </c>
      <c r="L185" s="100">
        <v>0</v>
      </c>
      <c r="M185" s="98">
        <v>0</v>
      </c>
      <c r="N185" s="101">
        <f t="shared" si="181"/>
        <v>0</v>
      </c>
      <c r="O185" s="100">
        <v>0</v>
      </c>
      <c r="P185" s="98">
        <v>0</v>
      </c>
      <c r="Q185" s="101">
        <f t="shared" si="182"/>
        <v>0</v>
      </c>
      <c r="R185" s="100">
        <v>0</v>
      </c>
      <c r="S185" s="98">
        <v>0</v>
      </c>
      <c r="T185" s="101">
        <f t="shared" si="183"/>
        <v>0</v>
      </c>
      <c r="U185" s="183">
        <v>1</v>
      </c>
      <c r="V185" s="99">
        <v>1</v>
      </c>
      <c r="W185" s="98">
        <v>0</v>
      </c>
      <c r="X185" s="98">
        <v>0</v>
      </c>
      <c r="Y185" s="101">
        <f t="shared" si="186"/>
        <v>0</v>
      </c>
      <c r="Z185" s="101">
        <v>1</v>
      </c>
      <c r="AA185" s="183">
        <v>0</v>
      </c>
      <c r="AB185" s="99">
        <v>1</v>
      </c>
      <c r="AC185" s="98">
        <v>0</v>
      </c>
      <c r="AD185" s="98">
        <v>0</v>
      </c>
      <c r="AE185" s="101">
        <f t="shared" si="184"/>
        <v>0</v>
      </c>
      <c r="AF185" s="100">
        <v>0</v>
      </c>
      <c r="AG185" s="98">
        <v>0</v>
      </c>
      <c r="AH185" s="99">
        <f t="shared" si="185"/>
        <v>0</v>
      </c>
      <c r="AI185" s="101">
        <v>1</v>
      </c>
      <c r="AJ185" s="106"/>
    </row>
    <row r="186" spans="2:36" s="35" customFormat="1" ht="17.100000000000001" customHeight="1">
      <c r="B186" s="105"/>
      <c r="C186" s="54"/>
      <c r="D186" s="96"/>
      <c r="E186" s="111"/>
      <c r="F186" s="112"/>
      <c r="G186" s="113"/>
      <c r="H186" s="183">
        <v>1</v>
      </c>
      <c r="I186" s="98">
        <v>0</v>
      </c>
      <c r="J186" s="98">
        <v>0</v>
      </c>
      <c r="K186" s="101">
        <f t="shared" si="180"/>
        <v>0</v>
      </c>
      <c r="L186" s="100">
        <v>0</v>
      </c>
      <c r="M186" s="98">
        <v>0</v>
      </c>
      <c r="N186" s="101">
        <f t="shared" si="181"/>
        <v>0</v>
      </c>
      <c r="O186" s="100">
        <v>0</v>
      </c>
      <c r="P186" s="98">
        <v>0</v>
      </c>
      <c r="Q186" s="101">
        <f t="shared" si="182"/>
        <v>0</v>
      </c>
      <c r="R186" s="100">
        <v>0</v>
      </c>
      <c r="S186" s="98">
        <v>0</v>
      </c>
      <c r="T186" s="101">
        <f t="shared" si="183"/>
        <v>0</v>
      </c>
      <c r="U186" s="183">
        <v>1</v>
      </c>
      <c r="V186" s="99">
        <v>1</v>
      </c>
      <c r="W186" s="98">
        <v>0</v>
      </c>
      <c r="X186" s="98">
        <v>0</v>
      </c>
      <c r="Y186" s="101">
        <f t="shared" si="186"/>
        <v>0</v>
      </c>
      <c r="Z186" s="101">
        <v>1</v>
      </c>
      <c r="AA186" s="183">
        <v>0</v>
      </c>
      <c r="AB186" s="99">
        <v>1</v>
      </c>
      <c r="AC186" s="98">
        <v>0</v>
      </c>
      <c r="AD186" s="98">
        <v>0</v>
      </c>
      <c r="AE186" s="101">
        <f t="shared" si="184"/>
        <v>0</v>
      </c>
      <c r="AF186" s="100">
        <v>0</v>
      </c>
      <c r="AG186" s="98">
        <v>0</v>
      </c>
      <c r="AH186" s="99">
        <f t="shared" si="185"/>
        <v>0</v>
      </c>
      <c r="AI186" s="101">
        <v>1</v>
      </c>
      <c r="AJ186" s="106"/>
    </row>
    <row r="187" spans="2:36" s="35" customFormat="1" ht="17.100000000000001" customHeight="1">
      <c r="B187" s="105"/>
      <c r="C187" s="54"/>
      <c r="D187" s="96"/>
      <c r="E187" s="111"/>
      <c r="F187" s="112"/>
      <c r="G187" s="113"/>
      <c r="H187" s="183">
        <v>1</v>
      </c>
      <c r="I187" s="98">
        <v>0</v>
      </c>
      <c r="J187" s="98">
        <v>0</v>
      </c>
      <c r="K187" s="101">
        <f t="shared" si="180"/>
        <v>0</v>
      </c>
      <c r="L187" s="100">
        <v>0</v>
      </c>
      <c r="M187" s="98">
        <v>0</v>
      </c>
      <c r="N187" s="101">
        <f t="shared" si="181"/>
        <v>0</v>
      </c>
      <c r="O187" s="100">
        <v>0</v>
      </c>
      <c r="P187" s="98">
        <v>0</v>
      </c>
      <c r="Q187" s="101">
        <f t="shared" si="182"/>
        <v>0</v>
      </c>
      <c r="R187" s="100">
        <v>0</v>
      </c>
      <c r="S187" s="98">
        <v>0</v>
      </c>
      <c r="T187" s="101">
        <f t="shared" si="183"/>
        <v>0</v>
      </c>
      <c r="U187" s="183">
        <v>1</v>
      </c>
      <c r="V187" s="99">
        <v>1</v>
      </c>
      <c r="W187" s="98">
        <v>0</v>
      </c>
      <c r="X187" s="98">
        <v>0</v>
      </c>
      <c r="Y187" s="101">
        <f t="shared" si="186"/>
        <v>0</v>
      </c>
      <c r="Z187" s="101">
        <v>1</v>
      </c>
      <c r="AA187" s="183">
        <v>0</v>
      </c>
      <c r="AB187" s="99">
        <v>1</v>
      </c>
      <c r="AC187" s="98">
        <v>0</v>
      </c>
      <c r="AD187" s="98">
        <v>0</v>
      </c>
      <c r="AE187" s="101">
        <f t="shared" si="184"/>
        <v>0</v>
      </c>
      <c r="AF187" s="100">
        <v>0</v>
      </c>
      <c r="AG187" s="98">
        <v>0</v>
      </c>
      <c r="AH187" s="99">
        <f t="shared" si="185"/>
        <v>0</v>
      </c>
      <c r="AI187" s="101">
        <v>1</v>
      </c>
      <c r="AJ187" s="106"/>
    </row>
    <row r="188" spans="2:36" s="126" customFormat="1" ht="17.100000000000001" customHeight="1">
      <c r="B188" s="118"/>
      <c r="C188" s="119"/>
      <c r="D188" s="120"/>
      <c r="E188" s="121"/>
      <c r="F188" s="122"/>
      <c r="G188" s="123"/>
      <c r="H188" s="183">
        <v>1</v>
      </c>
      <c r="I188" s="363" t="s">
        <v>201</v>
      </c>
      <c r="J188" s="363"/>
      <c r="K188" s="124">
        <f>SUM(K181:K187)</f>
        <v>0</v>
      </c>
      <c r="L188" s="341" t="s">
        <v>201</v>
      </c>
      <c r="M188" s="342"/>
      <c r="N188" s="124">
        <f>SUM(N181:N187)</f>
        <v>0</v>
      </c>
      <c r="O188" s="341" t="s">
        <v>201</v>
      </c>
      <c r="P188" s="342"/>
      <c r="Q188" s="124">
        <f>SUM(Q181:Q187)</f>
        <v>0</v>
      </c>
      <c r="R188" s="341" t="s">
        <v>201</v>
      </c>
      <c r="S188" s="342"/>
      <c r="T188" s="124">
        <f>SUM(T181:T187)</f>
        <v>0</v>
      </c>
      <c r="U188" s="183">
        <v>4</v>
      </c>
      <c r="V188" s="99">
        <v>4</v>
      </c>
      <c r="W188" s="363" t="s">
        <v>201</v>
      </c>
      <c r="X188" s="363"/>
      <c r="Y188" s="124">
        <f>SUM(Y181:Y187)</f>
        <v>250</v>
      </c>
      <c r="Z188" s="101">
        <v>1</v>
      </c>
      <c r="AA188" s="183">
        <v>0</v>
      </c>
      <c r="AB188" s="99">
        <v>1</v>
      </c>
      <c r="AC188" s="363" t="s">
        <v>201</v>
      </c>
      <c r="AD188" s="363"/>
      <c r="AE188" s="124">
        <f>SUM(AE181:AE187)</f>
        <v>0</v>
      </c>
      <c r="AF188" s="364" t="s">
        <v>201</v>
      </c>
      <c r="AG188" s="363"/>
      <c r="AH188" s="143">
        <f>SUM(AH181:AH187)</f>
        <v>0</v>
      </c>
      <c r="AI188" s="101">
        <v>1</v>
      </c>
      <c r="AJ188" s="125"/>
    </row>
    <row r="189" spans="2:36" s="35" customFormat="1" ht="16.95" customHeight="1">
      <c r="B189" s="105"/>
      <c r="C189" s="54">
        <f>'3. Rekap Back Up Non Aspal '!C42</f>
        <v>3100</v>
      </c>
      <c r="D189" s="96">
        <f>'3. Rekap Back Up Non Aspal '!D42</f>
        <v>3200</v>
      </c>
      <c r="E189" s="111">
        <f>'3. Rekap Back Up Non Aspal '!E42</f>
        <v>3</v>
      </c>
      <c r="F189" s="112">
        <f>(100/((D189-C189)*E189))*((K196*0.05)+(N196*0.05)+(Q196*0.05)+(T196)+(Y196)+(AE196*1.5)+(AH196*1))</f>
        <v>83.333333333333329</v>
      </c>
      <c r="G189" s="113" t="str">
        <f>IF(F189&lt;=25,"RB",IF(F189&lt;=75,"RB",IF(F189&lt;=100,"RB","RB")))</f>
        <v>RB</v>
      </c>
      <c r="H189" s="183">
        <v>1</v>
      </c>
      <c r="I189" s="98">
        <v>0</v>
      </c>
      <c r="J189" s="98">
        <v>0</v>
      </c>
      <c r="K189" s="101">
        <f t="shared" ref="K189:K195" si="187">I189*J189</f>
        <v>0</v>
      </c>
      <c r="L189" s="98">
        <v>0</v>
      </c>
      <c r="M189" s="98">
        <v>0</v>
      </c>
      <c r="N189" s="101">
        <f t="shared" ref="N189:N195" si="188">L189*M189</f>
        <v>0</v>
      </c>
      <c r="O189" s="98">
        <v>0</v>
      </c>
      <c r="P189" s="98">
        <v>0</v>
      </c>
      <c r="Q189" s="101">
        <f t="shared" ref="Q189:Q195" si="189">O189*P189</f>
        <v>0</v>
      </c>
      <c r="R189" s="98">
        <v>0</v>
      </c>
      <c r="S189" s="98">
        <v>0</v>
      </c>
      <c r="T189" s="101">
        <f t="shared" ref="T189:T195" si="190">R189*S189</f>
        <v>0</v>
      </c>
      <c r="U189" s="183">
        <v>3</v>
      </c>
      <c r="V189" s="99">
        <v>3</v>
      </c>
      <c r="W189" s="98">
        <v>100</v>
      </c>
      <c r="X189" s="187">
        <v>2.5</v>
      </c>
      <c r="Y189" s="101">
        <f>W189*X189</f>
        <v>250</v>
      </c>
      <c r="Z189" s="101">
        <v>1</v>
      </c>
      <c r="AA189" s="183">
        <v>0</v>
      </c>
      <c r="AB189" s="99">
        <v>1</v>
      </c>
      <c r="AC189" s="98">
        <v>0</v>
      </c>
      <c r="AD189" s="98">
        <v>0</v>
      </c>
      <c r="AE189" s="101">
        <f t="shared" ref="AE189:AE195" si="191">AC189*AD189</f>
        <v>0</v>
      </c>
      <c r="AF189" s="98">
        <v>0</v>
      </c>
      <c r="AG189" s="98">
        <v>3</v>
      </c>
      <c r="AH189" s="99">
        <f t="shared" ref="AH189:AH195" si="192">AF189*AG189</f>
        <v>0</v>
      </c>
      <c r="AI189" s="101">
        <v>1</v>
      </c>
      <c r="AJ189" s="106"/>
    </row>
    <row r="190" spans="2:36" s="35" customFormat="1" ht="17.100000000000001" customHeight="1">
      <c r="B190" s="105"/>
      <c r="C190" s="54"/>
      <c r="D190" s="96"/>
      <c r="E190" s="111"/>
      <c r="F190" s="112"/>
      <c r="G190" s="113"/>
      <c r="H190" s="183">
        <v>1</v>
      </c>
      <c r="I190" s="98">
        <v>0</v>
      </c>
      <c r="J190" s="98">
        <v>0</v>
      </c>
      <c r="K190" s="101">
        <f t="shared" si="187"/>
        <v>0</v>
      </c>
      <c r="L190" s="100">
        <v>0</v>
      </c>
      <c r="M190" s="98">
        <v>0</v>
      </c>
      <c r="N190" s="101">
        <f t="shared" si="188"/>
        <v>0</v>
      </c>
      <c r="O190" s="100">
        <v>0</v>
      </c>
      <c r="P190" s="98">
        <v>0</v>
      </c>
      <c r="Q190" s="101">
        <f t="shared" si="189"/>
        <v>0</v>
      </c>
      <c r="R190" s="100">
        <v>0</v>
      </c>
      <c r="S190" s="98">
        <v>0</v>
      </c>
      <c r="T190" s="101">
        <f t="shared" si="190"/>
        <v>0</v>
      </c>
      <c r="U190" s="183">
        <v>1</v>
      </c>
      <c r="V190" s="99">
        <v>1</v>
      </c>
      <c r="W190" s="98">
        <v>0</v>
      </c>
      <c r="X190" s="98">
        <v>0</v>
      </c>
      <c r="Y190" s="101">
        <f t="shared" ref="Y190:Y195" si="193">W190*X190</f>
        <v>0</v>
      </c>
      <c r="Z190" s="101">
        <v>1</v>
      </c>
      <c r="AA190" s="183">
        <v>0</v>
      </c>
      <c r="AB190" s="99">
        <v>1</v>
      </c>
      <c r="AC190" s="98">
        <v>0</v>
      </c>
      <c r="AD190" s="98">
        <v>0</v>
      </c>
      <c r="AE190" s="101">
        <f t="shared" si="191"/>
        <v>0</v>
      </c>
      <c r="AF190" s="100">
        <v>0</v>
      </c>
      <c r="AG190" s="98">
        <v>0</v>
      </c>
      <c r="AH190" s="99">
        <f t="shared" si="192"/>
        <v>0</v>
      </c>
      <c r="AI190" s="101">
        <v>1</v>
      </c>
      <c r="AJ190" s="106"/>
    </row>
    <row r="191" spans="2:36" s="35" customFormat="1" ht="17.100000000000001" customHeight="1">
      <c r="B191" s="105"/>
      <c r="C191" s="54"/>
      <c r="D191" s="96"/>
      <c r="E191" s="111"/>
      <c r="F191" s="112"/>
      <c r="G191" s="113"/>
      <c r="H191" s="183">
        <v>1</v>
      </c>
      <c r="I191" s="98">
        <v>0</v>
      </c>
      <c r="J191" s="98">
        <v>0</v>
      </c>
      <c r="K191" s="101">
        <f t="shared" si="187"/>
        <v>0</v>
      </c>
      <c r="L191" s="100">
        <v>0</v>
      </c>
      <c r="M191" s="98">
        <v>0</v>
      </c>
      <c r="N191" s="101">
        <f t="shared" si="188"/>
        <v>0</v>
      </c>
      <c r="O191" s="100">
        <v>0</v>
      </c>
      <c r="P191" s="98">
        <v>0</v>
      </c>
      <c r="Q191" s="101">
        <f t="shared" si="189"/>
        <v>0</v>
      </c>
      <c r="R191" s="100">
        <v>0</v>
      </c>
      <c r="S191" s="98">
        <v>0</v>
      </c>
      <c r="T191" s="101">
        <f t="shared" si="190"/>
        <v>0</v>
      </c>
      <c r="U191" s="183">
        <v>1</v>
      </c>
      <c r="V191" s="99">
        <v>1</v>
      </c>
      <c r="W191" s="98">
        <v>0</v>
      </c>
      <c r="X191" s="98">
        <v>0</v>
      </c>
      <c r="Y191" s="101">
        <f t="shared" si="193"/>
        <v>0</v>
      </c>
      <c r="Z191" s="101">
        <v>1</v>
      </c>
      <c r="AA191" s="183">
        <v>0</v>
      </c>
      <c r="AB191" s="99">
        <v>1</v>
      </c>
      <c r="AC191" s="98">
        <v>0</v>
      </c>
      <c r="AD191" s="98">
        <v>0</v>
      </c>
      <c r="AE191" s="101">
        <f t="shared" si="191"/>
        <v>0</v>
      </c>
      <c r="AF191" s="100">
        <v>0</v>
      </c>
      <c r="AG191" s="98">
        <v>0</v>
      </c>
      <c r="AH191" s="99">
        <f t="shared" si="192"/>
        <v>0</v>
      </c>
      <c r="AI191" s="101">
        <v>1</v>
      </c>
      <c r="AJ191" s="106"/>
    </row>
    <row r="192" spans="2:36" s="35" customFormat="1" ht="17.100000000000001" customHeight="1">
      <c r="B192" s="105"/>
      <c r="C192" s="54"/>
      <c r="D192" s="96"/>
      <c r="E192" s="111"/>
      <c r="F192" s="112"/>
      <c r="G192" s="113"/>
      <c r="H192" s="183">
        <v>1</v>
      </c>
      <c r="I192" s="98">
        <v>0</v>
      </c>
      <c r="J192" s="98">
        <v>0</v>
      </c>
      <c r="K192" s="101">
        <f t="shared" si="187"/>
        <v>0</v>
      </c>
      <c r="L192" s="100">
        <v>0</v>
      </c>
      <c r="M192" s="98">
        <v>0</v>
      </c>
      <c r="N192" s="101">
        <f t="shared" si="188"/>
        <v>0</v>
      </c>
      <c r="O192" s="100">
        <v>0</v>
      </c>
      <c r="P192" s="98">
        <v>0</v>
      </c>
      <c r="Q192" s="101">
        <f t="shared" si="189"/>
        <v>0</v>
      </c>
      <c r="R192" s="100">
        <v>0</v>
      </c>
      <c r="S192" s="98">
        <v>0</v>
      </c>
      <c r="T192" s="101">
        <f t="shared" si="190"/>
        <v>0</v>
      </c>
      <c r="U192" s="183">
        <v>1</v>
      </c>
      <c r="V192" s="99">
        <v>1</v>
      </c>
      <c r="W192" s="98">
        <v>0</v>
      </c>
      <c r="X192" s="98">
        <v>0</v>
      </c>
      <c r="Y192" s="101">
        <f t="shared" si="193"/>
        <v>0</v>
      </c>
      <c r="Z192" s="101">
        <v>1</v>
      </c>
      <c r="AA192" s="183">
        <v>0</v>
      </c>
      <c r="AB192" s="99">
        <v>1</v>
      </c>
      <c r="AC192" s="98">
        <v>0</v>
      </c>
      <c r="AD192" s="98">
        <v>0</v>
      </c>
      <c r="AE192" s="101">
        <f t="shared" si="191"/>
        <v>0</v>
      </c>
      <c r="AF192" s="100">
        <v>0</v>
      </c>
      <c r="AG192" s="98">
        <v>0</v>
      </c>
      <c r="AH192" s="99">
        <f t="shared" si="192"/>
        <v>0</v>
      </c>
      <c r="AI192" s="101">
        <v>1</v>
      </c>
      <c r="AJ192" s="106"/>
    </row>
    <row r="193" spans="2:36" s="35" customFormat="1" ht="17.100000000000001" customHeight="1">
      <c r="B193" s="105"/>
      <c r="C193" s="54"/>
      <c r="D193" s="96"/>
      <c r="E193" s="111"/>
      <c r="F193" s="112"/>
      <c r="G193" s="113"/>
      <c r="H193" s="183">
        <v>1</v>
      </c>
      <c r="I193" s="98">
        <v>0</v>
      </c>
      <c r="J193" s="98">
        <v>0</v>
      </c>
      <c r="K193" s="101">
        <f t="shared" si="187"/>
        <v>0</v>
      </c>
      <c r="L193" s="100">
        <v>0</v>
      </c>
      <c r="M193" s="98">
        <v>0</v>
      </c>
      <c r="N193" s="101">
        <f t="shared" si="188"/>
        <v>0</v>
      </c>
      <c r="O193" s="100">
        <v>0</v>
      </c>
      <c r="P193" s="98">
        <v>0</v>
      </c>
      <c r="Q193" s="101">
        <f t="shared" si="189"/>
        <v>0</v>
      </c>
      <c r="R193" s="100">
        <v>0</v>
      </c>
      <c r="S193" s="98">
        <v>0</v>
      </c>
      <c r="T193" s="101">
        <f t="shared" si="190"/>
        <v>0</v>
      </c>
      <c r="U193" s="183">
        <v>1</v>
      </c>
      <c r="V193" s="99">
        <v>1</v>
      </c>
      <c r="W193" s="98">
        <v>0</v>
      </c>
      <c r="X193" s="98">
        <v>0</v>
      </c>
      <c r="Y193" s="101">
        <f t="shared" si="193"/>
        <v>0</v>
      </c>
      <c r="Z193" s="101">
        <v>1</v>
      </c>
      <c r="AA193" s="183">
        <v>0</v>
      </c>
      <c r="AB193" s="99">
        <v>1</v>
      </c>
      <c r="AC193" s="98">
        <v>0</v>
      </c>
      <c r="AD193" s="98">
        <v>0</v>
      </c>
      <c r="AE193" s="101">
        <f t="shared" si="191"/>
        <v>0</v>
      </c>
      <c r="AF193" s="100">
        <v>0</v>
      </c>
      <c r="AG193" s="98">
        <v>0</v>
      </c>
      <c r="AH193" s="99">
        <f t="shared" si="192"/>
        <v>0</v>
      </c>
      <c r="AI193" s="101">
        <v>1</v>
      </c>
      <c r="AJ193" s="106"/>
    </row>
    <row r="194" spans="2:36" s="35" customFormat="1" ht="17.100000000000001" customHeight="1">
      <c r="B194" s="105"/>
      <c r="C194" s="54"/>
      <c r="D194" s="96"/>
      <c r="E194" s="111"/>
      <c r="F194" s="112"/>
      <c r="G194" s="113"/>
      <c r="H194" s="183">
        <v>1</v>
      </c>
      <c r="I194" s="98">
        <v>0</v>
      </c>
      <c r="J194" s="98">
        <v>0</v>
      </c>
      <c r="K194" s="101">
        <f t="shared" si="187"/>
        <v>0</v>
      </c>
      <c r="L194" s="100">
        <v>0</v>
      </c>
      <c r="M194" s="98">
        <v>0</v>
      </c>
      <c r="N194" s="101">
        <f t="shared" si="188"/>
        <v>0</v>
      </c>
      <c r="O194" s="100">
        <v>0</v>
      </c>
      <c r="P194" s="98">
        <v>0</v>
      </c>
      <c r="Q194" s="101">
        <f t="shared" si="189"/>
        <v>0</v>
      </c>
      <c r="R194" s="100">
        <v>0</v>
      </c>
      <c r="S194" s="98">
        <v>0</v>
      </c>
      <c r="T194" s="101">
        <f t="shared" si="190"/>
        <v>0</v>
      </c>
      <c r="U194" s="183">
        <v>1</v>
      </c>
      <c r="V194" s="99">
        <v>1</v>
      </c>
      <c r="W194" s="98">
        <v>0</v>
      </c>
      <c r="X194" s="98">
        <v>0</v>
      </c>
      <c r="Y194" s="101">
        <f t="shared" si="193"/>
        <v>0</v>
      </c>
      <c r="Z194" s="101">
        <v>1</v>
      </c>
      <c r="AA194" s="183">
        <v>0</v>
      </c>
      <c r="AB194" s="99">
        <v>1</v>
      </c>
      <c r="AC194" s="98">
        <v>0</v>
      </c>
      <c r="AD194" s="98">
        <v>0</v>
      </c>
      <c r="AE194" s="101">
        <f t="shared" si="191"/>
        <v>0</v>
      </c>
      <c r="AF194" s="100">
        <v>0</v>
      </c>
      <c r="AG194" s="98">
        <v>0</v>
      </c>
      <c r="AH194" s="99">
        <f t="shared" si="192"/>
        <v>0</v>
      </c>
      <c r="AI194" s="101">
        <v>1</v>
      </c>
      <c r="AJ194" s="106"/>
    </row>
    <row r="195" spans="2:36" s="35" customFormat="1" ht="17.100000000000001" customHeight="1">
      <c r="B195" s="105"/>
      <c r="C195" s="54"/>
      <c r="D195" s="96"/>
      <c r="E195" s="111"/>
      <c r="F195" s="112"/>
      <c r="G195" s="113"/>
      <c r="H195" s="183">
        <v>1</v>
      </c>
      <c r="I195" s="98">
        <v>0</v>
      </c>
      <c r="J195" s="98">
        <v>0</v>
      </c>
      <c r="K195" s="101">
        <f t="shared" si="187"/>
        <v>0</v>
      </c>
      <c r="L195" s="100">
        <v>0</v>
      </c>
      <c r="M195" s="98">
        <v>0</v>
      </c>
      <c r="N195" s="101">
        <f t="shared" si="188"/>
        <v>0</v>
      </c>
      <c r="O195" s="100">
        <v>0</v>
      </c>
      <c r="P195" s="98">
        <v>0</v>
      </c>
      <c r="Q195" s="101">
        <f t="shared" si="189"/>
        <v>0</v>
      </c>
      <c r="R195" s="100">
        <v>0</v>
      </c>
      <c r="S195" s="98">
        <v>0</v>
      </c>
      <c r="T195" s="101">
        <f t="shared" si="190"/>
        <v>0</v>
      </c>
      <c r="U195" s="183">
        <v>1</v>
      </c>
      <c r="V195" s="99">
        <v>1</v>
      </c>
      <c r="W195" s="98">
        <v>0</v>
      </c>
      <c r="X195" s="98">
        <v>0</v>
      </c>
      <c r="Y195" s="101">
        <f t="shared" si="193"/>
        <v>0</v>
      </c>
      <c r="Z195" s="101">
        <v>1</v>
      </c>
      <c r="AA195" s="183">
        <v>0</v>
      </c>
      <c r="AB195" s="99">
        <v>1</v>
      </c>
      <c r="AC195" s="98">
        <v>0</v>
      </c>
      <c r="AD195" s="98">
        <v>0</v>
      </c>
      <c r="AE195" s="101">
        <f t="shared" si="191"/>
        <v>0</v>
      </c>
      <c r="AF195" s="100">
        <v>0</v>
      </c>
      <c r="AG195" s="98">
        <v>0</v>
      </c>
      <c r="AH195" s="99">
        <f t="shared" si="192"/>
        <v>0</v>
      </c>
      <c r="AI195" s="101">
        <v>1</v>
      </c>
      <c r="AJ195" s="106"/>
    </row>
    <row r="196" spans="2:36" s="126" customFormat="1" ht="17.100000000000001" customHeight="1">
      <c r="B196" s="118"/>
      <c r="C196" s="119"/>
      <c r="D196" s="120"/>
      <c r="E196" s="121"/>
      <c r="F196" s="122"/>
      <c r="G196" s="123"/>
      <c r="H196" s="183">
        <v>1</v>
      </c>
      <c r="I196" s="363" t="s">
        <v>201</v>
      </c>
      <c r="J196" s="363"/>
      <c r="K196" s="124">
        <f>SUM(K189:K195)</f>
        <v>0</v>
      </c>
      <c r="L196" s="341" t="s">
        <v>201</v>
      </c>
      <c r="M196" s="342"/>
      <c r="N196" s="124">
        <f>SUM(N189:N195)</f>
        <v>0</v>
      </c>
      <c r="O196" s="341" t="s">
        <v>201</v>
      </c>
      <c r="P196" s="342"/>
      <c r="Q196" s="124">
        <f>SUM(Q189:Q195)</f>
        <v>0</v>
      </c>
      <c r="R196" s="341" t="s">
        <v>201</v>
      </c>
      <c r="S196" s="342"/>
      <c r="T196" s="124">
        <f>SUM(T189:T195)</f>
        <v>0</v>
      </c>
      <c r="U196" s="183">
        <v>3</v>
      </c>
      <c r="V196" s="99">
        <v>3</v>
      </c>
      <c r="W196" s="363" t="s">
        <v>201</v>
      </c>
      <c r="X196" s="363"/>
      <c r="Y196" s="124">
        <f>SUM(Y189:Y195)</f>
        <v>250</v>
      </c>
      <c r="Z196" s="101">
        <v>1</v>
      </c>
      <c r="AA196" s="183">
        <v>0</v>
      </c>
      <c r="AB196" s="99">
        <v>1</v>
      </c>
      <c r="AC196" s="363" t="s">
        <v>201</v>
      </c>
      <c r="AD196" s="363"/>
      <c r="AE196" s="124">
        <f>SUM(AE189:AE195)</f>
        <v>0</v>
      </c>
      <c r="AF196" s="364" t="s">
        <v>201</v>
      </c>
      <c r="AG196" s="363"/>
      <c r="AH196" s="143">
        <f>SUM(AH189:AH195)</f>
        <v>0</v>
      </c>
      <c r="AI196" s="101">
        <v>1</v>
      </c>
      <c r="AJ196" s="125"/>
    </row>
    <row r="197" spans="2:36" s="35" customFormat="1" ht="16.95" customHeight="1">
      <c r="B197" s="105"/>
      <c r="C197" s="54">
        <f>'3. Rekap Back Up Non Aspal '!C43</f>
        <v>3200</v>
      </c>
      <c r="D197" s="96">
        <f>'3. Rekap Back Up Non Aspal '!D43</f>
        <v>3300</v>
      </c>
      <c r="E197" s="111">
        <f>'3. Rekap Back Up Non Aspal '!E43</f>
        <v>3</v>
      </c>
      <c r="F197" s="112">
        <f>(100/((D197-C197)*E197))*((K204*0.05)+(N204*0.05)+(Q204*0.05)+(T204)+(Y204)+(AE204*1.5)+(AH204*1))</f>
        <v>83.958333333333329</v>
      </c>
      <c r="G197" s="113" t="str">
        <f>IF(F197&lt;=25,"RB",IF(F197&lt;=75,"RB",IF(F197&lt;=100,"RB","RB")))</f>
        <v>RB</v>
      </c>
      <c r="H197" s="183">
        <v>1</v>
      </c>
      <c r="I197" s="98">
        <v>0</v>
      </c>
      <c r="J197" s="98">
        <v>0</v>
      </c>
      <c r="K197" s="101">
        <f t="shared" ref="K197:K203" si="194">I197*J197</f>
        <v>0</v>
      </c>
      <c r="L197" s="98">
        <v>0</v>
      </c>
      <c r="M197" s="98">
        <v>0</v>
      </c>
      <c r="N197" s="101">
        <f t="shared" ref="N197:N203" si="195">L197*M197</f>
        <v>0</v>
      </c>
      <c r="O197" s="98">
        <v>15</v>
      </c>
      <c r="P197" s="187">
        <v>2.5</v>
      </c>
      <c r="Q197" s="101">
        <f t="shared" ref="Q197:Q203" si="196">O197*P197</f>
        <v>37.5</v>
      </c>
      <c r="R197" s="98">
        <v>0</v>
      </c>
      <c r="S197" s="98">
        <v>0</v>
      </c>
      <c r="T197" s="101">
        <f t="shared" ref="T197:T203" si="197">R197*S197</f>
        <v>0</v>
      </c>
      <c r="U197" s="183">
        <v>4</v>
      </c>
      <c r="V197" s="99">
        <v>4</v>
      </c>
      <c r="W197" s="98">
        <v>100</v>
      </c>
      <c r="X197" s="187">
        <v>2.5</v>
      </c>
      <c r="Y197" s="101">
        <f>W197*X197</f>
        <v>250</v>
      </c>
      <c r="Z197" s="101">
        <v>1</v>
      </c>
      <c r="AA197" s="183">
        <v>0</v>
      </c>
      <c r="AB197" s="99">
        <v>1</v>
      </c>
      <c r="AC197" s="98">
        <v>0</v>
      </c>
      <c r="AD197" s="98">
        <v>0</v>
      </c>
      <c r="AE197" s="101">
        <f t="shared" ref="AE197:AE203" si="198">AC197*AD197</f>
        <v>0</v>
      </c>
      <c r="AF197" s="98">
        <v>0</v>
      </c>
      <c r="AG197" s="98">
        <v>3</v>
      </c>
      <c r="AH197" s="99">
        <f t="shared" ref="AH197:AH203" si="199">AF197*AG197</f>
        <v>0</v>
      </c>
      <c r="AI197" s="101">
        <v>1</v>
      </c>
      <c r="AJ197" s="106"/>
    </row>
    <row r="198" spans="2:36" s="35" customFormat="1" ht="17.100000000000001" customHeight="1">
      <c r="B198" s="105"/>
      <c r="C198" s="54"/>
      <c r="D198" s="96"/>
      <c r="E198" s="111"/>
      <c r="F198" s="112"/>
      <c r="G198" s="113"/>
      <c r="H198" s="183">
        <v>1</v>
      </c>
      <c r="I198" s="98">
        <v>0</v>
      </c>
      <c r="J198" s="98">
        <v>0</v>
      </c>
      <c r="K198" s="101">
        <f t="shared" si="194"/>
        <v>0</v>
      </c>
      <c r="L198" s="100">
        <v>0</v>
      </c>
      <c r="M198" s="98">
        <v>0</v>
      </c>
      <c r="N198" s="101">
        <f t="shared" si="195"/>
        <v>0</v>
      </c>
      <c r="O198" s="100">
        <v>0</v>
      </c>
      <c r="P198" s="98">
        <v>0</v>
      </c>
      <c r="Q198" s="101">
        <f t="shared" si="196"/>
        <v>0</v>
      </c>
      <c r="R198" s="100">
        <v>0</v>
      </c>
      <c r="S198" s="98">
        <v>0</v>
      </c>
      <c r="T198" s="101">
        <f t="shared" si="197"/>
        <v>0</v>
      </c>
      <c r="U198" s="183">
        <v>1</v>
      </c>
      <c r="V198" s="99">
        <v>1</v>
      </c>
      <c r="W198" s="98">
        <v>0</v>
      </c>
      <c r="X198" s="98">
        <v>0</v>
      </c>
      <c r="Y198" s="101">
        <f t="shared" ref="Y198:Y203" si="200">W198*X198</f>
        <v>0</v>
      </c>
      <c r="Z198" s="101">
        <v>1</v>
      </c>
      <c r="AA198" s="183">
        <v>0</v>
      </c>
      <c r="AB198" s="99">
        <v>1</v>
      </c>
      <c r="AC198" s="98">
        <v>0</v>
      </c>
      <c r="AD198" s="98">
        <v>0</v>
      </c>
      <c r="AE198" s="101">
        <f t="shared" si="198"/>
        <v>0</v>
      </c>
      <c r="AF198" s="100">
        <v>0</v>
      </c>
      <c r="AG198" s="98">
        <v>0</v>
      </c>
      <c r="AH198" s="99">
        <f t="shared" si="199"/>
        <v>0</v>
      </c>
      <c r="AI198" s="101">
        <v>1</v>
      </c>
      <c r="AJ198" s="106"/>
    </row>
    <row r="199" spans="2:36" s="35" customFormat="1" ht="17.100000000000001" customHeight="1">
      <c r="B199" s="105"/>
      <c r="C199" s="54"/>
      <c r="D199" s="96"/>
      <c r="E199" s="111"/>
      <c r="F199" s="112"/>
      <c r="G199" s="113"/>
      <c r="H199" s="183">
        <v>1</v>
      </c>
      <c r="I199" s="98">
        <v>0</v>
      </c>
      <c r="J199" s="98">
        <v>0</v>
      </c>
      <c r="K199" s="101">
        <f t="shared" si="194"/>
        <v>0</v>
      </c>
      <c r="L199" s="100">
        <v>0</v>
      </c>
      <c r="M199" s="98">
        <v>0</v>
      </c>
      <c r="N199" s="101">
        <f t="shared" si="195"/>
        <v>0</v>
      </c>
      <c r="O199" s="100">
        <v>0</v>
      </c>
      <c r="P199" s="98">
        <v>0</v>
      </c>
      <c r="Q199" s="101">
        <f t="shared" si="196"/>
        <v>0</v>
      </c>
      <c r="R199" s="100">
        <v>0</v>
      </c>
      <c r="S199" s="98">
        <v>0</v>
      </c>
      <c r="T199" s="101">
        <f t="shared" si="197"/>
        <v>0</v>
      </c>
      <c r="U199" s="183">
        <v>1</v>
      </c>
      <c r="V199" s="99">
        <v>1</v>
      </c>
      <c r="W199" s="98">
        <v>0</v>
      </c>
      <c r="X199" s="98">
        <v>0</v>
      </c>
      <c r="Y199" s="101">
        <f t="shared" si="200"/>
        <v>0</v>
      </c>
      <c r="Z199" s="101">
        <v>1</v>
      </c>
      <c r="AA199" s="183">
        <v>0</v>
      </c>
      <c r="AB199" s="99">
        <v>1</v>
      </c>
      <c r="AC199" s="98">
        <v>0</v>
      </c>
      <c r="AD199" s="98">
        <v>0</v>
      </c>
      <c r="AE199" s="101">
        <f t="shared" si="198"/>
        <v>0</v>
      </c>
      <c r="AF199" s="100">
        <v>0</v>
      </c>
      <c r="AG199" s="98">
        <v>0</v>
      </c>
      <c r="AH199" s="99">
        <f t="shared" si="199"/>
        <v>0</v>
      </c>
      <c r="AI199" s="101">
        <v>1</v>
      </c>
      <c r="AJ199" s="106"/>
    </row>
    <row r="200" spans="2:36" s="35" customFormat="1" ht="17.100000000000001" customHeight="1">
      <c r="B200" s="105"/>
      <c r="C200" s="54"/>
      <c r="D200" s="96"/>
      <c r="E200" s="111"/>
      <c r="F200" s="112"/>
      <c r="G200" s="113"/>
      <c r="H200" s="183">
        <v>1</v>
      </c>
      <c r="I200" s="98">
        <v>0</v>
      </c>
      <c r="J200" s="98">
        <v>0</v>
      </c>
      <c r="K200" s="101">
        <f t="shared" si="194"/>
        <v>0</v>
      </c>
      <c r="L200" s="100">
        <v>0</v>
      </c>
      <c r="M200" s="98">
        <v>0</v>
      </c>
      <c r="N200" s="101">
        <f t="shared" si="195"/>
        <v>0</v>
      </c>
      <c r="O200" s="100">
        <v>0</v>
      </c>
      <c r="P200" s="98">
        <v>0</v>
      </c>
      <c r="Q200" s="101">
        <f t="shared" si="196"/>
        <v>0</v>
      </c>
      <c r="R200" s="100">
        <v>0</v>
      </c>
      <c r="S200" s="98">
        <v>0</v>
      </c>
      <c r="T200" s="101">
        <f t="shared" si="197"/>
        <v>0</v>
      </c>
      <c r="U200" s="183">
        <v>1</v>
      </c>
      <c r="V200" s="99">
        <v>1</v>
      </c>
      <c r="W200" s="98">
        <v>0</v>
      </c>
      <c r="X200" s="98">
        <v>0</v>
      </c>
      <c r="Y200" s="101">
        <f t="shared" si="200"/>
        <v>0</v>
      </c>
      <c r="Z200" s="101">
        <v>1</v>
      </c>
      <c r="AA200" s="183">
        <v>0</v>
      </c>
      <c r="AB200" s="99">
        <v>1</v>
      </c>
      <c r="AC200" s="98">
        <v>0</v>
      </c>
      <c r="AD200" s="98">
        <v>0</v>
      </c>
      <c r="AE200" s="101">
        <f t="shared" si="198"/>
        <v>0</v>
      </c>
      <c r="AF200" s="100">
        <v>0</v>
      </c>
      <c r="AG200" s="98">
        <v>0</v>
      </c>
      <c r="AH200" s="99">
        <f t="shared" si="199"/>
        <v>0</v>
      </c>
      <c r="AI200" s="101">
        <v>1</v>
      </c>
      <c r="AJ200" s="106"/>
    </row>
    <row r="201" spans="2:36" s="35" customFormat="1" ht="17.100000000000001" customHeight="1">
      <c r="B201" s="105"/>
      <c r="C201" s="54"/>
      <c r="D201" s="96"/>
      <c r="E201" s="111"/>
      <c r="F201" s="112"/>
      <c r="G201" s="113"/>
      <c r="H201" s="183">
        <v>1</v>
      </c>
      <c r="I201" s="98">
        <v>0</v>
      </c>
      <c r="J201" s="98">
        <v>0</v>
      </c>
      <c r="K201" s="101">
        <f t="shared" si="194"/>
        <v>0</v>
      </c>
      <c r="L201" s="100">
        <v>0</v>
      </c>
      <c r="M201" s="98">
        <v>0</v>
      </c>
      <c r="N201" s="101">
        <f t="shared" si="195"/>
        <v>0</v>
      </c>
      <c r="O201" s="100">
        <v>0</v>
      </c>
      <c r="P201" s="98">
        <v>0</v>
      </c>
      <c r="Q201" s="101">
        <f t="shared" si="196"/>
        <v>0</v>
      </c>
      <c r="R201" s="100">
        <v>0</v>
      </c>
      <c r="S201" s="98">
        <v>0</v>
      </c>
      <c r="T201" s="101">
        <f t="shared" si="197"/>
        <v>0</v>
      </c>
      <c r="U201" s="183">
        <v>1</v>
      </c>
      <c r="V201" s="99">
        <v>1</v>
      </c>
      <c r="W201" s="98">
        <v>0</v>
      </c>
      <c r="X201" s="98">
        <v>0</v>
      </c>
      <c r="Y201" s="101">
        <f t="shared" si="200"/>
        <v>0</v>
      </c>
      <c r="Z201" s="101">
        <v>1</v>
      </c>
      <c r="AA201" s="183">
        <v>0</v>
      </c>
      <c r="AB201" s="99">
        <v>1</v>
      </c>
      <c r="AC201" s="98">
        <v>0</v>
      </c>
      <c r="AD201" s="98">
        <v>0</v>
      </c>
      <c r="AE201" s="101">
        <f t="shared" si="198"/>
        <v>0</v>
      </c>
      <c r="AF201" s="100">
        <v>0</v>
      </c>
      <c r="AG201" s="98">
        <v>0</v>
      </c>
      <c r="AH201" s="99">
        <f t="shared" si="199"/>
        <v>0</v>
      </c>
      <c r="AI201" s="101">
        <v>1</v>
      </c>
      <c r="AJ201" s="106"/>
    </row>
    <row r="202" spans="2:36" s="35" customFormat="1" ht="17.100000000000001" customHeight="1">
      <c r="B202" s="105"/>
      <c r="C202" s="54"/>
      <c r="D202" s="96"/>
      <c r="E202" s="111"/>
      <c r="F202" s="112"/>
      <c r="G202" s="113"/>
      <c r="H202" s="183">
        <v>1</v>
      </c>
      <c r="I202" s="98">
        <v>0</v>
      </c>
      <c r="J202" s="98">
        <v>0</v>
      </c>
      <c r="K202" s="101">
        <f t="shared" si="194"/>
        <v>0</v>
      </c>
      <c r="L202" s="100">
        <v>0</v>
      </c>
      <c r="M202" s="98">
        <v>0</v>
      </c>
      <c r="N202" s="101">
        <f t="shared" si="195"/>
        <v>0</v>
      </c>
      <c r="O202" s="100">
        <v>0</v>
      </c>
      <c r="P202" s="98">
        <v>0</v>
      </c>
      <c r="Q202" s="101">
        <f t="shared" si="196"/>
        <v>0</v>
      </c>
      <c r="R202" s="100">
        <v>0</v>
      </c>
      <c r="S202" s="98">
        <v>0</v>
      </c>
      <c r="T202" s="101">
        <f t="shared" si="197"/>
        <v>0</v>
      </c>
      <c r="U202" s="183">
        <v>1</v>
      </c>
      <c r="V202" s="99">
        <v>1</v>
      </c>
      <c r="W202" s="98">
        <v>0</v>
      </c>
      <c r="X202" s="98">
        <v>0</v>
      </c>
      <c r="Y202" s="101">
        <f t="shared" si="200"/>
        <v>0</v>
      </c>
      <c r="Z202" s="101">
        <v>1</v>
      </c>
      <c r="AA202" s="183">
        <v>0</v>
      </c>
      <c r="AB202" s="99">
        <v>1</v>
      </c>
      <c r="AC202" s="98">
        <v>0</v>
      </c>
      <c r="AD202" s="98">
        <v>0</v>
      </c>
      <c r="AE202" s="101">
        <f t="shared" si="198"/>
        <v>0</v>
      </c>
      <c r="AF202" s="100">
        <v>0</v>
      </c>
      <c r="AG202" s="98">
        <v>0</v>
      </c>
      <c r="AH202" s="99">
        <f t="shared" si="199"/>
        <v>0</v>
      </c>
      <c r="AI202" s="101">
        <v>1</v>
      </c>
      <c r="AJ202" s="106"/>
    </row>
    <row r="203" spans="2:36" s="35" customFormat="1" ht="17.100000000000001" customHeight="1">
      <c r="B203" s="105"/>
      <c r="C203" s="54"/>
      <c r="D203" s="96"/>
      <c r="E203" s="111"/>
      <c r="F203" s="112"/>
      <c r="G203" s="113"/>
      <c r="H203" s="183">
        <v>1</v>
      </c>
      <c r="I203" s="98">
        <v>0</v>
      </c>
      <c r="J203" s="98">
        <v>0</v>
      </c>
      <c r="K203" s="101">
        <f t="shared" si="194"/>
        <v>0</v>
      </c>
      <c r="L203" s="100">
        <v>0</v>
      </c>
      <c r="M203" s="98">
        <v>0</v>
      </c>
      <c r="N203" s="101">
        <f t="shared" si="195"/>
        <v>0</v>
      </c>
      <c r="O203" s="100">
        <v>0</v>
      </c>
      <c r="P203" s="98">
        <v>0</v>
      </c>
      <c r="Q203" s="101">
        <f t="shared" si="196"/>
        <v>0</v>
      </c>
      <c r="R203" s="100">
        <v>0</v>
      </c>
      <c r="S203" s="98">
        <v>0</v>
      </c>
      <c r="T203" s="101">
        <f t="shared" si="197"/>
        <v>0</v>
      </c>
      <c r="U203" s="183">
        <v>1</v>
      </c>
      <c r="V203" s="99">
        <v>1</v>
      </c>
      <c r="W203" s="98">
        <v>0</v>
      </c>
      <c r="X203" s="98">
        <v>0</v>
      </c>
      <c r="Y203" s="101">
        <f t="shared" si="200"/>
        <v>0</v>
      </c>
      <c r="Z203" s="101">
        <v>1</v>
      </c>
      <c r="AA203" s="183">
        <v>0</v>
      </c>
      <c r="AB203" s="99">
        <v>1</v>
      </c>
      <c r="AC203" s="98">
        <v>0</v>
      </c>
      <c r="AD203" s="98">
        <v>0</v>
      </c>
      <c r="AE203" s="101">
        <f t="shared" si="198"/>
        <v>0</v>
      </c>
      <c r="AF203" s="100">
        <v>0</v>
      </c>
      <c r="AG203" s="98">
        <v>0</v>
      </c>
      <c r="AH203" s="99">
        <f t="shared" si="199"/>
        <v>0</v>
      </c>
      <c r="AI203" s="101">
        <v>1</v>
      </c>
      <c r="AJ203" s="106"/>
    </row>
    <row r="204" spans="2:36" s="126" customFormat="1" ht="17.100000000000001" customHeight="1">
      <c r="B204" s="118"/>
      <c r="C204" s="119"/>
      <c r="D204" s="120"/>
      <c r="E204" s="121"/>
      <c r="F204" s="122"/>
      <c r="G204" s="123"/>
      <c r="H204" s="183">
        <v>1</v>
      </c>
      <c r="I204" s="363" t="s">
        <v>201</v>
      </c>
      <c r="J204" s="363"/>
      <c r="K204" s="124">
        <f>SUM(K197:K203)</f>
        <v>0</v>
      </c>
      <c r="L204" s="341" t="s">
        <v>201</v>
      </c>
      <c r="M204" s="342"/>
      <c r="N204" s="124">
        <f>SUM(N197:N203)</f>
        <v>0</v>
      </c>
      <c r="O204" s="341" t="s">
        <v>201</v>
      </c>
      <c r="P204" s="342"/>
      <c r="Q204" s="124">
        <f>SUM(Q197:Q203)</f>
        <v>37.5</v>
      </c>
      <c r="R204" s="341" t="s">
        <v>201</v>
      </c>
      <c r="S204" s="342"/>
      <c r="T204" s="124">
        <f>SUM(T197:T203)</f>
        <v>0</v>
      </c>
      <c r="U204" s="183">
        <v>1</v>
      </c>
      <c r="V204" s="99">
        <v>1</v>
      </c>
      <c r="W204" s="363" t="s">
        <v>201</v>
      </c>
      <c r="X204" s="363"/>
      <c r="Y204" s="124">
        <f>SUM(Y197:Y203)</f>
        <v>250</v>
      </c>
      <c r="Z204" s="101">
        <v>1</v>
      </c>
      <c r="AA204" s="183">
        <v>0</v>
      </c>
      <c r="AB204" s="99">
        <v>1</v>
      </c>
      <c r="AC204" s="363" t="s">
        <v>201</v>
      </c>
      <c r="AD204" s="363"/>
      <c r="AE204" s="124">
        <f>SUM(AE197:AE203)</f>
        <v>0</v>
      </c>
      <c r="AF204" s="364" t="s">
        <v>201</v>
      </c>
      <c r="AG204" s="363"/>
      <c r="AH204" s="143">
        <f>SUM(AH197:AH203)</f>
        <v>0</v>
      </c>
      <c r="AI204" s="101">
        <v>1</v>
      </c>
      <c r="AJ204" s="125"/>
    </row>
    <row r="205" spans="2:36" s="35" customFormat="1" ht="16.95" customHeight="1">
      <c r="B205" s="105"/>
      <c r="C205" s="54">
        <f>'3. Rekap Back Up Non Aspal '!C44</f>
        <v>3300</v>
      </c>
      <c r="D205" s="96">
        <f>'3. Rekap Back Up Non Aspal '!D44</f>
        <v>3400</v>
      </c>
      <c r="E205" s="111">
        <f>'3. Rekap Back Up Non Aspal '!E44</f>
        <v>3</v>
      </c>
      <c r="F205" s="112">
        <f>(100/((D205-C205)*E205))*((K212*0.05)+(N212*0.05)+(Q212*0.05)+(T212)+(Y212)+(AE212*1.5)+(AH212*1))</f>
        <v>83.333333333333329</v>
      </c>
      <c r="G205" s="113" t="str">
        <f>IF(F205&lt;=25,"RB",IF(F205&lt;=75,"RB",IF(F205&lt;=100,"RB","RB")))</f>
        <v>RB</v>
      </c>
      <c r="H205" s="183">
        <v>1</v>
      </c>
      <c r="I205" s="98">
        <v>0</v>
      </c>
      <c r="J205" s="98">
        <v>0</v>
      </c>
      <c r="K205" s="101">
        <f t="shared" ref="K205:K211" si="201">I205*J205</f>
        <v>0</v>
      </c>
      <c r="L205" s="98">
        <v>0</v>
      </c>
      <c r="M205" s="98">
        <v>0</v>
      </c>
      <c r="N205" s="101">
        <f t="shared" ref="N205:N211" si="202">L205*M205</f>
        <v>0</v>
      </c>
      <c r="O205" s="98">
        <v>0</v>
      </c>
      <c r="P205" s="98">
        <v>0</v>
      </c>
      <c r="Q205" s="101">
        <f t="shared" ref="Q205:Q211" si="203">O205*P205</f>
        <v>0</v>
      </c>
      <c r="R205" s="98">
        <v>0</v>
      </c>
      <c r="S205" s="98">
        <v>0</v>
      </c>
      <c r="T205" s="101">
        <f t="shared" ref="T205:T211" si="204">R205*S205</f>
        <v>0</v>
      </c>
      <c r="U205" s="183">
        <v>3</v>
      </c>
      <c r="V205" s="99">
        <v>3</v>
      </c>
      <c r="W205" s="98">
        <v>100</v>
      </c>
      <c r="X205" s="187">
        <v>2.5</v>
      </c>
      <c r="Y205" s="101">
        <f>W205*X205</f>
        <v>250</v>
      </c>
      <c r="Z205" s="101">
        <v>1</v>
      </c>
      <c r="AA205" s="183">
        <v>0</v>
      </c>
      <c r="AB205" s="99">
        <v>1</v>
      </c>
      <c r="AC205" s="98">
        <v>0</v>
      </c>
      <c r="AD205" s="98">
        <v>0</v>
      </c>
      <c r="AE205" s="101">
        <f t="shared" ref="AE205:AE211" si="205">AC205*AD205</f>
        <v>0</v>
      </c>
      <c r="AF205" s="98">
        <v>0</v>
      </c>
      <c r="AG205" s="98">
        <v>3</v>
      </c>
      <c r="AH205" s="99">
        <f t="shared" ref="AH205:AH211" si="206">AF205*AG205</f>
        <v>0</v>
      </c>
      <c r="AI205" s="101">
        <v>1</v>
      </c>
      <c r="AJ205" s="106"/>
    </row>
    <row r="206" spans="2:36" s="35" customFormat="1" ht="17.100000000000001" customHeight="1">
      <c r="B206" s="105"/>
      <c r="C206" s="54"/>
      <c r="D206" s="96"/>
      <c r="E206" s="111"/>
      <c r="F206" s="112"/>
      <c r="G206" s="113"/>
      <c r="H206" s="183">
        <v>1</v>
      </c>
      <c r="I206" s="98">
        <v>0</v>
      </c>
      <c r="J206" s="98">
        <v>0</v>
      </c>
      <c r="K206" s="101">
        <f t="shared" si="201"/>
        <v>0</v>
      </c>
      <c r="L206" s="100">
        <v>0</v>
      </c>
      <c r="M206" s="98">
        <v>0</v>
      </c>
      <c r="N206" s="101">
        <f t="shared" si="202"/>
        <v>0</v>
      </c>
      <c r="O206" s="100">
        <v>0</v>
      </c>
      <c r="P206" s="98">
        <v>0</v>
      </c>
      <c r="Q206" s="101">
        <f t="shared" si="203"/>
        <v>0</v>
      </c>
      <c r="R206" s="100">
        <v>0</v>
      </c>
      <c r="S206" s="98">
        <v>0</v>
      </c>
      <c r="T206" s="101">
        <f t="shared" si="204"/>
        <v>0</v>
      </c>
      <c r="U206" s="183">
        <v>1</v>
      </c>
      <c r="V206" s="99">
        <v>1</v>
      </c>
      <c r="W206" s="98">
        <v>0</v>
      </c>
      <c r="X206" s="98">
        <v>0</v>
      </c>
      <c r="Y206" s="101">
        <f t="shared" ref="Y206:Y211" si="207">W206*X206</f>
        <v>0</v>
      </c>
      <c r="Z206" s="101">
        <v>1</v>
      </c>
      <c r="AA206" s="183">
        <v>0</v>
      </c>
      <c r="AB206" s="99">
        <v>1</v>
      </c>
      <c r="AC206" s="98">
        <v>0</v>
      </c>
      <c r="AD206" s="98">
        <v>0</v>
      </c>
      <c r="AE206" s="101">
        <f t="shared" si="205"/>
        <v>0</v>
      </c>
      <c r="AF206" s="100">
        <v>0</v>
      </c>
      <c r="AG206" s="98">
        <v>0</v>
      </c>
      <c r="AH206" s="99">
        <f t="shared" si="206"/>
        <v>0</v>
      </c>
      <c r="AI206" s="101">
        <v>1</v>
      </c>
      <c r="AJ206" s="106"/>
    </row>
    <row r="207" spans="2:36" s="35" customFormat="1" ht="17.100000000000001" customHeight="1">
      <c r="B207" s="105"/>
      <c r="C207" s="54"/>
      <c r="D207" s="96"/>
      <c r="E207" s="111"/>
      <c r="F207" s="112"/>
      <c r="G207" s="113"/>
      <c r="H207" s="183">
        <v>1</v>
      </c>
      <c r="I207" s="98">
        <v>0</v>
      </c>
      <c r="J207" s="98">
        <v>0</v>
      </c>
      <c r="K207" s="101">
        <f t="shared" si="201"/>
        <v>0</v>
      </c>
      <c r="L207" s="100">
        <v>0</v>
      </c>
      <c r="M207" s="98">
        <v>0</v>
      </c>
      <c r="N207" s="101">
        <f t="shared" si="202"/>
        <v>0</v>
      </c>
      <c r="O207" s="100">
        <v>0</v>
      </c>
      <c r="P207" s="98">
        <v>0</v>
      </c>
      <c r="Q207" s="101">
        <f t="shared" si="203"/>
        <v>0</v>
      </c>
      <c r="R207" s="100">
        <v>0</v>
      </c>
      <c r="S207" s="98">
        <v>0</v>
      </c>
      <c r="T207" s="101">
        <f t="shared" si="204"/>
        <v>0</v>
      </c>
      <c r="U207" s="183">
        <v>1</v>
      </c>
      <c r="V207" s="99">
        <v>1</v>
      </c>
      <c r="W207" s="98">
        <v>0</v>
      </c>
      <c r="X207" s="98">
        <v>0</v>
      </c>
      <c r="Y207" s="101">
        <f t="shared" si="207"/>
        <v>0</v>
      </c>
      <c r="Z207" s="101">
        <v>1</v>
      </c>
      <c r="AA207" s="183">
        <v>0</v>
      </c>
      <c r="AB207" s="99">
        <v>1</v>
      </c>
      <c r="AC207" s="98">
        <v>0</v>
      </c>
      <c r="AD207" s="98">
        <v>0</v>
      </c>
      <c r="AE207" s="101">
        <f t="shared" si="205"/>
        <v>0</v>
      </c>
      <c r="AF207" s="100">
        <v>0</v>
      </c>
      <c r="AG207" s="98">
        <v>0</v>
      </c>
      <c r="AH207" s="99">
        <f t="shared" si="206"/>
        <v>0</v>
      </c>
      <c r="AI207" s="101">
        <v>1</v>
      </c>
      <c r="AJ207" s="106"/>
    </row>
    <row r="208" spans="2:36" s="35" customFormat="1" ht="17.100000000000001" customHeight="1">
      <c r="B208" s="105"/>
      <c r="C208" s="54"/>
      <c r="D208" s="96"/>
      <c r="E208" s="111"/>
      <c r="F208" s="112"/>
      <c r="G208" s="113"/>
      <c r="H208" s="183">
        <v>1</v>
      </c>
      <c r="I208" s="98">
        <v>0</v>
      </c>
      <c r="J208" s="98">
        <v>0</v>
      </c>
      <c r="K208" s="101">
        <f t="shared" si="201"/>
        <v>0</v>
      </c>
      <c r="L208" s="100">
        <v>0</v>
      </c>
      <c r="M208" s="98">
        <v>0</v>
      </c>
      <c r="N208" s="101">
        <f t="shared" si="202"/>
        <v>0</v>
      </c>
      <c r="O208" s="100">
        <v>0</v>
      </c>
      <c r="P208" s="98">
        <v>0</v>
      </c>
      <c r="Q208" s="101">
        <f t="shared" si="203"/>
        <v>0</v>
      </c>
      <c r="R208" s="100">
        <v>0</v>
      </c>
      <c r="S208" s="98">
        <v>0</v>
      </c>
      <c r="T208" s="101">
        <f t="shared" si="204"/>
        <v>0</v>
      </c>
      <c r="U208" s="183">
        <v>1</v>
      </c>
      <c r="V208" s="99">
        <v>1</v>
      </c>
      <c r="W208" s="98">
        <v>0</v>
      </c>
      <c r="X208" s="98">
        <v>0</v>
      </c>
      <c r="Y208" s="101">
        <f t="shared" si="207"/>
        <v>0</v>
      </c>
      <c r="Z208" s="101">
        <v>1</v>
      </c>
      <c r="AA208" s="183">
        <v>0</v>
      </c>
      <c r="AB208" s="99">
        <v>1</v>
      </c>
      <c r="AC208" s="98">
        <v>0</v>
      </c>
      <c r="AD208" s="98">
        <v>0</v>
      </c>
      <c r="AE208" s="101">
        <f t="shared" si="205"/>
        <v>0</v>
      </c>
      <c r="AF208" s="100">
        <v>0</v>
      </c>
      <c r="AG208" s="98">
        <v>0</v>
      </c>
      <c r="AH208" s="99">
        <f t="shared" si="206"/>
        <v>0</v>
      </c>
      <c r="AI208" s="101">
        <v>1</v>
      </c>
      <c r="AJ208" s="106"/>
    </row>
    <row r="209" spans="2:36" s="35" customFormat="1" ht="17.100000000000001" customHeight="1">
      <c r="B209" s="105"/>
      <c r="C209" s="54"/>
      <c r="D209" s="96"/>
      <c r="E209" s="111"/>
      <c r="F209" s="112"/>
      <c r="G209" s="113"/>
      <c r="H209" s="183">
        <v>1</v>
      </c>
      <c r="I209" s="98">
        <v>0</v>
      </c>
      <c r="J209" s="98">
        <v>0</v>
      </c>
      <c r="K209" s="101">
        <f t="shared" si="201"/>
        <v>0</v>
      </c>
      <c r="L209" s="100">
        <v>0</v>
      </c>
      <c r="M209" s="98">
        <v>0</v>
      </c>
      <c r="N209" s="101">
        <f t="shared" si="202"/>
        <v>0</v>
      </c>
      <c r="O209" s="100">
        <v>0</v>
      </c>
      <c r="P209" s="98">
        <v>0</v>
      </c>
      <c r="Q209" s="101">
        <f t="shared" si="203"/>
        <v>0</v>
      </c>
      <c r="R209" s="100">
        <v>0</v>
      </c>
      <c r="S209" s="98">
        <v>0</v>
      </c>
      <c r="T209" s="101">
        <f t="shared" si="204"/>
        <v>0</v>
      </c>
      <c r="U209" s="183">
        <v>1</v>
      </c>
      <c r="V209" s="99">
        <v>1</v>
      </c>
      <c r="W209" s="98">
        <v>0</v>
      </c>
      <c r="X209" s="98">
        <v>0</v>
      </c>
      <c r="Y209" s="101">
        <f t="shared" si="207"/>
        <v>0</v>
      </c>
      <c r="Z209" s="101">
        <v>1</v>
      </c>
      <c r="AA209" s="183">
        <v>0</v>
      </c>
      <c r="AB209" s="99">
        <v>1</v>
      </c>
      <c r="AC209" s="98">
        <v>0</v>
      </c>
      <c r="AD209" s="98">
        <v>0</v>
      </c>
      <c r="AE209" s="101">
        <f t="shared" si="205"/>
        <v>0</v>
      </c>
      <c r="AF209" s="100">
        <v>0</v>
      </c>
      <c r="AG209" s="98">
        <v>0</v>
      </c>
      <c r="AH209" s="99">
        <f t="shared" si="206"/>
        <v>0</v>
      </c>
      <c r="AI209" s="101">
        <v>1</v>
      </c>
      <c r="AJ209" s="106"/>
    </row>
    <row r="210" spans="2:36" s="35" customFormat="1" ht="17.100000000000001" customHeight="1">
      <c r="B210" s="105"/>
      <c r="C210" s="54"/>
      <c r="D210" s="96"/>
      <c r="E210" s="111"/>
      <c r="F210" s="112"/>
      <c r="G210" s="113"/>
      <c r="H210" s="183">
        <v>1</v>
      </c>
      <c r="I210" s="98">
        <v>0</v>
      </c>
      <c r="J210" s="98">
        <v>0</v>
      </c>
      <c r="K210" s="101">
        <f t="shared" si="201"/>
        <v>0</v>
      </c>
      <c r="L210" s="100">
        <v>0</v>
      </c>
      <c r="M210" s="98">
        <v>0</v>
      </c>
      <c r="N210" s="101">
        <f t="shared" si="202"/>
        <v>0</v>
      </c>
      <c r="O210" s="100">
        <v>0</v>
      </c>
      <c r="P210" s="98">
        <v>0</v>
      </c>
      <c r="Q210" s="101">
        <f t="shared" si="203"/>
        <v>0</v>
      </c>
      <c r="R210" s="100">
        <v>0</v>
      </c>
      <c r="S210" s="98">
        <v>0</v>
      </c>
      <c r="T210" s="101">
        <f t="shared" si="204"/>
        <v>0</v>
      </c>
      <c r="U210" s="183">
        <v>1</v>
      </c>
      <c r="V210" s="99">
        <v>1</v>
      </c>
      <c r="W210" s="98">
        <v>0</v>
      </c>
      <c r="X210" s="98">
        <v>0</v>
      </c>
      <c r="Y210" s="101">
        <f t="shared" si="207"/>
        <v>0</v>
      </c>
      <c r="Z210" s="101">
        <v>1</v>
      </c>
      <c r="AA210" s="183">
        <v>0</v>
      </c>
      <c r="AB210" s="99">
        <v>1</v>
      </c>
      <c r="AC210" s="98">
        <v>0</v>
      </c>
      <c r="AD210" s="98">
        <v>0</v>
      </c>
      <c r="AE210" s="101">
        <f t="shared" si="205"/>
        <v>0</v>
      </c>
      <c r="AF210" s="100">
        <v>0</v>
      </c>
      <c r="AG210" s="98">
        <v>0</v>
      </c>
      <c r="AH210" s="99">
        <f t="shared" si="206"/>
        <v>0</v>
      </c>
      <c r="AI210" s="101">
        <v>1</v>
      </c>
      <c r="AJ210" s="106"/>
    </row>
    <row r="211" spans="2:36" s="35" customFormat="1" ht="17.100000000000001" customHeight="1">
      <c r="B211" s="105"/>
      <c r="C211" s="54"/>
      <c r="D211" s="96"/>
      <c r="E211" s="111"/>
      <c r="F211" s="112"/>
      <c r="G211" s="113"/>
      <c r="H211" s="183">
        <v>1</v>
      </c>
      <c r="I211" s="98">
        <v>0</v>
      </c>
      <c r="J211" s="98">
        <v>0</v>
      </c>
      <c r="K211" s="101">
        <f t="shared" si="201"/>
        <v>0</v>
      </c>
      <c r="L211" s="100">
        <v>0</v>
      </c>
      <c r="M211" s="98">
        <v>0</v>
      </c>
      <c r="N211" s="101">
        <f t="shared" si="202"/>
        <v>0</v>
      </c>
      <c r="O211" s="100">
        <v>0</v>
      </c>
      <c r="P211" s="98">
        <v>0</v>
      </c>
      <c r="Q211" s="101">
        <f t="shared" si="203"/>
        <v>0</v>
      </c>
      <c r="R211" s="100">
        <v>0</v>
      </c>
      <c r="S211" s="98">
        <v>0</v>
      </c>
      <c r="T211" s="101">
        <f t="shared" si="204"/>
        <v>0</v>
      </c>
      <c r="U211" s="183">
        <v>1</v>
      </c>
      <c r="V211" s="99">
        <v>1</v>
      </c>
      <c r="W211" s="98">
        <v>0</v>
      </c>
      <c r="X211" s="98">
        <v>0</v>
      </c>
      <c r="Y211" s="101">
        <f t="shared" si="207"/>
        <v>0</v>
      </c>
      <c r="Z211" s="101">
        <v>1</v>
      </c>
      <c r="AA211" s="183">
        <v>0</v>
      </c>
      <c r="AB211" s="99">
        <v>1</v>
      </c>
      <c r="AC211" s="98">
        <v>0</v>
      </c>
      <c r="AD211" s="98">
        <v>0</v>
      </c>
      <c r="AE211" s="101">
        <f t="shared" si="205"/>
        <v>0</v>
      </c>
      <c r="AF211" s="100">
        <v>0</v>
      </c>
      <c r="AG211" s="98">
        <v>0</v>
      </c>
      <c r="AH211" s="99">
        <f t="shared" si="206"/>
        <v>0</v>
      </c>
      <c r="AI211" s="101">
        <v>1</v>
      </c>
      <c r="AJ211" s="106"/>
    </row>
    <row r="212" spans="2:36" s="126" customFormat="1" ht="17.100000000000001" customHeight="1">
      <c r="B212" s="118"/>
      <c r="C212" s="119"/>
      <c r="D212" s="120"/>
      <c r="E212" s="121"/>
      <c r="F212" s="122"/>
      <c r="G212" s="123"/>
      <c r="H212" s="183">
        <v>1</v>
      </c>
      <c r="I212" s="363" t="s">
        <v>201</v>
      </c>
      <c r="J212" s="363"/>
      <c r="K212" s="124">
        <f>SUM(K205:K211)</f>
        <v>0</v>
      </c>
      <c r="L212" s="341" t="s">
        <v>201</v>
      </c>
      <c r="M212" s="342"/>
      <c r="N212" s="124">
        <f>SUM(N205:N211)</f>
        <v>0</v>
      </c>
      <c r="O212" s="341" t="s">
        <v>201</v>
      </c>
      <c r="P212" s="342"/>
      <c r="Q212" s="124">
        <f>SUM(Q205:Q211)</f>
        <v>0</v>
      </c>
      <c r="R212" s="341" t="s">
        <v>201</v>
      </c>
      <c r="S212" s="342"/>
      <c r="T212" s="124">
        <f>SUM(T205:T211)</f>
        <v>0</v>
      </c>
      <c r="U212" s="183">
        <v>1</v>
      </c>
      <c r="V212" s="99">
        <v>1</v>
      </c>
      <c r="W212" s="363" t="s">
        <v>201</v>
      </c>
      <c r="X212" s="363"/>
      <c r="Y212" s="124">
        <f>SUM(Y205:Y211)</f>
        <v>250</v>
      </c>
      <c r="Z212" s="101">
        <v>1</v>
      </c>
      <c r="AA212" s="183">
        <v>0</v>
      </c>
      <c r="AB212" s="99">
        <v>1</v>
      </c>
      <c r="AC212" s="363" t="s">
        <v>201</v>
      </c>
      <c r="AD212" s="363"/>
      <c r="AE212" s="124">
        <f>SUM(AE205:AE211)</f>
        <v>0</v>
      </c>
      <c r="AF212" s="364" t="s">
        <v>201</v>
      </c>
      <c r="AG212" s="363"/>
      <c r="AH212" s="143">
        <f>SUM(AH205:AH211)</f>
        <v>0</v>
      </c>
      <c r="AI212" s="101">
        <v>1</v>
      </c>
      <c r="AJ212" s="125"/>
    </row>
    <row r="213" spans="2:36" s="35" customFormat="1" ht="16.95" customHeight="1">
      <c r="B213" s="105"/>
      <c r="C213" s="54">
        <f>'3. Rekap Back Up Non Aspal '!C45</f>
        <v>3400</v>
      </c>
      <c r="D213" s="96">
        <f>'3. Rekap Back Up Non Aspal '!D45</f>
        <v>3500</v>
      </c>
      <c r="E213" s="111">
        <f>'3. Rekap Back Up Non Aspal '!E45</f>
        <v>3</v>
      </c>
      <c r="F213" s="112">
        <f>(100/((D213-C213)*E213))*((K220*0.05)+(N220*0.05)+(Q220*0.05)+(T220)+(Y220)+(AE220*1.5)+(AH220*1))</f>
        <v>100</v>
      </c>
      <c r="G213" s="113" t="str">
        <f>IF(F213&lt;=25,"RB",IF(F213&lt;=75,"RB",IF(F213&lt;=100,"RB","RB")))</f>
        <v>RB</v>
      </c>
      <c r="H213" s="183">
        <v>1</v>
      </c>
      <c r="I213" s="98">
        <v>0</v>
      </c>
      <c r="J213" s="98">
        <v>0</v>
      </c>
      <c r="K213" s="101">
        <f t="shared" ref="K213:K219" si="208">I213*J213</f>
        <v>0</v>
      </c>
      <c r="L213" s="98">
        <v>0</v>
      </c>
      <c r="M213" s="98">
        <v>0</v>
      </c>
      <c r="N213" s="101">
        <f t="shared" ref="N213:N219" si="209">L213*M213</f>
        <v>0</v>
      </c>
      <c r="O213" s="98">
        <v>0</v>
      </c>
      <c r="P213" s="98">
        <v>0</v>
      </c>
      <c r="Q213" s="101">
        <f t="shared" ref="Q213:Q219" si="210">O213*P213</f>
        <v>0</v>
      </c>
      <c r="R213" s="98">
        <v>0</v>
      </c>
      <c r="S213" s="98">
        <v>0</v>
      </c>
      <c r="T213" s="101">
        <f t="shared" ref="T213:T219" si="211">R213*S213</f>
        <v>0</v>
      </c>
      <c r="U213" s="183">
        <v>5</v>
      </c>
      <c r="V213" s="99">
        <v>4</v>
      </c>
      <c r="W213" s="98">
        <v>100</v>
      </c>
      <c r="X213" s="98">
        <v>3</v>
      </c>
      <c r="Y213" s="101">
        <f>W213*X213</f>
        <v>300</v>
      </c>
      <c r="Z213" s="101">
        <v>1</v>
      </c>
      <c r="AA213" s="183">
        <v>0</v>
      </c>
      <c r="AB213" s="99">
        <v>1</v>
      </c>
      <c r="AC213" s="98">
        <v>0</v>
      </c>
      <c r="AD213" s="98">
        <v>0</v>
      </c>
      <c r="AE213" s="101">
        <f t="shared" ref="AE213:AE219" si="212">AC213*AD213</f>
        <v>0</v>
      </c>
      <c r="AF213" s="98">
        <v>0</v>
      </c>
      <c r="AG213" s="98">
        <v>3</v>
      </c>
      <c r="AH213" s="99">
        <f t="shared" ref="AH213:AH219" si="213">AF213*AG213</f>
        <v>0</v>
      </c>
      <c r="AI213" s="101">
        <v>1</v>
      </c>
      <c r="AJ213" s="106"/>
    </row>
    <row r="214" spans="2:36" s="35" customFormat="1" ht="17.100000000000001" customHeight="1">
      <c r="B214" s="105"/>
      <c r="C214" s="54"/>
      <c r="D214" s="96"/>
      <c r="E214" s="111"/>
      <c r="F214" s="112"/>
      <c r="G214" s="113"/>
      <c r="H214" s="183">
        <v>1</v>
      </c>
      <c r="I214" s="98">
        <v>0</v>
      </c>
      <c r="J214" s="98">
        <v>0</v>
      </c>
      <c r="K214" s="101">
        <f t="shared" si="208"/>
        <v>0</v>
      </c>
      <c r="L214" s="100">
        <v>0</v>
      </c>
      <c r="M214" s="98">
        <v>0</v>
      </c>
      <c r="N214" s="101">
        <f t="shared" si="209"/>
        <v>0</v>
      </c>
      <c r="O214" s="100">
        <v>0</v>
      </c>
      <c r="P214" s="98">
        <v>0</v>
      </c>
      <c r="Q214" s="101">
        <f t="shared" si="210"/>
        <v>0</v>
      </c>
      <c r="R214" s="100">
        <v>0</v>
      </c>
      <c r="S214" s="98">
        <v>0</v>
      </c>
      <c r="T214" s="101">
        <f t="shared" si="211"/>
        <v>0</v>
      </c>
      <c r="U214" s="183">
        <v>1</v>
      </c>
      <c r="V214" s="99">
        <v>1</v>
      </c>
      <c r="W214" s="98">
        <v>0</v>
      </c>
      <c r="X214" s="98">
        <v>0</v>
      </c>
      <c r="Y214" s="101">
        <f t="shared" ref="Y214:Y219" si="214">W214*X214</f>
        <v>0</v>
      </c>
      <c r="Z214" s="101">
        <v>1</v>
      </c>
      <c r="AA214" s="183">
        <v>0</v>
      </c>
      <c r="AB214" s="99">
        <v>1</v>
      </c>
      <c r="AC214" s="98">
        <v>0</v>
      </c>
      <c r="AD214" s="98">
        <v>0</v>
      </c>
      <c r="AE214" s="101">
        <f t="shared" si="212"/>
        <v>0</v>
      </c>
      <c r="AF214" s="100">
        <v>0</v>
      </c>
      <c r="AG214" s="98">
        <v>0</v>
      </c>
      <c r="AH214" s="99">
        <f t="shared" si="213"/>
        <v>0</v>
      </c>
      <c r="AI214" s="101">
        <v>1</v>
      </c>
      <c r="AJ214" s="106"/>
    </row>
    <row r="215" spans="2:36" s="35" customFormat="1" ht="17.100000000000001" customHeight="1">
      <c r="B215" s="105"/>
      <c r="C215" s="54"/>
      <c r="D215" s="96"/>
      <c r="E215" s="111"/>
      <c r="F215" s="112"/>
      <c r="G215" s="113"/>
      <c r="H215" s="183">
        <v>1</v>
      </c>
      <c r="I215" s="98">
        <v>0</v>
      </c>
      <c r="J215" s="98">
        <v>0</v>
      </c>
      <c r="K215" s="101">
        <f t="shared" si="208"/>
        <v>0</v>
      </c>
      <c r="L215" s="100">
        <v>0</v>
      </c>
      <c r="M215" s="98">
        <v>0</v>
      </c>
      <c r="N215" s="101">
        <f t="shared" si="209"/>
        <v>0</v>
      </c>
      <c r="O215" s="100">
        <v>0</v>
      </c>
      <c r="P215" s="98">
        <v>0</v>
      </c>
      <c r="Q215" s="101">
        <f t="shared" si="210"/>
        <v>0</v>
      </c>
      <c r="R215" s="100">
        <v>0</v>
      </c>
      <c r="S215" s="98">
        <v>0</v>
      </c>
      <c r="T215" s="101">
        <f t="shared" si="211"/>
        <v>0</v>
      </c>
      <c r="U215" s="183">
        <v>1</v>
      </c>
      <c r="V215" s="99">
        <v>1</v>
      </c>
      <c r="W215" s="98">
        <v>0</v>
      </c>
      <c r="X215" s="98">
        <v>0</v>
      </c>
      <c r="Y215" s="101">
        <f t="shared" si="214"/>
        <v>0</v>
      </c>
      <c r="Z215" s="101">
        <v>1</v>
      </c>
      <c r="AA215" s="183">
        <v>0</v>
      </c>
      <c r="AB215" s="99">
        <v>1</v>
      </c>
      <c r="AC215" s="98">
        <v>0</v>
      </c>
      <c r="AD215" s="98">
        <v>0</v>
      </c>
      <c r="AE215" s="101">
        <f t="shared" si="212"/>
        <v>0</v>
      </c>
      <c r="AF215" s="100">
        <v>0</v>
      </c>
      <c r="AG215" s="98">
        <v>0</v>
      </c>
      <c r="AH215" s="99">
        <f t="shared" si="213"/>
        <v>0</v>
      </c>
      <c r="AI215" s="101">
        <v>1</v>
      </c>
      <c r="AJ215" s="106"/>
    </row>
    <row r="216" spans="2:36" s="35" customFormat="1" ht="17.100000000000001" customHeight="1">
      <c r="B216" s="105"/>
      <c r="C216" s="54"/>
      <c r="D216" s="96"/>
      <c r="E216" s="111"/>
      <c r="F216" s="112"/>
      <c r="G216" s="113"/>
      <c r="H216" s="183">
        <v>1</v>
      </c>
      <c r="I216" s="98">
        <v>0</v>
      </c>
      <c r="J216" s="98">
        <v>0</v>
      </c>
      <c r="K216" s="101">
        <f t="shared" si="208"/>
        <v>0</v>
      </c>
      <c r="L216" s="100">
        <v>0</v>
      </c>
      <c r="M216" s="98">
        <v>0</v>
      </c>
      <c r="N216" s="101">
        <f t="shared" si="209"/>
        <v>0</v>
      </c>
      <c r="O216" s="100">
        <v>0</v>
      </c>
      <c r="P216" s="98">
        <v>0</v>
      </c>
      <c r="Q216" s="101">
        <f t="shared" si="210"/>
        <v>0</v>
      </c>
      <c r="R216" s="100">
        <v>0</v>
      </c>
      <c r="S216" s="98">
        <v>0</v>
      </c>
      <c r="T216" s="101">
        <f t="shared" si="211"/>
        <v>0</v>
      </c>
      <c r="U216" s="183">
        <v>1</v>
      </c>
      <c r="V216" s="99">
        <v>1</v>
      </c>
      <c r="W216" s="98">
        <v>0</v>
      </c>
      <c r="X216" s="98">
        <v>0</v>
      </c>
      <c r="Y216" s="101">
        <f t="shared" si="214"/>
        <v>0</v>
      </c>
      <c r="Z216" s="101">
        <v>1</v>
      </c>
      <c r="AA216" s="183">
        <v>0</v>
      </c>
      <c r="AB216" s="99">
        <v>1</v>
      </c>
      <c r="AC216" s="98">
        <v>0</v>
      </c>
      <c r="AD216" s="98">
        <v>0</v>
      </c>
      <c r="AE216" s="101">
        <f t="shared" si="212"/>
        <v>0</v>
      </c>
      <c r="AF216" s="100">
        <v>0</v>
      </c>
      <c r="AG216" s="98">
        <v>0</v>
      </c>
      <c r="AH216" s="99">
        <f t="shared" si="213"/>
        <v>0</v>
      </c>
      <c r="AI216" s="101">
        <v>1</v>
      </c>
      <c r="AJ216" s="106"/>
    </row>
    <row r="217" spans="2:36" s="35" customFormat="1" ht="17.100000000000001" customHeight="1">
      <c r="B217" s="105"/>
      <c r="C217" s="54"/>
      <c r="D217" s="96"/>
      <c r="E217" s="111"/>
      <c r="F217" s="112"/>
      <c r="G217" s="113"/>
      <c r="H217" s="183">
        <v>1</v>
      </c>
      <c r="I217" s="98">
        <v>0</v>
      </c>
      <c r="J217" s="98">
        <v>0</v>
      </c>
      <c r="K217" s="101">
        <f t="shared" si="208"/>
        <v>0</v>
      </c>
      <c r="L217" s="100">
        <v>0</v>
      </c>
      <c r="M217" s="98">
        <v>0</v>
      </c>
      <c r="N217" s="101">
        <f t="shared" si="209"/>
        <v>0</v>
      </c>
      <c r="O217" s="100">
        <v>0</v>
      </c>
      <c r="P217" s="98">
        <v>0</v>
      </c>
      <c r="Q217" s="101">
        <f t="shared" si="210"/>
        <v>0</v>
      </c>
      <c r="R217" s="100">
        <v>0</v>
      </c>
      <c r="S217" s="98">
        <v>0</v>
      </c>
      <c r="T217" s="101">
        <f t="shared" si="211"/>
        <v>0</v>
      </c>
      <c r="U217" s="183">
        <v>1</v>
      </c>
      <c r="V217" s="99">
        <v>1</v>
      </c>
      <c r="W217" s="98">
        <v>0</v>
      </c>
      <c r="X217" s="98">
        <v>0</v>
      </c>
      <c r="Y217" s="101">
        <f t="shared" si="214"/>
        <v>0</v>
      </c>
      <c r="Z217" s="101">
        <v>1</v>
      </c>
      <c r="AA217" s="183">
        <v>0</v>
      </c>
      <c r="AB217" s="99">
        <v>1</v>
      </c>
      <c r="AC217" s="98">
        <v>0</v>
      </c>
      <c r="AD217" s="98">
        <v>0</v>
      </c>
      <c r="AE217" s="101">
        <f t="shared" si="212"/>
        <v>0</v>
      </c>
      <c r="AF217" s="100">
        <v>0</v>
      </c>
      <c r="AG217" s="98">
        <v>0</v>
      </c>
      <c r="AH217" s="99">
        <f t="shared" si="213"/>
        <v>0</v>
      </c>
      <c r="AI217" s="101">
        <v>1</v>
      </c>
      <c r="AJ217" s="106"/>
    </row>
    <row r="218" spans="2:36" s="35" customFormat="1" ht="17.100000000000001" customHeight="1">
      <c r="B218" s="105"/>
      <c r="C218" s="54"/>
      <c r="D218" s="96"/>
      <c r="E218" s="111"/>
      <c r="F218" s="112"/>
      <c r="G218" s="113"/>
      <c r="H218" s="183">
        <v>1</v>
      </c>
      <c r="I218" s="98">
        <v>0</v>
      </c>
      <c r="J218" s="98">
        <v>0</v>
      </c>
      <c r="K218" s="101">
        <f t="shared" si="208"/>
        <v>0</v>
      </c>
      <c r="L218" s="100">
        <v>0</v>
      </c>
      <c r="M218" s="98">
        <v>0</v>
      </c>
      <c r="N218" s="101">
        <f t="shared" si="209"/>
        <v>0</v>
      </c>
      <c r="O218" s="100">
        <v>0</v>
      </c>
      <c r="P218" s="98">
        <v>0</v>
      </c>
      <c r="Q218" s="101">
        <f t="shared" si="210"/>
        <v>0</v>
      </c>
      <c r="R218" s="100">
        <v>0</v>
      </c>
      <c r="S218" s="98">
        <v>0</v>
      </c>
      <c r="T218" s="101">
        <f t="shared" si="211"/>
        <v>0</v>
      </c>
      <c r="U218" s="183">
        <v>1</v>
      </c>
      <c r="V218" s="99">
        <v>1</v>
      </c>
      <c r="W218" s="98">
        <v>0</v>
      </c>
      <c r="X218" s="98">
        <v>0</v>
      </c>
      <c r="Y218" s="101">
        <f t="shared" si="214"/>
        <v>0</v>
      </c>
      <c r="Z218" s="101">
        <v>1</v>
      </c>
      <c r="AA218" s="183">
        <v>0</v>
      </c>
      <c r="AB218" s="99">
        <v>1</v>
      </c>
      <c r="AC218" s="98">
        <v>0</v>
      </c>
      <c r="AD218" s="98">
        <v>0</v>
      </c>
      <c r="AE218" s="101">
        <f t="shared" si="212"/>
        <v>0</v>
      </c>
      <c r="AF218" s="100">
        <v>0</v>
      </c>
      <c r="AG218" s="98">
        <v>0</v>
      </c>
      <c r="AH218" s="99">
        <f t="shared" si="213"/>
        <v>0</v>
      </c>
      <c r="AI218" s="101">
        <v>1</v>
      </c>
      <c r="AJ218" s="106"/>
    </row>
    <row r="219" spans="2:36" s="35" customFormat="1" ht="17.100000000000001" customHeight="1">
      <c r="B219" s="105"/>
      <c r="C219" s="54"/>
      <c r="D219" s="96"/>
      <c r="E219" s="111"/>
      <c r="F219" s="112"/>
      <c r="G219" s="113"/>
      <c r="H219" s="183">
        <v>1</v>
      </c>
      <c r="I219" s="98">
        <v>0</v>
      </c>
      <c r="J219" s="98">
        <v>0</v>
      </c>
      <c r="K219" s="101">
        <f t="shared" si="208"/>
        <v>0</v>
      </c>
      <c r="L219" s="100">
        <v>0</v>
      </c>
      <c r="M219" s="98">
        <v>0</v>
      </c>
      <c r="N219" s="101">
        <f t="shared" si="209"/>
        <v>0</v>
      </c>
      <c r="O219" s="100">
        <v>0</v>
      </c>
      <c r="P219" s="98">
        <v>0</v>
      </c>
      <c r="Q219" s="101">
        <f t="shared" si="210"/>
        <v>0</v>
      </c>
      <c r="R219" s="100">
        <v>0</v>
      </c>
      <c r="S219" s="98">
        <v>0</v>
      </c>
      <c r="T219" s="101">
        <f t="shared" si="211"/>
        <v>0</v>
      </c>
      <c r="U219" s="183">
        <v>1</v>
      </c>
      <c r="V219" s="99">
        <v>1</v>
      </c>
      <c r="W219" s="98">
        <v>0</v>
      </c>
      <c r="X219" s="98">
        <v>0</v>
      </c>
      <c r="Y219" s="101">
        <f t="shared" si="214"/>
        <v>0</v>
      </c>
      <c r="Z219" s="101">
        <v>1</v>
      </c>
      <c r="AA219" s="183">
        <v>0</v>
      </c>
      <c r="AB219" s="99">
        <v>1</v>
      </c>
      <c r="AC219" s="98">
        <v>0</v>
      </c>
      <c r="AD219" s="98">
        <v>0</v>
      </c>
      <c r="AE219" s="101">
        <f t="shared" si="212"/>
        <v>0</v>
      </c>
      <c r="AF219" s="100">
        <v>0</v>
      </c>
      <c r="AG219" s="98">
        <v>0</v>
      </c>
      <c r="AH219" s="99">
        <f t="shared" si="213"/>
        <v>0</v>
      </c>
      <c r="AI219" s="101">
        <v>1</v>
      </c>
      <c r="AJ219" s="106"/>
    </row>
    <row r="220" spans="2:36" s="126" customFormat="1" ht="17.100000000000001" customHeight="1">
      <c r="B220" s="118"/>
      <c r="C220" s="119"/>
      <c r="D220" s="120"/>
      <c r="E220" s="121"/>
      <c r="F220" s="122"/>
      <c r="G220" s="123"/>
      <c r="H220" s="183">
        <v>1</v>
      </c>
      <c r="I220" s="363" t="s">
        <v>201</v>
      </c>
      <c r="J220" s="363"/>
      <c r="K220" s="124">
        <f>SUM(K213:K219)</f>
        <v>0</v>
      </c>
      <c r="L220" s="341" t="s">
        <v>201</v>
      </c>
      <c r="M220" s="342"/>
      <c r="N220" s="124">
        <f>SUM(N213:N219)</f>
        <v>0</v>
      </c>
      <c r="O220" s="341" t="s">
        <v>201</v>
      </c>
      <c r="P220" s="342"/>
      <c r="Q220" s="124">
        <f>SUM(Q213:Q219)</f>
        <v>0</v>
      </c>
      <c r="R220" s="341" t="s">
        <v>201</v>
      </c>
      <c r="S220" s="342"/>
      <c r="T220" s="124">
        <f>SUM(T213:T219)</f>
        <v>0</v>
      </c>
      <c r="U220" s="183">
        <v>1</v>
      </c>
      <c r="V220" s="99">
        <v>1</v>
      </c>
      <c r="W220" s="363" t="s">
        <v>201</v>
      </c>
      <c r="X220" s="363"/>
      <c r="Y220" s="124">
        <f>SUM(Y213:Y219)</f>
        <v>300</v>
      </c>
      <c r="Z220" s="101">
        <v>1</v>
      </c>
      <c r="AA220" s="183">
        <v>0</v>
      </c>
      <c r="AB220" s="99">
        <v>1</v>
      </c>
      <c r="AC220" s="363" t="s">
        <v>201</v>
      </c>
      <c r="AD220" s="363"/>
      <c r="AE220" s="124">
        <f>SUM(AE213:AE219)</f>
        <v>0</v>
      </c>
      <c r="AF220" s="364" t="s">
        <v>201</v>
      </c>
      <c r="AG220" s="363"/>
      <c r="AH220" s="143">
        <f>SUM(AH213:AH219)</f>
        <v>0</v>
      </c>
      <c r="AI220" s="101">
        <v>1</v>
      </c>
      <c r="AJ220" s="125"/>
    </row>
    <row r="221" spans="2:36" s="35" customFormat="1" ht="16.95" customHeight="1">
      <c r="B221" s="105"/>
      <c r="C221" s="54">
        <f>'3. Rekap Back Up Non Aspal '!C46</f>
        <v>3500</v>
      </c>
      <c r="D221" s="96">
        <f>'3. Rekap Back Up Non Aspal '!D46</f>
        <v>3600</v>
      </c>
      <c r="E221" s="111">
        <f>'3. Rekap Back Up Non Aspal '!E46</f>
        <v>3</v>
      </c>
      <c r="F221" s="112">
        <f>(100/((D221-C221)*E221))*((K228*0.05)+(N228*0.05)+(Q228*0.05)+(T228)+(Y228)+(AE228*1.5)+(AH228*1))</f>
        <v>100</v>
      </c>
      <c r="G221" s="113" t="str">
        <f>IF(F221&lt;=25,"RB",IF(F221&lt;=75,"RB",IF(F221&lt;=100,"RB","RB")))</f>
        <v>RB</v>
      </c>
      <c r="H221" s="183">
        <v>1</v>
      </c>
      <c r="I221" s="98">
        <v>0</v>
      </c>
      <c r="J221" s="98">
        <v>0</v>
      </c>
      <c r="K221" s="101">
        <f t="shared" ref="K221:K227" si="215">I221*J221</f>
        <v>0</v>
      </c>
      <c r="L221" s="98">
        <v>0</v>
      </c>
      <c r="M221" s="98">
        <v>0</v>
      </c>
      <c r="N221" s="101">
        <f t="shared" ref="N221:N227" si="216">L221*M221</f>
        <v>0</v>
      </c>
      <c r="O221" s="98">
        <v>0</v>
      </c>
      <c r="P221" s="98">
        <v>0</v>
      </c>
      <c r="Q221" s="101">
        <f t="shared" ref="Q221:Q227" si="217">O221*P221</f>
        <v>0</v>
      </c>
      <c r="R221" s="98">
        <v>0</v>
      </c>
      <c r="S221" s="98">
        <v>0</v>
      </c>
      <c r="T221" s="101">
        <f t="shared" ref="T221:T227" si="218">R221*S221</f>
        <v>0</v>
      </c>
      <c r="U221" s="183">
        <v>4</v>
      </c>
      <c r="V221" s="99">
        <v>4</v>
      </c>
      <c r="W221" s="98">
        <v>100</v>
      </c>
      <c r="X221" s="98">
        <v>3</v>
      </c>
      <c r="Y221" s="101">
        <f>W221*X221</f>
        <v>300</v>
      </c>
      <c r="Z221" s="101">
        <v>1</v>
      </c>
      <c r="AA221" s="183">
        <v>0</v>
      </c>
      <c r="AB221" s="99">
        <v>1</v>
      </c>
      <c r="AC221" s="98">
        <v>0</v>
      </c>
      <c r="AD221" s="98">
        <v>0</v>
      </c>
      <c r="AE221" s="101">
        <f t="shared" ref="AE221:AE227" si="219">AC221*AD221</f>
        <v>0</v>
      </c>
      <c r="AF221" s="98">
        <v>0</v>
      </c>
      <c r="AG221" s="98">
        <v>3</v>
      </c>
      <c r="AH221" s="99">
        <f t="shared" ref="AH221:AH227" si="220">AF221*AG221</f>
        <v>0</v>
      </c>
      <c r="AI221" s="101">
        <v>1</v>
      </c>
      <c r="AJ221" s="106"/>
    </row>
    <row r="222" spans="2:36" s="35" customFormat="1" ht="17.100000000000001" customHeight="1">
      <c r="B222" s="105"/>
      <c r="C222" s="54"/>
      <c r="D222" s="96"/>
      <c r="E222" s="111"/>
      <c r="F222" s="112"/>
      <c r="G222" s="113"/>
      <c r="H222" s="183">
        <v>1</v>
      </c>
      <c r="I222" s="98">
        <v>0</v>
      </c>
      <c r="J222" s="98">
        <v>0</v>
      </c>
      <c r="K222" s="101">
        <f t="shared" si="215"/>
        <v>0</v>
      </c>
      <c r="L222" s="100">
        <v>0</v>
      </c>
      <c r="M222" s="98">
        <v>0</v>
      </c>
      <c r="N222" s="101">
        <f t="shared" si="216"/>
        <v>0</v>
      </c>
      <c r="O222" s="100">
        <v>0</v>
      </c>
      <c r="P222" s="98">
        <v>0</v>
      </c>
      <c r="Q222" s="101">
        <f t="shared" si="217"/>
        <v>0</v>
      </c>
      <c r="R222" s="100">
        <v>0</v>
      </c>
      <c r="S222" s="98">
        <v>0</v>
      </c>
      <c r="T222" s="101">
        <f t="shared" si="218"/>
        <v>0</v>
      </c>
      <c r="U222" s="183">
        <v>1</v>
      </c>
      <c r="V222" s="99">
        <v>1</v>
      </c>
      <c r="W222" s="98">
        <v>0</v>
      </c>
      <c r="X222" s="98">
        <v>0</v>
      </c>
      <c r="Y222" s="101">
        <f t="shared" ref="Y222:Y227" si="221">W222*X222</f>
        <v>0</v>
      </c>
      <c r="Z222" s="101">
        <v>1</v>
      </c>
      <c r="AA222" s="183">
        <v>0</v>
      </c>
      <c r="AB222" s="99">
        <v>1</v>
      </c>
      <c r="AC222" s="98">
        <v>0</v>
      </c>
      <c r="AD222" s="98">
        <v>0</v>
      </c>
      <c r="AE222" s="101">
        <f t="shared" si="219"/>
        <v>0</v>
      </c>
      <c r="AF222" s="100">
        <v>0</v>
      </c>
      <c r="AG222" s="98">
        <v>0</v>
      </c>
      <c r="AH222" s="99">
        <f t="shared" si="220"/>
        <v>0</v>
      </c>
      <c r="AI222" s="101">
        <v>1</v>
      </c>
      <c r="AJ222" s="106"/>
    </row>
    <row r="223" spans="2:36" s="35" customFormat="1" ht="17.100000000000001" customHeight="1">
      <c r="B223" s="105"/>
      <c r="C223" s="54"/>
      <c r="D223" s="96"/>
      <c r="E223" s="111"/>
      <c r="F223" s="112"/>
      <c r="G223" s="113"/>
      <c r="H223" s="183">
        <v>1</v>
      </c>
      <c r="I223" s="98">
        <v>0</v>
      </c>
      <c r="J223" s="98">
        <v>0</v>
      </c>
      <c r="K223" s="101">
        <f t="shared" si="215"/>
        <v>0</v>
      </c>
      <c r="L223" s="100">
        <v>0</v>
      </c>
      <c r="M223" s="98">
        <v>0</v>
      </c>
      <c r="N223" s="101">
        <f t="shared" si="216"/>
        <v>0</v>
      </c>
      <c r="O223" s="100">
        <v>0</v>
      </c>
      <c r="P223" s="98">
        <v>0</v>
      </c>
      <c r="Q223" s="101">
        <f t="shared" si="217"/>
        <v>0</v>
      </c>
      <c r="R223" s="100">
        <v>0</v>
      </c>
      <c r="S223" s="98">
        <v>0</v>
      </c>
      <c r="T223" s="101">
        <f t="shared" si="218"/>
        <v>0</v>
      </c>
      <c r="U223" s="183">
        <v>1</v>
      </c>
      <c r="V223" s="99">
        <v>1</v>
      </c>
      <c r="W223" s="98">
        <v>0</v>
      </c>
      <c r="X223" s="98">
        <v>0</v>
      </c>
      <c r="Y223" s="101">
        <f t="shared" si="221"/>
        <v>0</v>
      </c>
      <c r="Z223" s="101">
        <v>1</v>
      </c>
      <c r="AA223" s="183">
        <v>0</v>
      </c>
      <c r="AB223" s="99">
        <v>1</v>
      </c>
      <c r="AC223" s="98">
        <v>0</v>
      </c>
      <c r="AD223" s="98">
        <v>0</v>
      </c>
      <c r="AE223" s="101">
        <f t="shared" si="219"/>
        <v>0</v>
      </c>
      <c r="AF223" s="100">
        <v>0</v>
      </c>
      <c r="AG223" s="98">
        <v>0</v>
      </c>
      <c r="AH223" s="99">
        <f t="shared" si="220"/>
        <v>0</v>
      </c>
      <c r="AI223" s="101">
        <v>1</v>
      </c>
      <c r="AJ223" s="106"/>
    </row>
    <row r="224" spans="2:36" s="35" customFormat="1" ht="17.100000000000001" customHeight="1">
      <c r="B224" s="105"/>
      <c r="C224" s="54"/>
      <c r="D224" s="96"/>
      <c r="E224" s="111"/>
      <c r="F224" s="112"/>
      <c r="G224" s="113"/>
      <c r="H224" s="183">
        <v>1</v>
      </c>
      <c r="I224" s="98">
        <v>0</v>
      </c>
      <c r="J224" s="98">
        <v>0</v>
      </c>
      <c r="K224" s="101">
        <f t="shared" si="215"/>
        <v>0</v>
      </c>
      <c r="L224" s="100">
        <v>0</v>
      </c>
      <c r="M224" s="98">
        <v>0</v>
      </c>
      <c r="N224" s="101">
        <f t="shared" si="216"/>
        <v>0</v>
      </c>
      <c r="O224" s="100">
        <v>0</v>
      </c>
      <c r="P224" s="98">
        <v>0</v>
      </c>
      <c r="Q224" s="101">
        <f t="shared" si="217"/>
        <v>0</v>
      </c>
      <c r="R224" s="100">
        <v>0</v>
      </c>
      <c r="S224" s="98">
        <v>0</v>
      </c>
      <c r="T224" s="101">
        <f t="shared" si="218"/>
        <v>0</v>
      </c>
      <c r="U224" s="183">
        <v>1</v>
      </c>
      <c r="V224" s="99">
        <v>1</v>
      </c>
      <c r="W224" s="98">
        <v>0</v>
      </c>
      <c r="X224" s="98">
        <v>0</v>
      </c>
      <c r="Y224" s="101">
        <f t="shared" si="221"/>
        <v>0</v>
      </c>
      <c r="Z224" s="101">
        <v>1</v>
      </c>
      <c r="AA224" s="183">
        <v>0</v>
      </c>
      <c r="AB224" s="99">
        <v>1</v>
      </c>
      <c r="AC224" s="98">
        <v>0</v>
      </c>
      <c r="AD224" s="98">
        <v>0</v>
      </c>
      <c r="AE224" s="101">
        <f t="shared" si="219"/>
        <v>0</v>
      </c>
      <c r="AF224" s="100">
        <v>0</v>
      </c>
      <c r="AG224" s="98">
        <v>0</v>
      </c>
      <c r="AH224" s="99">
        <f t="shared" si="220"/>
        <v>0</v>
      </c>
      <c r="AI224" s="101">
        <v>1</v>
      </c>
      <c r="AJ224" s="106"/>
    </row>
    <row r="225" spans="2:36" s="35" customFormat="1" ht="17.100000000000001" customHeight="1">
      <c r="B225" s="105"/>
      <c r="C225" s="54"/>
      <c r="D225" s="96"/>
      <c r="E225" s="111"/>
      <c r="F225" s="112"/>
      <c r="G225" s="113"/>
      <c r="H225" s="183">
        <v>1</v>
      </c>
      <c r="I225" s="98">
        <v>0</v>
      </c>
      <c r="J225" s="98">
        <v>0</v>
      </c>
      <c r="K225" s="101">
        <f t="shared" si="215"/>
        <v>0</v>
      </c>
      <c r="L225" s="100">
        <v>0</v>
      </c>
      <c r="M225" s="98">
        <v>0</v>
      </c>
      <c r="N225" s="101">
        <f t="shared" si="216"/>
        <v>0</v>
      </c>
      <c r="O225" s="100">
        <v>0</v>
      </c>
      <c r="P225" s="98">
        <v>0</v>
      </c>
      <c r="Q225" s="101">
        <f t="shared" si="217"/>
        <v>0</v>
      </c>
      <c r="R225" s="100">
        <v>0</v>
      </c>
      <c r="S225" s="98">
        <v>0</v>
      </c>
      <c r="T225" s="101">
        <f t="shared" si="218"/>
        <v>0</v>
      </c>
      <c r="U225" s="183">
        <v>1</v>
      </c>
      <c r="V225" s="99">
        <v>1</v>
      </c>
      <c r="W225" s="98">
        <v>0</v>
      </c>
      <c r="X225" s="98">
        <v>0</v>
      </c>
      <c r="Y225" s="101">
        <f t="shared" si="221"/>
        <v>0</v>
      </c>
      <c r="Z225" s="101">
        <v>1</v>
      </c>
      <c r="AA225" s="183">
        <v>0</v>
      </c>
      <c r="AB225" s="99">
        <v>1</v>
      </c>
      <c r="AC225" s="98">
        <v>0</v>
      </c>
      <c r="AD225" s="98">
        <v>0</v>
      </c>
      <c r="AE225" s="101">
        <f t="shared" si="219"/>
        <v>0</v>
      </c>
      <c r="AF225" s="100">
        <v>0</v>
      </c>
      <c r="AG225" s="98">
        <v>0</v>
      </c>
      <c r="AH225" s="99">
        <f t="shared" si="220"/>
        <v>0</v>
      </c>
      <c r="AI225" s="101">
        <v>1</v>
      </c>
      <c r="AJ225" s="106"/>
    </row>
    <row r="226" spans="2:36" s="35" customFormat="1" ht="17.100000000000001" customHeight="1">
      <c r="B226" s="105"/>
      <c r="C226" s="54"/>
      <c r="D226" s="96"/>
      <c r="E226" s="111"/>
      <c r="F226" s="112"/>
      <c r="G226" s="113"/>
      <c r="H226" s="183">
        <v>1</v>
      </c>
      <c r="I226" s="98">
        <v>0</v>
      </c>
      <c r="J226" s="98">
        <v>0</v>
      </c>
      <c r="K226" s="101">
        <f t="shared" si="215"/>
        <v>0</v>
      </c>
      <c r="L226" s="100">
        <v>0</v>
      </c>
      <c r="M226" s="98">
        <v>0</v>
      </c>
      <c r="N226" s="101">
        <f t="shared" si="216"/>
        <v>0</v>
      </c>
      <c r="O226" s="100">
        <v>0</v>
      </c>
      <c r="P226" s="98">
        <v>0</v>
      </c>
      <c r="Q226" s="101">
        <f t="shared" si="217"/>
        <v>0</v>
      </c>
      <c r="R226" s="100">
        <v>0</v>
      </c>
      <c r="S226" s="98">
        <v>0</v>
      </c>
      <c r="T226" s="101">
        <f t="shared" si="218"/>
        <v>0</v>
      </c>
      <c r="U226" s="183">
        <v>1</v>
      </c>
      <c r="V226" s="99">
        <v>1</v>
      </c>
      <c r="W226" s="98">
        <v>0</v>
      </c>
      <c r="X226" s="98">
        <v>0</v>
      </c>
      <c r="Y226" s="101">
        <f t="shared" si="221"/>
        <v>0</v>
      </c>
      <c r="Z226" s="101">
        <v>1</v>
      </c>
      <c r="AA226" s="183">
        <v>0</v>
      </c>
      <c r="AB226" s="99">
        <v>1</v>
      </c>
      <c r="AC226" s="98">
        <v>0</v>
      </c>
      <c r="AD226" s="98">
        <v>0</v>
      </c>
      <c r="AE226" s="101">
        <f t="shared" si="219"/>
        <v>0</v>
      </c>
      <c r="AF226" s="100">
        <v>0</v>
      </c>
      <c r="AG226" s="98">
        <v>0</v>
      </c>
      <c r="AH226" s="99">
        <f t="shared" si="220"/>
        <v>0</v>
      </c>
      <c r="AI226" s="101">
        <v>1</v>
      </c>
      <c r="AJ226" s="106"/>
    </row>
    <row r="227" spans="2:36" s="35" customFormat="1" ht="17.100000000000001" customHeight="1">
      <c r="B227" s="105"/>
      <c r="C227" s="54"/>
      <c r="D227" s="96"/>
      <c r="E227" s="111"/>
      <c r="F227" s="112"/>
      <c r="G227" s="113"/>
      <c r="H227" s="183">
        <v>1</v>
      </c>
      <c r="I227" s="98">
        <v>0</v>
      </c>
      <c r="J227" s="98">
        <v>0</v>
      </c>
      <c r="K227" s="101">
        <f t="shared" si="215"/>
        <v>0</v>
      </c>
      <c r="L227" s="100">
        <v>0</v>
      </c>
      <c r="M227" s="98">
        <v>0</v>
      </c>
      <c r="N227" s="101">
        <f t="shared" si="216"/>
        <v>0</v>
      </c>
      <c r="O227" s="100">
        <v>0</v>
      </c>
      <c r="P227" s="98">
        <v>0</v>
      </c>
      <c r="Q227" s="101">
        <f t="shared" si="217"/>
        <v>0</v>
      </c>
      <c r="R227" s="100">
        <v>0</v>
      </c>
      <c r="S227" s="98">
        <v>0</v>
      </c>
      <c r="T227" s="101">
        <f t="shared" si="218"/>
        <v>0</v>
      </c>
      <c r="U227" s="183">
        <v>1</v>
      </c>
      <c r="V227" s="99">
        <v>1</v>
      </c>
      <c r="W227" s="98">
        <v>0</v>
      </c>
      <c r="X227" s="98">
        <v>0</v>
      </c>
      <c r="Y227" s="101">
        <f t="shared" si="221"/>
        <v>0</v>
      </c>
      <c r="Z227" s="101">
        <v>1</v>
      </c>
      <c r="AA227" s="183">
        <v>0</v>
      </c>
      <c r="AB227" s="99">
        <v>1</v>
      </c>
      <c r="AC227" s="98">
        <v>0</v>
      </c>
      <c r="AD227" s="98">
        <v>0</v>
      </c>
      <c r="AE227" s="101">
        <f t="shared" si="219"/>
        <v>0</v>
      </c>
      <c r="AF227" s="100">
        <v>0</v>
      </c>
      <c r="AG227" s="98">
        <v>0</v>
      </c>
      <c r="AH227" s="99">
        <f t="shared" si="220"/>
        <v>0</v>
      </c>
      <c r="AI227" s="101">
        <v>1</v>
      </c>
      <c r="AJ227" s="106"/>
    </row>
    <row r="228" spans="2:36" s="126" customFormat="1" ht="17.100000000000001" customHeight="1" thickBot="1">
      <c r="B228" s="128"/>
      <c r="C228" s="154"/>
      <c r="D228" s="155"/>
      <c r="E228" s="156"/>
      <c r="F228" s="129"/>
      <c r="G228" s="130"/>
      <c r="H228" s="184">
        <v>1</v>
      </c>
      <c r="I228" s="361" t="s">
        <v>201</v>
      </c>
      <c r="J228" s="361"/>
      <c r="K228" s="131">
        <f>SUM(K221:K227)</f>
        <v>0</v>
      </c>
      <c r="L228" s="344" t="s">
        <v>201</v>
      </c>
      <c r="M228" s="345"/>
      <c r="N228" s="131">
        <f>SUM(N221:N227)</f>
        <v>0</v>
      </c>
      <c r="O228" s="344" t="s">
        <v>201</v>
      </c>
      <c r="P228" s="345"/>
      <c r="Q228" s="131">
        <f>SUM(Q221:Q227)</f>
        <v>0</v>
      </c>
      <c r="R228" s="344" t="s">
        <v>201</v>
      </c>
      <c r="S228" s="345"/>
      <c r="T228" s="131">
        <f>SUM(T221:T227)</f>
        <v>0</v>
      </c>
      <c r="U228" s="184">
        <v>1</v>
      </c>
      <c r="V228" s="160">
        <v>1</v>
      </c>
      <c r="W228" s="361" t="s">
        <v>201</v>
      </c>
      <c r="X228" s="361"/>
      <c r="Y228" s="131">
        <f>SUM(Y221:Y227)</f>
        <v>300</v>
      </c>
      <c r="Z228" s="133">
        <v>1</v>
      </c>
      <c r="AA228" s="184">
        <v>0</v>
      </c>
      <c r="AB228" s="160">
        <v>1</v>
      </c>
      <c r="AC228" s="361" t="s">
        <v>201</v>
      </c>
      <c r="AD228" s="361"/>
      <c r="AE228" s="131">
        <f>SUM(AE221:AE227)</f>
        <v>0</v>
      </c>
      <c r="AF228" s="362" t="s">
        <v>201</v>
      </c>
      <c r="AG228" s="361"/>
      <c r="AH228" s="144">
        <f>SUM(AH221:AH227)</f>
        <v>0</v>
      </c>
      <c r="AI228" s="133">
        <v>1</v>
      </c>
      <c r="AJ228" s="134"/>
    </row>
    <row r="229" spans="2:36" s="35" customFormat="1" ht="16.95" customHeight="1">
      <c r="B229" s="248"/>
      <c r="C229" s="249">
        <f>'3. Rekap Back Up Non Aspal '!C47</f>
        <v>3600</v>
      </c>
      <c r="D229" s="250">
        <f>'3. Rekap Back Up Non Aspal '!D47</f>
        <v>3650</v>
      </c>
      <c r="E229" s="251">
        <f>'3. Rekap Back Up Non Aspal '!E47</f>
        <v>3</v>
      </c>
      <c r="F229" s="112">
        <f>(100/((D229-C229)*E229))*((K236*0.05)+(N236*0.05)+(Q236*0.05)+(T236)+(Y236)+(AE236*1.5)+(AH236*1))</f>
        <v>0</v>
      </c>
      <c r="G229" s="113" t="str">
        <f>IF(F229&lt;=25,"RB",IF(F229&lt;=75,"RB",IF(F229&lt;=100,"RB","RB")))</f>
        <v>RB</v>
      </c>
      <c r="H229" s="183">
        <v>1</v>
      </c>
      <c r="I229" s="98">
        <v>0</v>
      </c>
      <c r="J229" s="98">
        <v>0</v>
      </c>
      <c r="K229" s="101">
        <f t="shared" ref="K229:K235" si="222">I229*J229</f>
        <v>0</v>
      </c>
      <c r="L229" s="98">
        <v>0</v>
      </c>
      <c r="M229" s="98">
        <v>0</v>
      </c>
      <c r="N229" s="101">
        <f t="shared" ref="N229:N235" si="223">L229*M229</f>
        <v>0</v>
      </c>
      <c r="O229" s="98">
        <v>0</v>
      </c>
      <c r="P229" s="98">
        <v>0</v>
      </c>
      <c r="Q229" s="101">
        <f t="shared" ref="Q229:Q235" si="224">O229*P229</f>
        <v>0</v>
      </c>
      <c r="R229" s="98">
        <v>0</v>
      </c>
      <c r="S229" s="98">
        <v>0</v>
      </c>
      <c r="T229" s="101">
        <f t="shared" ref="T229:T235" si="225">R229*S229</f>
        <v>0</v>
      </c>
      <c r="U229" s="183">
        <v>1</v>
      </c>
      <c r="V229" s="99">
        <v>1</v>
      </c>
      <c r="W229" s="98">
        <v>0</v>
      </c>
      <c r="X229" s="98">
        <v>0</v>
      </c>
      <c r="Y229" s="101">
        <f>W229*X229</f>
        <v>0</v>
      </c>
      <c r="Z229" s="101">
        <v>1</v>
      </c>
      <c r="AA229" s="183">
        <v>0</v>
      </c>
      <c r="AB229" s="99">
        <v>1</v>
      </c>
      <c r="AC229" s="98">
        <v>0</v>
      </c>
      <c r="AD229" s="98">
        <v>0</v>
      </c>
      <c r="AE229" s="101">
        <f t="shared" ref="AE229:AE235" si="226">AC229*AD229</f>
        <v>0</v>
      </c>
      <c r="AF229" s="98">
        <v>0</v>
      </c>
      <c r="AG229" s="98">
        <v>3</v>
      </c>
      <c r="AH229" s="99">
        <f t="shared" ref="AH229:AH235" si="227">AF229*AG229</f>
        <v>0</v>
      </c>
      <c r="AI229" s="101">
        <v>1</v>
      </c>
      <c r="AJ229" s="106"/>
    </row>
    <row r="230" spans="2:36" s="35" customFormat="1" ht="17.100000000000001" customHeight="1">
      <c r="B230" s="105"/>
      <c r="C230" s="54"/>
      <c r="D230" s="96"/>
      <c r="E230" s="111"/>
      <c r="F230" s="112"/>
      <c r="G230" s="113"/>
      <c r="H230" s="183">
        <v>1</v>
      </c>
      <c r="I230" s="98">
        <v>0</v>
      </c>
      <c r="J230" s="98">
        <v>0</v>
      </c>
      <c r="K230" s="101">
        <f t="shared" si="222"/>
        <v>0</v>
      </c>
      <c r="L230" s="100">
        <v>0</v>
      </c>
      <c r="M230" s="98">
        <v>0</v>
      </c>
      <c r="N230" s="101">
        <f t="shared" si="223"/>
        <v>0</v>
      </c>
      <c r="O230" s="100">
        <v>0</v>
      </c>
      <c r="P230" s="98">
        <v>0</v>
      </c>
      <c r="Q230" s="101">
        <f t="shared" si="224"/>
        <v>0</v>
      </c>
      <c r="R230" s="100">
        <v>0</v>
      </c>
      <c r="S230" s="98">
        <v>0</v>
      </c>
      <c r="T230" s="101">
        <f t="shared" si="225"/>
        <v>0</v>
      </c>
      <c r="U230" s="183">
        <v>1</v>
      </c>
      <c r="V230" s="99">
        <v>1</v>
      </c>
      <c r="W230" s="98">
        <v>0</v>
      </c>
      <c r="X230" s="98">
        <v>0</v>
      </c>
      <c r="Y230" s="101">
        <f t="shared" ref="Y230:Y235" si="228">W230*X230</f>
        <v>0</v>
      </c>
      <c r="Z230" s="101">
        <v>1</v>
      </c>
      <c r="AA230" s="183">
        <v>0</v>
      </c>
      <c r="AB230" s="99">
        <v>1</v>
      </c>
      <c r="AC230" s="98">
        <v>0</v>
      </c>
      <c r="AD230" s="98">
        <v>0</v>
      </c>
      <c r="AE230" s="101">
        <f t="shared" si="226"/>
        <v>0</v>
      </c>
      <c r="AF230" s="100">
        <v>0</v>
      </c>
      <c r="AG230" s="98">
        <v>0</v>
      </c>
      <c r="AH230" s="99">
        <f t="shared" si="227"/>
        <v>0</v>
      </c>
      <c r="AI230" s="101">
        <v>1</v>
      </c>
      <c r="AJ230" s="106"/>
    </row>
    <row r="231" spans="2:36" s="35" customFormat="1" ht="17.100000000000001" customHeight="1">
      <c r="B231" s="105"/>
      <c r="C231" s="54"/>
      <c r="D231" s="96"/>
      <c r="E231" s="111"/>
      <c r="F231" s="112"/>
      <c r="G231" s="113"/>
      <c r="H231" s="183">
        <v>1</v>
      </c>
      <c r="I231" s="98">
        <v>0</v>
      </c>
      <c r="J231" s="98">
        <v>0</v>
      </c>
      <c r="K231" s="101">
        <f t="shared" si="222"/>
        <v>0</v>
      </c>
      <c r="L231" s="100">
        <v>0</v>
      </c>
      <c r="M231" s="98">
        <v>0</v>
      </c>
      <c r="N231" s="101">
        <f t="shared" si="223"/>
        <v>0</v>
      </c>
      <c r="O231" s="100">
        <v>0</v>
      </c>
      <c r="P231" s="98">
        <v>0</v>
      </c>
      <c r="Q231" s="101">
        <f t="shared" si="224"/>
        <v>0</v>
      </c>
      <c r="R231" s="100">
        <v>0</v>
      </c>
      <c r="S231" s="98">
        <v>0</v>
      </c>
      <c r="T231" s="101">
        <f t="shared" si="225"/>
        <v>0</v>
      </c>
      <c r="U231" s="183">
        <v>1</v>
      </c>
      <c r="V231" s="99">
        <v>1</v>
      </c>
      <c r="W231" s="98">
        <v>0</v>
      </c>
      <c r="X231" s="98">
        <v>0</v>
      </c>
      <c r="Y231" s="101">
        <f t="shared" si="228"/>
        <v>0</v>
      </c>
      <c r="Z231" s="101">
        <v>1</v>
      </c>
      <c r="AA231" s="183">
        <v>0</v>
      </c>
      <c r="AB231" s="99">
        <v>1</v>
      </c>
      <c r="AC231" s="98">
        <v>0</v>
      </c>
      <c r="AD231" s="98">
        <v>0</v>
      </c>
      <c r="AE231" s="101">
        <f t="shared" si="226"/>
        <v>0</v>
      </c>
      <c r="AF231" s="100">
        <v>0</v>
      </c>
      <c r="AG231" s="98">
        <v>0</v>
      </c>
      <c r="AH231" s="99">
        <f t="shared" si="227"/>
        <v>0</v>
      </c>
      <c r="AI231" s="101">
        <v>1</v>
      </c>
      <c r="AJ231" s="106"/>
    </row>
    <row r="232" spans="2:36" s="35" customFormat="1" ht="17.100000000000001" customHeight="1">
      <c r="B232" s="105"/>
      <c r="C232" s="54"/>
      <c r="D232" s="96"/>
      <c r="E232" s="111"/>
      <c r="F232" s="112"/>
      <c r="G232" s="113"/>
      <c r="H232" s="183">
        <v>1</v>
      </c>
      <c r="I232" s="98">
        <v>0</v>
      </c>
      <c r="J232" s="98">
        <v>0</v>
      </c>
      <c r="K232" s="101">
        <f t="shared" si="222"/>
        <v>0</v>
      </c>
      <c r="L232" s="100">
        <v>0</v>
      </c>
      <c r="M232" s="98">
        <v>0</v>
      </c>
      <c r="N232" s="101">
        <f t="shared" si="223"/>
        <v>0</v>
      </c>
      <c r="O232" s="100">
        <v>0</v>
      </c>
      <c r="P232" s="98">
        <v>0</v>
      </c>
      <c r="Q232" s="101">
        <f t="shared" si="224"/>
        <v>0</v>
      </c>
      <c r="R232" s="100">
        <v>0</v>
      </c>
      <c r="S232" s="98">
        <v>0</v>
      </c>
      <c r="T232" s="101">
        <f t="shared" si="225"/>
        <v>0</v>
      </c>
      <c r="U232" s="183">
        <v>1</v>
      </c>
      <c r="V232" s="99">
        <v>1</v>
      </c>
      <c r="W232" s="98">
        <v>0</v>
      </c>
      <c r="X232" s="98">
        <v>0</v>
      </c>
      <c r="Y232" s="101">
        <f t="shared" si="228"/>
        <v>0</v>
      </c>
      <c r="Z232" s="101">
        <v>1</v>
      </c>
      <c r="AA232" s="183">
        <v>0</v>
      </c>
      <c r="AB232" s="99">
        <v>1</v>
      </c>
      <c r="AC232" s="98">
        <v>0</v>
      </c>
      <c r="AD232" s="98">
        <v>0</v>
      </c>
      <c r="AE232" s="101">
        <f t="shared" si="226"/>
        <v>0</v>
      </c>
      <c r="AF232" s="100">
        <v>0</v>
      </c>
      <c r="AG232" s="98">
        <v>0</v>
      </c>
      <c r="AH232" s="99">
        <f t="shared" si="227"/>
        <v>0</v>
      </c>
      <c r="AI232" s="101">
        <v>1</v>
      </c>
      <c r="AJ232" s="106"/>
    </row>
    <row r="233" spans="2:36" s="35" customFormat="1" ht="17.100000000000001" customHeight="1">
      <c r="B233" s="105"/>
      <c r="C233" s="54"/>
      <c r="D233" s="96"/>
      <c r="E233" s="111"/>
      <c r="F233" s="112"/>
      <c r="G233" s="113"/>
      <c r="H233" s="183">
        <v>1</v>
      </c>
      <c r="I233" s="98">
        <v>0</v>
      </c>
      <c r="J233" s="98">
        <v>0</v>
      </c>
      <c r="K233" s="101">
        <f t="shared" si="222"/>
        <v>0</v>
      </c>
      <c r="L233" s="100">
        <v>0</v>
      </c>
      <c r="M233" s="98">
        <v>0</v>
      </c>
      <c r="N233" s="101">
        <f t="shared" si="223"/>
        <v>0</v>
      </c>
      <c r="O233" s="100">
        <v>0</v>
      </c>
      <c r="P233" s="98">
        <v>0</v>
      </c>
      <c r="Q233" s="101">
        <f t="shared" si="224"/>
        <v>0</v>
      </c>
      <c r="R233" s="100">
        <v>0</v>
      </c>
      <c r="S233" s="98">
        <v>0</v>
      </c>
      <c r="T233" s="101">
        <f t="shared" si="225"/>
        <v>0</v>
      </c>
      <c r="U233" s="183">
        <v>1</v>
      </c>
      <c r="V233" s="99">
        <v>1</v>
      </c>
      <c r="W233" s="98">
        <v>0</v>
      </c>
      <c r="X233" s="98">
        <v>0</v>
      </c>
      <c r="Y233" s="101">
        <f t="shared" si="228"/>
        <v>0</v>
      </c>
      <c r="Z233" s="101">
        <v>1</v>
      </c>
      <c r="AA233" s="183">
        <v>0</v>
      </c>
      <c r="AB233" s="99">
        <v>1</v>
      </c>
      <c r="AC233" s="98">
        <v>0</v>
      </c>
      <c r="AD233" s="98">
        <v>0</v>
      </c>
      <c r="AE233" s="101">
        <f t="shared" si="226"/>
        <v>0</v>
      </c>
      <c r="AF233" s="100">
        <v>0</v>
      </c>
      <c r="AG233" s="98">
        <v>0</v>
      </c>
      <c r="AH233" s="99">
        <f t="shared" si="227"/>
        <v>0</v>
      </c>
      <c r="AI233" s="101">
        <v>1</v>
      </c>
      <c r="AJ233" s="106"/>
    </row>
    <row r="234" spans="2:36" s="35" customFormat="1" ht="17.100000000000001" customHeight="1">
      <c r="B234" s="105"/>
      <c r="C234" s="54"/>
      <c r="D234" s="96"/>
      <c r="E234" s="111"/>
      <c r="F234" s="112"/>
      <c r="G234" s="113"/>
      <c r="H234" s="183">
        <v>1</v>
      </c>
      <c r="I234" s="98">
        <v>0</v>
      </c>
      <c r="J234" s="98">
        <v>0</v>
      </c>
      <c r="K234" s="101">
        <f t="shared" si="222"/>
        <v>0</v>
      </c>
      <c r="L234" s="100">
        <v>0</v>
      </c>
      <c r="M234" s="98">
        <v>0</v>
      </c>
      <c r="N234" s="101">
        <f t="shared" si="223"/>
        <v>0</v>
      </c>
      <c r="O234" s="100">
        <v>0</v>
      </c>
      <c r="P234" s="98">
        <v>0</v>
      </c>
      <c r="Q234" s="101">
        <f t="shared" si="224"/>
        <v>0</v>
      </c>
      <c r="R234" s="100">
        <v>0</v>
      </c>
      <c r="S234" s="98">
        <v>0</v>
      </c>
      <c r="T234" s="101">
        <f t="shared" si="225"/>
        <v>0</v>
      </c>
      <c r="U234" s="183">
        <v>1</v>
      </c>
      <c r="V234" s="99">
        <v>1</v>
      </c>
      <c r="W234" s="98">
        <v>0</v>
      </c>
      <c r="X234" s="98">
        <v>0</v>
      </c>
      <c r="Y234" s="101">
        <f t="shared" si="228"/>
        <v>0</v>
      </c>
      <c r="Z234" s="101">
        <v>1</v>
      </c>
      <c r="AA234" s="183">
        <v>0</v>
      </c>
      <c r="AB234" s="99">
        <v>1</v>
      </c>
      <c r="AC234" s="98">
        <v>0</v>
      </c>
      <c r="AD234" s="98">
        <v>0</v>
      </c>
      <c r="AE234" s="101">
        <f t="shared" si="226"/>
        <v>0</v>
      </c>
      <c r="AF234" s="100">
        <v>0</v>
      </c>
      <c r="AG234" s="98">
        <v>0</v>
      </c>
      <c r="AH234" s="99">
        <f t="shared" si="227"/>
        <v>0</v>
      </c>
      <c r="AI234" s="101">
        <v>1</v>
      </c>
      <c r="AJ234" s="106"/>
    </row>
    <row r="235" spans="2:36" s="35" customFormat="1" ht="17.100000000000001" customHeight="1">
      <c r="B235" s="105"/>
      <c r="C235" s="54"/>
      <c r="D235" s="96"/>
      <c r="E235" s="111"/>
      <c r="F235" s="112"/>
      <c r="G235" s="113"/>
      <c r="H235" s="183">
        <v>1</v>
      </c>
      <c r="I235" s="98">
        <v>0</v>
      </c>
      <c r="J235" s="98">
        <v>0</v>
      </c>
      <c r="K235" s="101">
        <f t="shared" si="222"/>
        <v>0</v>
      </c>
      <c r="L235" s="100">
        <v>0</v>
      </c>
      <c r="M235" s="98">
        <v>0</v>
      </c>
      <c r="N235" s="101">
        <f t="shared" si="223"/>
        <v>0</v>
      </c>
      <c r="O235" s="100">
        <v>0</v>
      </c>
      <c r="P235" s="98">
        <v>0</v>
      </c>
      <c r="Q235" s="101">
        <f t="shared" si="224"/>
        <v>0</v>
      </c>
      <c r="R235" s="100">
        <v>0</v>
      </c>
      <c r="S235" s="98">
        <v>0</v>
      </c>
      <c r="T235" s="101">
        <f t="shared" si="225"/>
        <v>0</v>
      </c>
      <c r="U235" s="183">
        <v>1</v>
      </c>
      <c r="V235" s="99">
        <v>1</v>
      </c>
      <c r="W235" s="98">
        <v>0</v>
      </c>
      <c r="X235" s="98">
        <v>0</v>
      </c>
      <c r="Y235" s="101">
        <f t="shared" si="228"/>
        <v>0</v>
      </c>
      <c r="Z235" s="101">
        <v>1</v>
      </c>
      <c r="AA235" s="183">
        <v>0</v>
      </c>
      <c r="AB235" s="99">
        <v>1</v>
      </c>
      <c r="AC235" s="98">
        <v>0</v>
      </c>
      <c r="AD235" s="98">
        <v>0</v>
      </c>
      <c r="AE235" s="101">
        <f t="shared" si="226"/>
        <v>0</v>
      </c>
      <c r="AF235" s="100">
        <v>0</v>
      </c>
      <c r="AG235" s="98">
        <v>0</v>
      </c>
      <c r="AH235" s="99">
        <f t="shared" si="227"/>
        <v>0</v>
      </c>
      <c r="AI235" s="101">
        <v>1</v>
      </c>
      <c r="AJ235" s="106"/>
    </row>
    <row r="236" spans="2:36" s="126" customFormat="1" ht="17.100000000000001" customHeight="1">
      <c r="B236" s="118"/>
      <c r="C236" s="119"/>
      <c r="D236" s="120"/>
      <c r="E236" s="121"/>
      <c r="F236" s="122"/>
      <c r="G236" s="123"/>
      <c r="H236" s="183">
        <v>1</v>
      </c>
      <c r="I236" s="363" t="s">
        <v>201</v>
      </c>
      <c r="J236" s="363"/>
      <c r="K236" s="124">
        <f>SUM(K229:K235)</f>
        <v>0</v>
      </c>
      <c r="L236" s="341" t="s">
        <v>201</v>
      </c>
      <c r="M236" s="342"/>
      <c r="N236" s="124">
        <f>SUM(N229:N235)</f>
        <v>0</v>
      </c>
      <c r="O236" s="341" t="s">
        <v>201</v>
      </c>
      <c r="P236" s="342"/>
      <c r="Q236" s="124">
        <f>SUM(Q229:Q235)</f>
        <v>0</v>
      </c>
      <c r="R236" s="341" t="s">
        <v>201</v>
      </c>
      <c r="S236" s="342"/>
      <c r="T236" s="124">
        <f>SUM(T229:T235)</f>
        <v>0</v>
      </c>
      <c r="U236" s="183">
        <v>1</v>
      </c>
      <c r="V236" s="99">
        <v>1</v>
      </c>
      <c r="W236" s="363" t="s">
        <v>201</v>
      </c>
      <c r="X236" s="363"/>
      <c r="Y236" s="124">
        <f>SUM(Y229:Y235)</f>
        <v>0</v>
      </c>
      <c r="Z236" s="101">
        <v>1</v>
      </c>
      <c r="AA236" s="183">
        <v>0</v>
      </c>
      <c r="AB236" s="99">
        <v>1</v>
      </c>
      <c r="AC236" s="363" t="s">
        <v>201</v>
      </c>
      <c r="AD236" s="363"/>
      <c r="AE236" s="124">
        <f>SUM(AE229:AE235)</f>
        <v>0</v>
      </c>
      <c r="AF236" s="364" t="s">
        <v>201</v>
      </c>
      <c r="AG236" s="363"/>
      <c r="AH236" s="143">
        <f>SUM(AH229:AH235)</f>
        <v>0</v>
      </c>
      <c r="AI236" s="101">
        <v>1</v>
      </c>
      <c r="AJ236" s="125"/>
    </row>
    <row r="237" spans="2:36" s="35" customFormat="1" ht="16.95" customHeight="1">
      <c r="B237" s="105"/>
      <c r="C237" s="54">
        <f>'3. Rekap Back Up Non Aspal '!C50</f>
        <v>5400</v>
      </c>
      <c r="D237" s="96">
        <f>'3. Rekap Back Up Non Aspal '!D50</f>
        <v>5500</v>
      </c>
      <c r="E237" s="111">
        <f>'3. Rekap Back Up Non Aspal '!E50</f>
        <v>4</v>
      </c>
      <c r="F237" s="112">
        <f>(100/((D237-C237)*E237))*((K244*0.05)+(N244*0.05)+(Q244*0.05)+(T244)+(Y244)+(AE244*1.5)+(AH244*1))</f>
        <v>75</v>
      </c>
      <c r="G237" s="113" t="str">
        <f>IF(F237&lt;=25,"RB",IF(F237&lt;=75,"RB",IF(F237&lt;=100,"RB","RB")))</f>
        <v>RB</v>
      </c>
      <c r="H237" s="183">
        <v>1</v>
      </c>
      <c r="I237" s="98">
        <v>0</v>
      </c>
      <c r="J237" s="98">
        <v>0</v>
      </c>
      <c r="K237" s="101">
        <f t="shared" ref="K237:K243" si="229">I237*J237</f>
        <v>0</v>
      </c>
      <c r="L237" s="98">
        <v>0</v>
      </c>
      <c r="M237" s="98">
        <v>0</v>
      </c>
      <c r="N237" s="101">
        <f t="shared" ref="N237:N243" si="230">L237*M237</f>
        <v>0</v>
      </c>
      <c r="O237" s="98">
        <v>0</v>
      </c>
      <c r="P237" s="98">
        <v>0</v>
      </c>
      <c r="Q237" s="101">
        <f t="shared" ref="Q237:Q243" si="231">O237*P237</f>
        <v>0</v>
      </c>
      <c r="R237" s="98">
        <v>0</v>
      </c>
      <c r="S237" s="98">
        <v>0</v>
      </c>
      <c r="T237" s="101">
        <f t="shared" ref="T237:T243" si="232">R237*S237</f>
        <v>0</v>
      </c>
      <c r="U237" s="183">
        <v>3</v>
      </c>
      <c r="V237" s="99">
        <v>3</v>
      </c>
      <c r="W237" s="98">
        <v>100</v>
      </c>
      <c r="X237" s="98">
        <v>3</v>
      </c>
      <c r="Y237" s="101">
        <f>W237*X237</f>
        <v>300</v>
      </c>
      <c r="Z237" s="101">
        <v>1</v>
      </c>
      <c r="AA237" s="183">
        <v>0</v>
      </c>
      <c r="AB237" s="99">
        <v>1</v>
      </c>
      <c r="AC237" s="98">
        <v>0</v>
      </c>
      <c r="AD237" s="98">
        <v>0</v>
      </c>
      <c r="AE237" s="101">
        <f t="shared" ref="AE237:AE243" si="233">AC237*AD237</f>
        <v>0</v>
      </c>
      <c r="AF237" s="98">
        <v>0</v>
      </c>
      <c r="AG237" s="98">
        <v>3</v>
      </c>
      <c r="AH237" s="99">
        <f t="shared" ref="AH237:AH243" si="234">AF237*AG237</f>
        <v>0</v>
      </c>
      <c r="AI237" s="101">
        <v>1</v>
      </c>
      <c r="AJ237" s="106"/>
    </row>
    <row r="238" spans="2:36" s="35" customFormat="1" ht="17.100000000000001" customHeight="1">
      <c r="B238" s="105"/>
      <c r="C238" s="54"/>
      <c r="D238" s="96"/>
      <c r="E238" s="111"/>
      <c r="F238" s="112"/>
      <c r="G238" s="113"/>
      <c r="H238" s="183">
        <v>1</v>
      </c>
      <c r="I238" s="98">
        <v>0</v>
      </c>
      <c r="J238" s="98">
        <v>0</v>
      </c>
      <c r="K238" s="101">
        <f t="shared" si="229"/>
        <v>0</v>
      </c>
      <c r="L238" s="100">
        <v>0</v>
      </c>
      <c r="M238" s="98">
        <v>0</v>
      </c>
      <c r="N238" s="101">
        <f t="shared" si="230"/>
        <v>0</v>
      </c>
      <c r="O238" s="100">
        <v>0</v>
      </c>
      <c r="P238" s="98">
        <v>0</v>
      </c>
      <c r="Q238" s="101">
        <f t="shared" si="231"/>
        <v>0</v>
      </c>
      <c r="R238" s="100">
        <v>0</v>
      </c>
      <c r="S238" s="98">
        <v>0</v>
      </c>
      <c r="T238" s="101">
        <f t="shared" si="232"/>
        <v>0</v>
      </c>
      <c r="U238" s="183">
        <v>1</v>
      </c>
      <c r="V238" s="99">
        <v>1</v>
      </c>
      <c r="W238" s="98">
        <v>0</v>
      </c>
      <c r="X238" s="98">
        <v>0</v>
      </c>
      <c r="Y238" s="101">
        <f t="shared" ref="Y238:Y243" si="235">W238*X238</f>
        <v>0</v>
      </c>
      <c r="Z238" s="101">
        <v>1</v>
      </c>
      <c r="AA238" s="183">
        <v>0</v>
      </c>
      <c r="AB238" s="99">
        <v>1</v>
      </c>
      <c r="AC238" s="98">
        <v>0</v>
      </c>
      <c r="AD238" s="98">
        <v>0</v>
      </c>
      <c r="AE238" s="101">
        <f t="shared" si="233"/>
        <v>0</v>
      </c>
      <c r="AF238" s="100">
        <v>0</v>
      </c>
      <c r="AG238" s="98">
        <v>0</v>
      </c>
      <c r="AH238" s="99">
        <f t="shared" si="234"/>
        <v>0</v>
      </c>
      <c r="AI238" s="101">
        <v>1</v>
      </c>
      <c r="AJ238" s="106"/>
    </row>
    <row r="239" spans="2:36" s="35" customFormat="1" ht="17.100000000000001" customHeight="1">
      <c r="B239" s="105"/>
      <c r="C239" s="54"/>
      <c r="D239" s="96"/>
      <c r="E239" s="111"/>
      <c r="F239" s="112"/>
      <c r="G239" s="113"/>
      <c r="H239" s="183">
        <v>1</v>
      </c>
      <c r="I239" s="98">
        <v>0</v>
      </c>
      <c r="J239" s="98">
        <v>0</v>
      </c>
      <c r="K239" s="101">
        <f t="shared" si="229"/>
        <v>0</v>
      </c>
      <c r="L239" s="100">
        <v>0</v>
      </c>
      <c r="M239" s="98">
        <v>0</v>
      </c>
      <c r="N239" s="101">
        <f t="shared" si="230"/>
        <v>0</v>
      </c>
      <c r="O239" s="100">
        <v>0</v>
      </c>
      <c r="P239" s="98">
        <v>0</v>
      </c>
      <c r="Q239" s="101">
        <f t="shared" si="231"/>
        <v>0</v>
      </c>
      <c r="R239" s="100">
        <v>0</v>
      </c>
      <c r="S239" s="98">
        <v>0</v>
      </c>
      <c r="T239" s="101">
        <f t="shared" si="232"/>
        <v>0</v>
      </c>
      <c r="U239" s="183">
        <v>1</v>
      </c>
      <c r="V239" s="99">
        <v>1</v>
      </c>
      <c r="W239" s="98">
        <v>0</v>
      </c>
      <c r="X239" s="98">
        <v>0</v>
      </c>
      <c r="Y239" s="101">
        <f t="shared" si="235"/>
        <v>0</v>
      </c>
      <c r="Z239" s="101">
        <v>1</v>
      </c>
      <c r="AA239" s="183">
        <v>0</v>
      </c>
      <c r="AB239" s="99">
        <v>1</v>
      </c>
      <c r="AC239" s="98">
        <v>0</v>
      </c>
      <c r="AD239" s="98">
        <v>0</v>
      </c>
      <c r="AE239" s="101">
        <f t="shared" si="233"/>
        <v>0</v>
      </c>
      <c r="AF239" s="100">
        <v>0</v>
      </c>
      <c r="AG239" s="98">
        <v>0</v>
      </c>
      <c r="AH239" s="99">
        <f t="shared" si="234"/>
        <v>0</v>
      </c>
      <c r="AI239" s="101">
        <v>1</v>
      </c>
      <c r="AJ239" s="106"/>
    </row>
    <row r="240" spans="2:36" s="35" customFormat="1" ht="17.100000000000001" customHeight="1">
      <c r="B240" s="105"/>
      <c r="C240" s="54"/>
      <c r="D240" s="96"/>
      <c r="E240" s="111"/>
      <c r="F240" s="112"/>
      <c r="G240" s="113"/>
      <c r="H240" s="183">
        <v>1</v>
      </c>
      <c r="I240" s="98">
        <v>0</v>
      </c>
      <c r="J240" s="98">
        <v>0</v>
      </c>
      <c r="K240" s="101">
        <f t="shared" si="229"/>
        <v>0</v>
      </c>
      <c r="L240" s="100">
        <v>0</v>
      </c>
      <c r="M240" s="98">
        <v>0</v>
      </c>
      <c r="N240" s="101">
        <f t="shared" si="230"/>
        <v>0</v>
      </c>
      <c r="O240" s="100">
        <v>0</v>
      </c>
      <c r="P240" s="98">
        <v>0</v>
      </c>
      <c r="Q240" s="101">
        <f t="shared" si="231"/>
        <v>0</v>
      </c>
      <c r="R240" s="100">
        <v>0</v>
      </c>
      <c r="S240" s="98">
        <v>0</v>
      </c>
      <c r="T240" s="101">
        <f t="shared" si="232"/>
        <v>0</v>
      </c>
      <c r="U240" s="183">
        <v>1</v>
      </c>
      <c r="V240" s="99">
        <v>1</v>
      </c>
      <c r="W240" s="98">
        <v>0</v>
      </c>
      <c r="X240" s="98">
        <v>0</v>
      </c>
      <c r="Y240" s="101">
        <f t="shared" si="235"/>
        <v>0</v>
      </c>
      <c r="Z240" s="101">
        <v>1</v>
      </c>
      <c r="AA240" s="183">
        <v>0</v>
      </c>
      <c r="AB240" s="99">
        <v>1</v>
      </c>
      <c r="AC240" s="98">
        <v>0</v>
      </c>
      <c r="AD240" s="98">
        <v>0</v>
      </c>
      <c r="AE240" s="101">
        <f t="shared" si="233"/>
        <v>0</v>
      </c>
      <c r="AF240" s="100">
        <v>0</v>
      </c>
      <c r="AG240" s="98">
        <v>0</v>
      </c>
      <c r="AH240" s="99">
        <f t="shared" si="234"/>
        <v>0</v>
      </c>
      <c r="AI240" s="101">
        <v>1</v>
      </c>
      <c r="AJ240" s="106"/>
    </row>
    <row r="241" spans="2:36" s="35" customFormat="1" ht="17.100000000000001" customHeight="1">
      <c r="B241" s="105"/>
      <c r="C241" s="54"/>
      <c r="D241" s="96"/>
      <c r="E241" s="111"/>
      <c r="F241" s="112"/>
      <c r="G241" s="113"/>
      <c r="H241" s="183">
        <v>1</v>
      </c>
      <c r="I241" s="98">
        <v>0</v>
      </c>
      <c r="J241" s="98">
        <v>0</v>
      </c>
      <c r="K241" s="101">
        <f t="shared" si="229"/>
        <v>0</v>
      </c>
      <c r="L241" s="100">
        <v>0</v>
      </c>
      <c r="M241" s="98">
        <v>0</v>
      </c>
      <c r="N241" s="101">
        <f t="shared" si="230"/>
        <v>0</v>
      </c>
      <c r="O241" s="100">
        <v>0</v>
      </c>
      <c r="P241" s="98">
        <v>0</v>
      </c>
      <c r="Q241" s="101">
        <f t="shared" si="231"/>
        <v>0</v>
      </c>
      <c r="R241" s="100">
        <v>0</v>
      </c>
      <c r="S241" s="98">
        <v>0</v>
      </c>
      <c r="T241" s="101">
        <f t="shared" si="232"/>
        <v>0</v>
      </c>
      <c r="U241" s="183">
        <v>1</v>
      </c>
      <c r="V241" s="99">
        <v>1</v>
      </c>
      <c r="W241" s="98">
        <v>0</v>
      </c>
      <c r="X241" s="98">
        <v>0</v>
      </c>
      <c r="Y241" s="101">
        <f t="shared" si="235"/>
        <v>0</v>
      </c>
      <c r="Z241" s="101">
        <v>1</v>
      </c>
      <c r="AA241" s="183">
        <v>0</v>
      </c>
      <c r="AB241" s="99">
        <v>1</v>
      </c>
      <c r="AC241" s="98">
        <v>0</v>
      </c>
      <c r="AD241" s="98">
        <v>0</v>
      </c>
      <c r="AE241" s="101">
        <f t="shared" si="233"/>
        <v>0</v>
      </c>
      <c r="AF241" s="100">
        <v>0</v>
      </c>
      <c r="AG241" s="98">
        <v>0</v>
      </c>
      <c r="AH241" s="99">
        <f t="shared" si="234"/>
        <v>0</v>
      </c>
      <c r="AI241" s="101">
        <v>1</v>
      </c>
      <c r="AJ241" s="106"/>
    </row>
    <row r="242" spans="2:36" s="35" customFormat="1" ht="17.100000000000001" customHeight="1">
      <c r="B242" s="105"/>
      <c r="C242" s="54"/>
      <c r="D242" s="96"/>
      <c r="E242" s="111"/>
      <c r="F242" s="112"/>
      <c r="G242" s="113"/>
      <c r="H242" s="183">
        <v>1</v>
      </c>
      <c r="I242" s="98">
        <v>0</v>
      </c>
      <c r="J242" s="98">
        <v>0</v>
      </c>
      <c r="K242" s="101">
        <f t="shared" si="229"/>
        <v>0</v>
      </c>
      <c r="L242" s="100">
        <v>0</v>
      </c>
      <c r="M242" s="98">
        <v>0</v>
      </c>
      <c r="N242" s="101">
        <f t="shared" si="230"/>
        <v>0</v>
      </c>
      <c r="O242" s="100">
        <v>0</v>
      </c>
      <c r="P242" s="98">
        <v>0</v>
      </c>
      <c r="Q242" s="101">
        <f t="shared" si="231"/>
        <v>0</v>
      </c>
      <c r="R242" s="100">
        <v>0</v>
      </c>
      <c r="S242" s="98">
        <v>0</v>
      </c>
      <c r="T242" s="101">
        <f t="shared" si="232"/>
        <v>0</v>
      </c>
      <c r="U242" s="183">
        <v>1</v>
      </c>
      <c r="V242" s="99">
        <v>1</v>
      </c>
      <c r="W242" s="98">
        <v>0</v>
      </c>
      <c r="X242" s="98">
        <v>0</v>
      </c>
      <c r="Y242" s="101">
        <f t="shared" si="235"/>
        <v>0</v>
      </c>
      <c r="Z242" s="101">
        <v>1</v>
      </c>
      <c r="AA242" s="183">
        <v>0</v>
      </c>
      <c r="AB242" s="99">
        <v>1</v>
      </c>
      <c r="AC242" s="98">
        <v>0</v>
      </c>
      <c r="AD242" s="98">
        <v>0</v>
      </c>
      <c r="AE242" s="101">
        <f t="shared" si="233"/>
        <v>0</v>
      </c>
      <c r="AF242" s="100">
        <v>0</v>
      </c>
      <c r="AG242" s="98">
        <v>0</v>
      </c>
      <c r="AH242" s="99">
        <f t="shared" si="234"/>
        <v>0</v>
      </c>
      <c r="AI242" s="101">
        <v>1</v>
      </c>
      <c r="AJ242" s="106"/>
    </row>
    <row r="243" spans="2:36" s="35" customFormat="1" ht="17.100000000000001" customHeight="1">
      <c r="B243" s="105"/>
      <c r="C243" s="54"/>
      <c r="D243" s="96"/>
      <c r="E243" s="111"/>
      <c r="F243" s="112"/>
      <c r="G243" s="113"/>
      <c r="H243" s="183">
        <v>1</v>
      </c>
      <c r="I243" s="98">
        <v>0</v>
      </c>
      <c r="J243" s="98">
        <v>0</v>
      </c>
      <c r="K243" s="101">
        <f t="shared" si="229"/>
        <v>0</v>
      </c>
      <c r="L243" s="100">
        <v>0</v>
      </c>
      <c r="M243" s="98">
        <v>0</v>
      </c>
      <c r="N243" s="101">
        <f t="shared" si="230"/>
        <v>0</v>
      </c>
      <c r="O243" s="100">
        <v>0</v>
      </c>
      <c r="P243" s="98">
        <v>0</v>
      </c>
      <c r="Q243" s="101">
        <f t="shared" si="231"/>
        <v>0</v>
      </c>
      <c r="R243" s="100">
        <v>0</v>
      </c>
      <c r="S243" s="98">
        <v>0</v>
      </c>
      <c r="T243" s="101">
        <f t="shared" si="232"/>
        <v>0</v>
      </c>
      <c r="U243" s="183">
        <v>1</v>
      </c>
      <c r="V243" s="99">
        <v>1</v>
      </c>
      <c r="W243" s="98">
        <v>0</v>
      </c>
      <c r="X243" s="98">
        <v>0</v>
      </c>
      <c r="Y243" s="101">
        <f t="shared" si="235"/>
        <v>0</v>
      </c>
      <c r="Z243" s="101">
        <v>1</v>
      </c>
      <c r="AA243" s="183">
        <v>0</v>
      </c>
      <c r="AB243" s="99">
        <v>1</v>
      </c>
      <c r="AC243" s="98">
        <v>0</v>
      </c>
      <c r="AD243" s="98">
        <v>0</v>
      </c>
      <c r="AE243" s="101">
        <f t="shared" si="233"/>
        <v>0</v>
      </c>
      <c r="AF243" s="100">
        <v>0</v>
      </c>
      <c r="AG243" s="98">
        <v>0</v>
      </c>
      <c r="AH243" s="99">
        <f t="shared" si="234"/>
        <v>0</v>
      </c>
      <c r="AI243" s="101">
        <v>1</v>
      </c>
      <c r="AJ243" s="106"/>
    </row>
    <row r="244" spans="2:36" s="126" customFormat="1" ht="17.100000000000001" customHeight="1">
      <c r="B244" s="118"/>
      <c r="C244" s="119"/>
      <c r="D244" s="120"/>
      <c r="E244" s="121"/>
      <c r="F244" s="122"/>
      <c r="G244" s="123"/>
      <c r="H244" s="183">
        <v>1</v>
      </c>
      <c r="I244" s="363" t="s">
        <v>201</v>
      </c>
      <c r="J244" s="363"/>
      <c r="K244" s="124">
        <f>SUM(K237:K243)</f>
        <v>0</v>
      </c>
      <c r="L244" s="341" t="s">
        <v>201</v>
      </c>
      <c r="M244" s="342"/>
      <c r="N244" s="124">
        <f>SUM(N237:N243)</f>
        <v>0</v>
      </c>
      <c r="O244" s="341" t="s">
        <v>201</v>
      </c>
      <c r="P244" s="342"/>
      <c r="Q244" s="124">
        <f>SUM(Q237:Q243)</f>
        <v>0</v>
      </c>
      <c r="R244" s="341" t="s">
        <v>201</v>
      </c>
      <c r="S244" s="342"/>
      <c r="T244" s="124">
        <f>SUM(T237:T243)</f>
        <v>0</v>
      </c>
      <c r="U244" s="183">
        <v>1</v>
      </c>
      <c r="V244" s="99">
        <v>1</v>
      </c>
      <c r="W244" s="363" t="s">
        <v>201</v>
      </c>
      <c r="X244" s="363"/>
      <c r="Y244" s="124">
        <f>SUM(Y237:Y243)</f>
        <v>300</v>
      </c>
      <c r="Z244" s="101">
        <v>1</v>
      </c>
      <c r="AA244" s="183">
        <v>0</v>
      </c>
      <c r="AB244" s="99">
        <v>1</v>
      </c>
      <c r="AC244" s="363" t="s">
        <v>201</v>
      </c>
      <c r="AD244" s="363"/>
      <c r="AE244" s="124">
        <f>SUM(AE237:AE243)</f>
        <v>0</v>
      </c>
      <c r="AF244" s="364" t="s">
        <v>201</v>
      </c>
      <c r="AG244" s="363"/>
      <c r="AH244" s="143">
        <f>SUM(AH237:AH243)</f>
        <v>0</v>
      </c>
      <c r="AI244" s="101">
        <v>1</v>
      </c>
      <c r="AJ244" s="125"/>
    </row>
    <row r="245" spans="2:36" s="35" customFormat="1" ht="16.95" customHeight="1">
      <c r="B245" s="105"/>
      <c r="C245" s="54">
        <f>'3. Rekap Back Up Non Aspal '!C51</f>
        <v>5500</v>
      </c>
      <c r="D245" s="96">
        <f>'3. Rekap Back Up Non Aspal '!D51</f>
        <v>5600</v>
      </c>
      <c r="E245" s="111">
        <f>'3. Rekap Back Up Non Aspal '!E51</f>
        <v>4</v>
      </c>
      <c r="F245" s="112">
        <f>(100/((D245-C245)*E245))*((K252*0.05)+(N252*0.05)+(Q252*0.05)+(T252)+(Y252)+(AE252*1.5)+(AH252*1))</f>
        <v>75</v>
      </c>
      <c r="G245" s="113" t="str">
        <f>IF(F245&lt;=25,"RB",IF(F245&lt;=75,"RB",IF(F245&lt;=100,"RB","RB")))</f>
        <v>RB</v>
      </c>
      <c r="H245" s="183">
        <v>1</v>
      </c>
      <c r="I245" s="98">
        <v>0</v>
      </c>
      <c r="J245" s="98">
        <v>0</v>
      </c>
      <c r="K245" s="101">
        <f t="shared" ref="K245:K251" si="236">I245*J245</f>
        <v>0</v>
      </c>
      <c r="L245" s="98">
        <v>0</v>
      </c>
      <c r="M245" s="98">
        <v>0</v>
      </c>
      <c r="N245" s="101">
        <f t="shared" ref="N245:N251" si="237">L245*M245</f>
        <v>0</v>
      </c>
      <c r="O245" s="98">
        <v>0</v>
      </c>
      <c r="P245" s="98">
        <v>0</v>
      </c>
      <c r="Q245" s="101">
        <f t="shared" ref="Q245:Q251" si="238">O245*P245</f>
        <v>0</v>
      </c>
      <c r="R245" s="98">
        <v>0</v>
      </c>
      <c r="S245" s="98">
        <v>0</v>
      </c>
      <c r="T245" s="101">
        <f t="shared" ref="T245:T251" si="239">R245*S245</f>
        <v>0</v>
      </c>
      <c r="U245" s="183">
        <v>3</v>
      </c>
      <c r="V245" s="99">
        <v>3</v>
      </c>
      <c r="W245" s="98">
        <v>100</v>
      </c>
      <c r="X245" s="98">
        <v>3</v>
      </c>
      <c r="Y245" s="101">
        <f>W245*X245</f>
        <v>300</v>
      </c>
      <c r="Z245" s="101">
        <v>1</v>
      </c>
      <c r="AA245" s="183">
        <v>0</v>
      </c>
      <c r="AB245" s="99">
        <v>1</v>
      </c>
      <c r="AC245" s="98">
        <v>0</v>
      </c>
      <c r="AD245" s="98">
        <v>0</v>
      </c>
      <c r="AE245" s="101">
        <f t="shared" ref="AE245:AE251" si="240">AC245*AD245</f>
        <v>0</v>
      </c>
      <c r="AF245" s="98">
        <v>0</v>
      </c>
      <c r="AG245" s="98">
        <v>3</v>
      </c>
      <c r="AH245" s="99">
        <f t="shared" ref="AH245:AH251" si="241">AF245*AG245</f>
        <v>0</v>
      </c>
      <c r="AI245" s="101">
        <v>1</v>
      </c>
      <c r="AJ245" s="106"/>
    </row>
    <row r="246" spans="2:36" s="35" customFormat="1" ht="17.100000000000001" customHeight="1">
      <c r="B246" s="105"/>
      <c r="C246" s="54"/>
      <c r="D246" s="96"/>
      <c r="E246" s="111"/>
      <c r="F246" s="112"/>
      <c r="G246" s="113"/>
      <c r="H246" s="183">
        <v>1</v>
      </c>
      <c r="I246" s="98">
        <v>0</v>
      </c>
      <c r="J246" s="98">
        <v>0</v>
      </c>
      <c r="K246" s="101">
        <f t="shared" si="236"/>
        <v>0</v>
      </c>
      <c r="L246" s="100">
        <v>0</v>
      </c>
      <c r="M246" s="98">
        <v>0</v>
      </c>
      <c r="N246" s="101">
        <f t="shared" si="237"/>
        <v>0</v>
      </c>
      <c r="O246" s="100">
        <v>0</v>
      </c>
      <c r="P246" s="98">
        <v>0</v>
      </c>
      <c r="Q246" s="101">
        <f t="shared" si="238"/>
        <v>0</v>
      </c>
      <c r="R246" s="100">
        <v>0</v>
      </c>
      <c r="S246" s="98">
        <v>0</v>
      </c>
      <c r="T246" s="101">
        <f t="shared" si="239"/>
        <v>0</v>
      </c>
      <c r="U246" s="183">
        <v>1</v>
      </c>
      <c r="V246" s="99">
        <v>1</v>
      </c>
      <c r="W246" s="98">
        <v>0</v>
      </c>
      <c r="X246" s="98">
        <v>0</v>
      </c>
      <c r="Y246" s="101">
        <f t="shared" ref="Y246:Y251" si="242">W246*X246</f>
        <v>0</v>
      </c>
      <c r="Z246" s="101">
        <v>1</v>
      </c>
      <c r="AA246" s="183">
        <v>0</v>
      </c>
      <c r="AB246" s="99">
        <v>1</v>
      </c>
      <c r="AC246" s="98">
        <v>0</v>
      </c>
      <c r="AD246" s="98">
        <v>0</v>
      </c>
      <c r="AE246" s="101">
        <f t="shared" si="240"/>
        <v>0</v>
      </c>
      <c r="AF246" s="100">
        <v>0</v>
      </c>
      <c r="AG246" s="98">
        <v>0</v>
      </c>
      <c r="AH246" s="99">
        <f t="shared" si="241"/>
        <v>0</v>
      </c>
      <c r="AI246" s="101">
        <v>1</v>
      </c>
      <c r="AJ246" s="106"/>
    </row>
    <row r="247" spans="2:36" s="35" customFormat="1" ht="17.100000000000001" customHeight="1">
      <c r="B247" s="105"/>
      <c r="C247" s="54"/>
      <c r="D247" s="96"/>
      <c r="E247" s="111"/>
      <c r="F247" s="112"/>
      <c r="G247" s="113"/>
      <c r="H247" s="183">
        <v>1</v>
      </c>
      <c r="I247" s="98">
        <v>0</v>
      </c>
      <c r="J247" s="98">
        <v>0</v>
      </c>
      <c r="K247" s="101">
        <f t="shared" si="236"/>
        <v>0</v>
      </c>
      <c r="L247" s="100">
        <v>0</v>
      </c>
      <c r="M247" s="98">
        <v>0</v>
      </c>
      <c r="N247" s="101">
        <f t="shared" si="237"/>
        <v>0</v>
      </c>
      <c r="O247" s="100">
        <v>0</v>
      </c>
      <c r="P247" s="98">
        <v>0</v>
      </c>
      <c r="Q247" s="101">
        <f t="shared" si="238"/>
        <v>0</v>
      </c>
      <c r="R247" s="100">
        <v>0</v>
      </c>
      <c r="S247" s="98">
        <v>0</v>
      </c>
      <c r="T247" s="101">
        <f t="shared" si="239"/>
        <v>0</v>
      </c>
      <c r="U247" s="183">
        <v>1</v>
      </c>
      <c r="V247" s="99">
        <v>1</v>
      </c>
      <c r="W247" s="98">
        <v>0</v>
      </c>
      <c r="X247" s="98">
        <v>0</v>
      </c>
      <c r="Y247" s="101">
        <f t="shared" si="242"/>
        <v>0</v>
      </c>
      <c r="Z247" s="101">
        <v>1</v>
      </c>
      <c r="AA247" s="183">
        <v>0</v>
      </c>
      <c r="AB247" s="99">
        <v>1</v>
      </c>
      <c r="AC247" s="98">
        <v>0</v>
      </c>
      <c r="AD247" s="98">
        <v>0</v>
      </c>
      <c r="AE247" s="101">
        <f t="shared" si="240"/>
        <v>0</v>
      </c>
      <c r="AF247" s="100">
        <v>0</v>
      </c>
      <c r="AG247" s="98">
        <v>0</v>
      </c>
      <c r="AH247" s="99">
        <f t="shared" si="241"/>
        <v>0</v>
      </c>
      <c r="AI247" s="101">
        <v>1</v>
      </c>
      <c r="AJ247" s="106"/>
    </row>
    <row r="248" spans="2:36" s="35" customFormat="1" ht="17.100000000000001" customHeight="1">
      <c r="B248" s="105"/>
      <c r="C248" s="54"/>
      <c r="D248" s="96"/>
      <c r="E248" s="111"/>
      <c r="F248" s="112"/>
      <c r="G248" s="113"/>
      <c r="H248" s="183">
        <v>1</v>
      </c>
      <c r="I248" s="98">
        <v>0</v>
      </c>
      <c r="J248" s="98">
        <v>0</v>
      </c>
      <c r="K248" s="101">
        <f t="shared" si="236"/>
        <v>0</v>
      </c>
      <c r="L248" s="100">
        <v>0</v>
      </c>
      <c r="M248" s="98">
        <v>0</v>
      </c>
      <c r="N248" s="101">
        <f t="shared" si="237"/>
        <v>0</v>
      </c>
      <c r="O248" s="100">
        <v>0</v>
      </c>
      <c r="P248" s="98">
        <v>0</v>
      </c>
      <c r="Q248" s="101">
        <f t="shared" si="238"/>
        <v>0</v>
      </c>
      <c r="R248" s="100">
        <v>0</v>
      </c>
      <c r="S248" s="98">
        <v>0</v>
      </c>
      <c r="T248" s="101">
        <f t="shared" si="239"/>
        <v>0</v>
      </c>
      <c r="U248" s="183">
        <v>1</v>
      </c>
      <c r="V248" s="99">
        <v>1</v>
      </c>
      <c r="W248" s="98">
        <v>0</v>
      </c>
      <c r="X248" s="98">
        <v>0</v>
      </c>
      <c r="Y248" s="101">
        <f t="shared" si="242"/>
        <v>0</v>
      </c>
      <c r="Z248" s="101">
        <v>1</v>
      </c>
      <c r="AA248" s="183">
        <v>0</v>
      </c>
      <c r="AB248" s="99">
        <v>1</v>
      </c>
      <c r="AC248" s="98">
        <v>0</v>
      </c>
      <c r="AD248" s="98">
        <v>0</v>
      </c>
      <c r="AE248" s="101">
        <f t="shared" si="240"/>
        <v>0</v>
      </c>
      <c r="AF248" s="100">
        <v>0</v>
      </c>
      <c r="AG248" s="98">
        <v>0</v>
      </c>
      <c r="AH248" s="99">
        <f t="shared" si="241"/>
        <v>0</v>
      </c>
      <c r="AI248" s="101">
        <v>1</v>
      </c>
      <c r="AJ248" s="106"/>
    </row>
    <row r="249" spans="2:36" s="35" customFormat="1" ht="17.100000000000001" customHeight="1">
      <c r="B249" s="105"/>
      <c r="C249" s="54"/>
      <c r="D249" s="96"/>
      <c r="E249" s="111"/>
      <c r="F249" s="112"/>
      <c r="G249" s="113"/>
      <c r="H249" s="183">
        <v>1</v>
      </c>
      <c r="I249" s="98">
        <v>0</v>
      </c>
      <c r="J249" s="98">
        <v>0</v>
      </c>
      <c r="K249" s="101">
        <f t="shared" si="236"/>
        <v>0</v>
      </c>
      <c r="L249" s="100">
        <v>0</v>
      </c>
      <c r="M249" s="98">
        <v>0</v>
      </c>
      <c r="N249" s="101">
        <f t="shared" si="237"/>
        <v>0</v>
      </c>
      <c r="O249" s="100">
        <v>0</v>
      </c>
      <c r="P249" s="98">
        <v>0</v>
      </c>
      <c r="Q249" s="101">
        <f t="shared" si="238"/>
        <v>0</v>
      </c>
      <c r="R249" s="100">
        <v>0</v>
      </c>
      <c r="S249" s="98">
        <v>0</v>
      </c>
      <c r="T249" s="101">
        <f t="shared" si="239"/>
        <v>0</v>
      </c>
      <c r="U249" s="183">
        <v>1</v>
      </c>
      <c r="V249" s="99">
        <v>1</v>
      </c>
      <c r="W249" s="98">
        <v>0</v>
      </c>
      <c r="X249" s="98">
        <v>0</v>
      </c>
      <c r="Y249" s="101">
        <f t="shared" si="242"/>
        <v>0</v>
      </c>
      <c r="Z249" s="101">
        <v>1</v>
      </c>
      <c r="AA249" s="183">
        <v>0</v>
      </c>
      <c r="AB249" s="99">
        <v>1</v>
      </c>
      <c r="AC249" s="98">
        <v>0</v>
      </c>
      <c r="AD249" s="98">
        <v>0</v>
      </c>
      <c r="AE249" s="101">
        <f t="shared" si="240"/>
        <v>0</v>
      </c>
      <c r="AF249" s="100">
        <v>0</v>
      </c>
      <c r="AG249" s="98">
        <v>0</v>
      </c>
      <c r="AH249" s="99">
        <f t="shared" si="241"/>
        <v>0</v>
      </c>
      <c r="AI249" s="101">
        <v>1</v>
      </c>
      <c r="AJ249" s="106"/>
    </row>
    <row r="250" spans="2:36" s="35" customFormat="1" ht="17.100000000000001" customHeight="1">
      <c r="B250" s="105"/>
      <c r="C250" s="54"/>
      <c r="D250" s="96"/>
      <c r="E250" s="111"/>
      <c r="F250" s="112"/>
      <c r="G250" s="113"/>
      <c r="H250" s="183">
        <v>1</v>
      </c>
      <c r="I250" s="98">
        <v>0</v>
      </c>
      <c r="J250" s="98">
        <v>0</v>
      </c>
      <c r="K250" s="101">
        <f t="shared" si="236"/>
        <v>0</v>
      </c>
      <c r="L250" s="100">
        <v>0</v>
      </c>
      <c r="M250" s="98">
        <v>0</v>
      </c>
      <c r="N250" s="101">
        <f t="shared" si="237"/>
        <v>0</v>
      </c>
      <c r="O250" s="100">
        <v>0</v>
      </c>
      <c r="P250" s="98">
        <v>0</v>
      </c>
      <c r="Q250" s="101">
        <f t="shared" si="238"/>
        <v>0</v>
      </c>
      <c r="R250" s="100">
        <v>0</v>
      </c>
      <c r="S250" s="98">
        <v>0</v>
      </c>
      <c r="T250" s="101">
        <f t="shared" si="239"/>
        <v>0</v>
      </c>
      <c r="U250" s="183">
        <v>1</v>
      </c>
      <c r="V250" s="99">
        <v>1</v>
      </c>
      <c r="W250" s="98">
        <v>0</v>
      </c>
      <c r="X250" s="98">
        <v>0</v>
      </c>
      <c r="Y250" s="101">
        <f t="shared" si="242"/>
        <v>0</v>
      </c>
      <c r="Z250" s="101">
        <v>1</v>
      </c>
      <c r="AA250" s="183">
        <v>0</v>
      </c>
      <c r="AB250" s="99">
        <v>1</v>
      </c>
      <c r="AC250" s="98">
        <v>0</v>
      </c>
      <c r="AD250" s="98">
        <v>0</v>
      </c>
      <c r="AE250" s="101">
        <f t="shared" si="240"/>
        <v>0</v>
      </c>
      <c r="AF250" s="100">
        <v>0</v>
      </c>
      <c r="AG250" s="98">
        <v>0</v>
      </c>
      <c r="AH250" s="99">
        <f t="shared" si="241"/>
        <v>0</v>
      </c>
      <c r="AI250" s="101">
        <v>1</v>
      </c>
      <c r="AJ250" s="106"/>
    </row>
    <row r="251" spans="2:36" s="35" customFormat="1" ht="17.100000000000001" customHeight="1">
      <c r="B251" s="105"/>
      <c r="C251" s="54"/>
      <c r="D251" s="96"/>
      <c r="E251" s="111"/>
      <c r="F251" s="112"/>
      <c r="G251" s="113"/>
      <c r="H251" s="183">
        <v>1</v>
      </c>
      <c r="I251" s="98">
        <v>0</v>
      </c>
      <c r="J251" s="98">
        <v>0</v>
      </c>
      <c r="K251" s="101">
        <f t="shared" si="236"/>
        <v>0</v>
      </c>
      <c r="L251" s="100">
        <v>0</v>
      </c>
      <c r="M251" s="98">
        <v>0</v>
      </c>
      <c r="N251" s="101">
        <f t="shared" si="237"/>
        <v>0</v>
      </c>
      <c r="O251" s="100">
        <v>0</v>
      </c>
      <c r="P251" s="98">
        <v>0</v>
      </c>
      <c r="Q251" s="101">
        <f t="shared" si="238"/>
        <v>0</v>
      </c>
      <c r="R251" s="100">
        <v>0</v>
      </c>
      <c r="S251" s="98">
        <v>0</v>
      </c>
      <c r="T251" s="101">
        <f t="shared" si="239"/>
        <v>0</v>
      </c>
      <c r="U251" s="183">
        <v>1</v>
      </c>
      <c r="V251" s="99">
        <v>1</v>
      </c>
      <c r="W251" s="98">
        <v>0</v>
      </c>
      <c r="X251" s="98">
        <v>0</v>
      </c>
      <c r="Y251" s="101">
        <f t="shared" si="242"/>
        <v>0</v>
      </c>
      <c r="Z251" s="101">
        <v>1</v>
      </c>
      <c r="AA251" s="183">
        <v>0</v>
      </c>
      <c r="AB251" s="99">
        <v>1</v>
      </c>
      <c r="AC251" s="98">
        <v>0</v>
      </c>
      <c r="AD251" s="98">
        <v>0</v>
      </c>
      <c r="AE251" s="101">
        <f t="shared" si="240"/>
        <v>0</v>
      </c>
      <c r="AF251" s="100">
        <v>0</v>
      </c>
      <c r="AG251" s="98">
        <v>0</v>
      </c>
      <c r="AH251" s="99">
        <f t="shared" si="241"/>
        <v>0</v>
      </c>
      <c r="AI251" s="101">
        <v>1</v>
      </c>
      <c r="AJ251" s="106"/>
    </row>
    <row r="252" spans="2:36" s="126" customFormat="1" ht="17.100000000000001" customHeight="1">
      <c r="B252" s="118"/>
      <c r="C252" s="119"/>
      <c r="D252" s="120"/>
      <c r="E252" s="121"/>
      <c r="F252" s="122"/>
      <c r="G252" s="123"/>
      <c r="H252" s="183">
        <v>1</v>
      </c>
      <c r="I252" s="363" t="s">
        <v>201</v>
      </c>
      <c r="J252" s="363"/>
      <c r="K252" s="124">
        <f>SUM(K245:K251)</f>
        <v>0</v>
      </c>
      <c r="L252" s="341" t="s">
        <v>201</v>
      </c>
      <c r="M252" s="342"/>
      <c r="N252" s="124">
        <f>SUM(N245:N251)</f>
        <v>0</v>
      </c>
      <c r="O252" s="341" t="s">
        <v>201</v>
      </c>
      <c r="P252" s="342"/>
      <c r="Q252" s="124">
        <f>SUM(Q245:Q251)</f>
        <v>0</v>
      </c>
      <c r="R252" s="341" t="s">
        <v>201</v>
      </c>
      <c r="S252" s="342"/>
      <c r="T252" s="124">
        <f>SUM(T245:T251)</f>
        <v>0</v>
      </c>
      <c r="U252" s="183">
        <v>1</v>
      </c>
      <c r="V252" s="99">
        <v>1</v>
      </c>
      <c r="W252" s="363" t="s">
        <v>201</v>
      </c>
      <c r="X252" s="363"/>
      <c r="Y252" s="124">
        <f>SUM(Y245:Y251)</f>
        <v>300</v>
      </c>
      <c r="Z252" s="101">
        <v>1</v>
      </c>
      <c r="AA252" s="183">
        <v>0</v>
      </c>
      <c r="AB252" s="99">
        <v>1</v>
      </c>
      <c r="AC252" s="363" t="s">
        <v>201</v>
      </c>
      <c r="AD252" s="363"/>
      <c r="AE252" s="124">
        <f>SUM(AE245:AE251)</f>
        <v>0</v>
      </c>
      <c r="AF252" s="364" t="s">
        <v>201</v>
      </c>
      <c r="AG252" s="363"/>
      <c r="AH252" s="143">
        <f>SUM(AH245:AH251)</f>
        <v>0</v>
      </c>
      <c r="AI252" s="101">
        <v>1</v>
      </c>
      <c r="AJ252" s="125"/>
    </row>
    <row r="253" spans="2:36" s="35" customFormat="1" ht="16.95" customHeight="1">
      <c r="B253" s="105"/>
      <c r="C253" s="54">
        <f>'3. Rekap Back Up Non Aspal '!C52</f>
        <v>5600</v>
      </c>
      <c r="D253" s="96">
        <f>'3. Rekap Back Up Non Aspal '!D52</f>
        <v>5700</v>
      </c>
      <c r="E253" s="111">
        <f>'3. Rekap Back Up Non Aspal '!E52</f>
        <v>4</v>
      </c>
      <c r="F253" s="112">
        <f>(100/((D253-C253)*E253))*((K260*0.05)+(N260*0.05)+(Q260*0.05)+(T260)+(Y260)+(AE260*1.5)+(AH260*1))</f>
        <v>75</v>
      </c>
      <c r="G253" s="113" t="str">
        <f>IF(F253&lt;=25,"RB",IF(F253&lt;=75,"RB",IF(F253&lt;=100,"RB","RB")))</f>
        <v>RB</v>
      </c>
      <c r="H253" s="183">
        <v>1</v>
      </c>
      <c r="I253" s="98">
        <v>0</v>
      </c>
      <c r="J253" s="98">
        <v>0</v>
      </c>
      <c r="K253" s="101">
        <f t="shared" ref="K253:K259" si="243">I253*J253</f>
        <v>0</v>
      </c>
      <c r="L253" s="98">
        <v>0</v>
      </c>
      <c r="M253" s="98">
        <v>0</v>
      </c>
      <c r="N253" s="101">
        <f t="shared" ref="N253:N259" si="244">L253*M253</f>
        <v>0</v>
      </c>
      <c r="O253" s="98">
        <v>0</v>
      </c>
      <c r="P253" s="98">
        <v>0</v>
      </c>
      <c r="Q253" s="101">
        <f t="shared" ref="Q253:Q259" si="245">O253*P253</f>
        <v>0</v>
      </c>
      <c r="R253" s="98">
        <v>0</v>
      </c>
      <c r="S253" s="98">
        <v>0</v>
      </c>
      <c r="T253" s="101">
        <f t="shared" ref="T253:T259" si="246">R253*S253</f>
        <v>0</v>
      </c>
      <c r="U253" s="183">
        <v>4</v>
      </c>
      <c r="V253" s="99">
        <v>3</v>
      </c>
      <c r="W253" s="98">
        <v>100</v>
      </c>
      <c r="X253" s="98">
        <v>3</v>
      </c>
      <c r="Y253" s="101">
        <f>W253*X253</f>
        <v>300</v>
      </c>
      <c r="Z253" s="101">
        <v>1</v>
      </c>
      <c r="AA253" s="183">
        <v>0</v>
      </c>
      <c r="AB253" s="99">
        <v>1</v>
      </c>
      <c r="AC253" s="98">
        <v>0</v>
      </c>
      <c r="AD253" s="98">
        <v>0</v>
      </c>
      <c r="AE253" s="101">
        <f t="shared" ref="AE253:AE259" si="247">AC253*AD253</f>
        <v>0</v>
      </c>
      <c r="AF253" s="98">
        <v>0</v>
      </c>
      <c r="AG253" s="98">
        <v>3</v>
      </c>
      <c r="AH253" s="99">
        <f t="shared" ref="AH253:AH259" si="248">AF253*AG253</f>
        <v>0</v>
      </c>
      <c r="AI253" s="101">
        <v>1</v>
      </c>
      <c r="AJ253" s="106"/>
    </row>
    <row r="254" spans="2:36" s="35" customFormat="1" ht="17.100000000000001" customHeight="1">
      <c r="B254" s="105"/>
      <c r="C254" s="54"/>
      <c r="D254" s="96"/>
      <c r="E254" s="111"/>
      <c r="F254" s="112"/>
      <c r="G254" s="113"/>
      <c r="H254" s="183">
        <v>1</v>
      </c>
      <c r="I254" s="98">
        <v>0</v>
      </c>
      <c r="J254" s="98">
        <v>0</v>
      </c>
      <c r="K254" s="101">
        <f t="shared" si="243"/>
        <v>0</v>
      </c>
      <c r="L254" s="100">
        <v>0</v>
      </c>
      <c r="M254" s="98">
        <v>0</v>
      </c>
      <c r="N254" s="101">
        <f t="shared" si="244"/>
        <v>0</v>
      </c>
      <c r="O254" s="100">
        <v>0</v>
      </c>
      <c r="P254" s="98">
        <v>0</v>
      </c>
      <c r="Q254" s="101">
        <f t="shared" si="245"/>
        <v>0</v>
      </c>
      <c r="R254" s="100">
        <v>0</v>
      </c>
      <c r="S254" s="98">
        <v>0</v>
      </c>
      <c r="T254" s="101">
        <f t="shared" si="246"/>
        <v>0</v>
      </c>
      <c r="U254" s="183">
        <v>1</v>
      </c>
      <c r="V254" s="99">
        <v>1</v>
      </c>
      <c r="W254" s="98">
        <v>0</v>
      </c>
      <c r="X254" s="98">
        <v>0</v>
      </c>
      <c r="Y254" s="101">
        <f t="shared" ref="Y254:Y259" si="249">W254*X254</f>
        <v>0</v>
      </c>
      <c r="Z254" s="101">
        <v>1</v>
      </c>
      <c r="AA254" s="183">
        <v>0</v>
      </c>
      <c r="AB254" s="99">
        <v>1</v>
      </c>
      <c r="AC254" s="98">
        <v>0</v>
      </c>
      <c r="AD254" s="98">
        <v>0</v>
      </c>
      <c r="AE254" s="101">
        <f t="shared" si="247"/>
        <v>0</v>
      </c>
      <c r="AF254" s="100">
        <v>0</v>
      </c>
      <c r="AG254" s="98">
        <v>0</v>
      </c>
      <c r="AH254" s="99">
        <f t="shared" si="248"/>
        <v>0</v>
      </c>
      <c r="AI254" s="101">
        <v>1</v>
      </c>
      <c r="AJ254" s="106"/>
    </row>
    <row r="255" spans="2:36" s="35" customFormat="1" ht="17.100000000000001" customHeight="1">
      <c r="B255" s="105"/>
      <c r="C255" s="54"/>
      <c r="D255" s="96"/>
      <c r="E255" s="111"/>
      <c r="F255" s="112"/>
      <c r="G255" s="113"/>
      <c r="H255" s="183">
        <v>1</v>
      </c>
      <c r="I255" s="98">
        <v>0</v>
      </c>
      <c r="J255" s="98">
        <v>0</v>
      </c>
      <c r="K255" s="101">
        <f t="shared" si="243"/>
        <v>0</v>
      </c>
      <c r="L255" s="100">
        <v>0</v>
      </c>
      <c r="M255" s="98">
        <v>0</v>
      </c>
      <c r="N255" s="101">
        <f t="shared" si="244"/>
        <v>0</v>
      </c>
      <c r="O255" s="100">
        <v>0</v>
      </c>
      <c r="P255" s="98">
        <v>0</v>
      </c>
      <c r="Q255" s="101">
        <f t="shared" si="245"/>
        <v>0</v>
      </c>
      <c r="R255" s="100">
        <v>0</v>
      </c>
      <c r="S255" s="98">
        <v>0</v>
      </c>
      <c r="T255" s="101">
        <f t="shared" si="246"/>
        <v>0</v>
      </c>
      <c r="U255" s="183">
        <v>1</v>
      </c>
      <c r="V255" s="99">
        <v>1</v>
      </c>
      <c r="W255" s="98">
        <v>0</v>
      </c>
      <c r="X255" s="98">
        <v>0</v>
      </c>
      <c r="Y255" s="101">
        <f t="shared" si="249"/>
        <v>0</v>
      </c>
      <c r="Z255" s="101">
        <v>1</v>
      </c>
      <c r="AA255" s="183">
        <v>0</v>
      </c>
      <c r="AB255" s="99">
        <v>1</v>
      </c>
      <c r="AC255" s="98">
        <v>0</v>
      </c>
      <c r="AD255" s="98">
        <v>0</v>
      </c>
      <c r="AE255" s="101">
        <f t="shared" si="247"/>
        <v>0</v>
      </c>
      <c r="AF255" s="100">
        <v>0</v>
      </c>
      <c r="AG255" s="98">
        <v>0</v>
      </c>
      <c r="AH255" s="99">
        <f t="shared" si="248"/>
        <v>0</v>
      </c>
      <c r="AI255" s="101">
        <v>1</v>
      </c>
      <c r="AJ255" s="106"/>
    </row>
    <row r="256" spans="2:36" s="35" customFormat="1" ht="17.100000000000001" customHeight="1">
      <c r="B256" s="105"/>
      <c r="C256" s="54"/>
      <c r="D256" s="96"/>
      <c r="E256" s="111"/>
      <c r="F256" s="112"/>
      <c r="G256" s="113"/>
      <c r="H256" s="183">
        <v>1</v>
      </c>
      <c r="I256" s="98">
        <v>0</v>
      </c>
      <c r="J256" s="98">
        <v>0</v>
      </c>
      <c r="K256" s="101">
        <f t="shared" si="243"/>
        <v>0</v>
      </c>
      <c r="L256" s="100">
        <v>0</v>
      </c>
      <c r="M256" s="98">
        <v>0</v>
      </c>
      <c r="N256" s="101">
        <f t="shared" si="244"/>
        <v>0</v>
      </c>
      <c r="O256" s="100">
        <v>0</v>
      </c>
      <c r="P256" s="98">
        <v>0</v>
      </c>
      <c r="Q256" s="101">
        <f t="shared" si="245"/>
        <v>0</v>
      </c>
      <c r="R256" s="100">
        <v>0</v>
      </c>
      <c r="S256" s="98">
        <v>0</v>
      </c>
      <c r="T256" s="101">
        <f t="shared" si="246"/>
        <v>0</v>
      </c>
      <c r="U256" s="183">
        <v>1</v>
      </c>
      <c r="V256" s="99">
        <v>1</v>
      </c>
      <c r="W256" s="98">
        <v>0</v>
      </c>
      <c r="X256" s="98">
        <v>0</v>
      </c>
      <c r="Y256" s="101">
        <f t="shared" si="249"/>
        <v>0</v>
      </c>
      <c r="Z256" s="101">
        <v>1</v>
      </c>
      <c r="AA256" s="183">
        <v>0</v>
      </c>
      <c r="AB256" s="99">
        <v>1</v>
      </c>
      <c r="AC256" s="98">
        <v>0</v>
      </c>
      <c r="AD256" s="98">
        <v>0</v>
      </c>
      <c r="AE256" s="101">
        <f t="shared" si="247"/>
        <v>0</v>
      </c>
      <c r="AF256" s="100">
        <v>0</v>
      </c>
      <c r="AG256" s="98">
        <v>0</v>
      </c>
      <c r="AH256" s="99">
        <f t="shared" si="248"/>
        <v>0</v>
      </c>
      <c r="AI256" s="101">
        <v>1</v>
      </c>
      <c r="AJ256" s="106"/>
    </row>
    <row r="257" spans="2:36" s="35" customFormat="1" ht="17.100000000000001" customHeight="1">
      <c r="B257" s="105"/>
      <c r="C257" s="54"/>
      <c r="D257" s="96"/>
      <c r="E257" s="111"/>
      <c r="F257" s="112"/>
      <c r="G257" s="113"/>
      <c r="H257" s="183">
        <v>1</v>
      </c>
      <c r="I257" s="98">
        <v>0</v>
      </c>
      <c r="J257" s="98">
        <v>0</v>
      </c>
      <c r="K257" s="101">
        <f t="shared" si="243"/>
        <v>0</v>
      </c>
      <c r="L257" s="100">
        <v>0</v>
      </c>
      <c r="M257" s="98">
        <v>0</v>
      </c>
      <c r="N257" s="101">
        <f t="shared" si="244"/>
        <v>0</v>
      </c>
      <c r="O257" s="100">
        <v>0</v>
      </c>
      <c r="P257" s="98">
        <v>0</v>
      </c>
      <c r="Q257" s="101">
        <f t="shared" si="245"/>
        <v>0</v>
      </c>
      <c r="R257" s="100">
        <v>0</v>
      </c>
      <c r="S257" s="98">
        <v>0</v>
      </c>
      <c r="T257" s="101">
        <f t="shared" si="246"/>
        <v>0</v>
      </c>
      <c r="U257" s="183">
        <v>1</v>
      </c>
      <c r="V257" s="99">
        <v>1</v>
      </c>
      <c r="W257" s="98">
        <v>0</v>
      </c>
      <c r="X257" s="98">
        <v>0</v>
      </c>
      <c r="Y257" s="101">
        <f t="shared" si="249"/>
        <v>0</v>
      </c>
      <c r="Z257" s="101">
        <v>1</v>
      </c>
      <c r="AA257" s="183">
        <v>0</v>
      </c>
      <c r="AB257" s="99">
        <v>1</v>
      </c>
      <c r="AC257" s="98">
        <v>0</v>
      </c>
      <c r="AD257" s="98">
        <v>0</v>
      </c>
      <c r="AE257" s="101">
        <f t="shared" si="247"/>
        <v>0</v>
      </c>
      <c r="AF257" s="100">
        <v>0</v>
      </c>
      <c r="AG257" s="98">
        <v>0</v>
      </c>
      <c r="AH257" s="99">
        <f t="shared" si="248"/>
        <v>0</v>
      </c>
      <c r="AI257" s="101">
        <v>1</v>
      </c>
      <c r="AJ257" s="106"/>
    </row>
    <row r="258" spans="2:36" s="35" customFormat="1" ht="17.100000000000001" customHeight="1">
      <c r="B258" s="105"/>
      <c r="C258" s="54"/>
      <c r="D258" s="96"/>
      <c r="E258" s="111"/>
      <c r="F258" s="112"/>
      <c r="G258" s="113"/>
      <c r="H258" s="183">
        <v>1</v>
      </c>
      <c r="I258" s="98">
        <v>0</v>
      </c>
      <c r="J258" s="98">
        <v>0</v>
      </c>
      <c r="K258" s="101">
        <f t="shared" si="243"/>
        <v>0</v>
      </c>
      <c r="L258" s="100">
        <v>0</v>
      </c>
      <c r="M258" s="98">
        <v>0</v>
      </c>
      <c r="N258" s="101">
        <f t="shared" si="244"/>
        <v>0</v>
      </c>
      <c r="O258" s="100">
        <v>0</v>
      </c>
      <c r="P258" s="98">
        <v>0</v>
      </c>
      <c r="Q258" s="101">
        <f t="shared" si="245"/>
        <v>0</v>
      </c>
      <c r="R258" s="100">
        <v>0</v>
      </c>
      <c r="S258" s="98">
        <v>0</v>
      </c>
      <c r="T258" s="101">
        <f t="shared" si="246"/>
        <v>0</v>
      </c>
      <c r="U258" s="183">
        <v>1</v>
      </c>
      <c r="V258" s="99">
        <v>1</v>
      </c>
      <c r="W258" s="98">
        <v>0</v>
      </c>
      <c r="X258" s="98">
        <v>0</v>
      </c>
      <c r="Y258" s="101">
        <f t="shared" si="249"/>
        <v>0</v>
      </c>
      <c r="Z258" s="101">
        <v>1</v>
      </c>
      <c r="AA258" s="183">
        <v>0</v>
      </c>
      <c r="AB258" s="99">
        <v>1</v>
      </c>
      <c r="AC258" s="98">
        <v>0</v>
      </c>
      <c r="AD258" s="98">
        <v>0</v>
      </c>
      <c r="AE258" s="101">
        <f t="shared" si="247"/>
        <v>0</v>
      </c>
      <c r="AF258" s="100">
        <v>0</v>
      </c>
      <c r="AG258" s="98">
        <v>0</v>
      </c>
      <c r="AH258" s="99">
        <f t="shared" si="248"/>
        <v>0</v>
      </c>
      <c r="AI258" s="101">
        <v>1</v>
      </c>
      <c r="AJ258" s="106"/>
    </row>
    <row r="259" spans="2:36" s="35" customFormat="1" ht="17.100000000000001" customHeight="1">
      <c r="B259" s="105"/>
      <c r="C259" s="54"/>
      <c r="D259" s="96"/>
      <c r="E259" s="111"/>
      <c r="F259" s="112"/>
      <c r="G259" s="113"/>
      <c r="H259" s="183">
        <v>1</v>
      </c>
      <c r="I259" s="98">
        <v>0</v>
      </c>
      <c r="J259" s="98">
        <v>0</v>
      </c>
      <c r="K259" s="101">
        <f t="shared" si="243"/>
        <v>0</v>
      </c>
      <c r="L259" s="100">
        <v>0</v>
      </c>
      <c r="M259" s="98">
        <v>0</v>
      </c>
      <c r="N259" s="101">
        <f t="shared" si="244"/>
        <v>0</v>
      </c>
      <c r="O259" s="100">
        <v>0</v>
      </c>
      <c r="P259" s="98">
        <v>0</v>
      </c>
      <c r="Q259" s="101">
        <f t="shared" si="245"/>
        <v>0</v>
      </c>
      <c r="R259" s="100">
        <v>0</v>
      </c>
      <c r="S259" s="98">
        <v>0</v>
      </c>
      <c r="T259" s="101">
        <f t="shared" si="246"/>
        <v>0</v>
      </c>
      <c r="U259" s="183">
        <v>1</v>
      </c>
      <c r="V259" s="99">
        <v>1</v>
      </c>
      <c r="W259" s="98">
        <v>0</v>
      </c>
      <c r="X259" s="98">
        <v>0</v>
      </c>
      <c r="Y259" s="101">
        <f t="shared" si="249"/>
        <v>0</v>
      </c>
      <c r="Z259" s="101">
        <v>1</v>
      </c>
      <c r="AA259" s="183">
        <v>0</v>
      </c>
      <c r="AB259" s="99">
        <v>1</v>
      </c>
      <c r="AC259" s="98">
        <v>0</v>
      </c>
      <c r="AD259" s="98">
        <v>0</v>
      </c>
      <c r="AE259" s="101">
        <f t="shared" si="247"/>
        <v>0</v>
      </c>
      <c r="AF259" s="100">
        <v>0</v>
      </c>
      <c r="AG259" s="98">
        <v>0</v>
      </c>
      <c r="AH259" s="99">
        <f t="shared" si="248"/>
        <v>0</v>
      </c>
      <c r="AI259" s="101">
        <v>1</v>
      </c>
      <c r="AJ259" s="106"/>
    </row>
    <row r="260" spans="2:36" s="126" customFormat="1" ht="17.100000000000001" customHeight="1">
      <c r="B260" s="118"/>
      <c r="C260" s="119"/>
      <c r="D260" s="120"/>
      <c r="E260" s="121"/>
      <c r="F260" s="122"/>
      <c r="G260" s="123"/>
      <c r="H260" s="183">
        <v>1</v>
      </c>
      <c r="I260" s="363" t="s">
        <v>201</v>
      </c>
      <c r="J260" s="363"/>
      <c r="K260" s="124">
        <f>SUM(K253:K259)</f>
        <v>0</v>
      </c>
      <c r="L260" s="341" t="s">
        <v>201</v>
      </c>
      <c r="M260" s="342"/>
      <c r="N260" s="124">
        <f>SUM(N253:N259)</f>
        <v>0</v>
      </c>
      <c r="O260" s="341" t="s">
        <v>201</v>
      </c>
      <c r="P260" s="342"/>
      <c r="Q260" s="124">
        <f>SUM(Q253:Q259)</f>
        <v>0</v>
      </c>
      <c r="R260" s="341" t="s">
        <v>201</v>
      </c>
      <c r="S260" s="342"/>
      <c r="T260" s="124">
        <f>SUM(T253:T259)</f>
        <v>0</v>
      </c>
      <c r="U260" s="183">
        <v>1</v>
      </c>
      <c r="V260" s="99">
        <v>1</v>
      </c>
      <c r="W260" s="363" t="s">
        <v>201</v>
      </c>
      <c r="X260" s="363"/>
      <c r="Y260" s="124">
        <f>SUM(Y253:Y259)</f>
        <v>300</v>
      </c>
      <c r="Z260" s="101">
        <v>1</v>
      </c>
      <c r="AA260" s="183">
        <v>0</v>
      </c>
      <c r="AB260" s="99">
        <v>1</v>
      </c>
      <c r="AC260" s="363" t="s">
        <v>201</v>
      </c>
      <c r="AD260" s="363"/>
      <c r="AE260" s="124">
        <f>SUM(AE253:AE259)</f>
        <v>0</v>
      </c>
      <c r="AF260" s="364" t="s">
        <v>201</v>
      </c>
      <c r="AG260" s="363"/>
      <c r="AH260" s="143">
        <f>SUM(AH253:AH259)</f>
        <v>0</v>
      </c>
      <c r="AI260" s="101">
        <v>1</v>
      </c>
      <c r="AJ260" s="125"/>
    </row>
    <row r="261" spans="2:36" s="35" customFormat="1" ht="16.95" customHeight="1">
      <c r="B261" s="105"/>
      <c r="C261" s="54">
        <f>'3. Rekap Back Up Non Aspal '!C53</f>
        <v>5700</v>
      </c>
      <c r="D261" s="96">
        <f>'3. Rekap Back Up Non Aspal '!D53</f>
        <v>5800</v>
      </c>
      <c r="E261" s="111">
        <f>'3. Rekap Back Up Non Aspal '!E53</f>
        <v>4</v>
      </c>
      <c r="F261" s="112">
        <f>(100/((D261-C261)*E261))*((K268*0.05)+(N268*0.05)+(Q268*0.05)+(T268)+(Y268)+(AE268*1.5)+(AH268*1))</f>
        <v>75</v>
      </c>
      <c r="G261" s="113" t="str">
        <f>IF(F261&lt;=25,"RB",IF(F261&lt;=75,"RB",IF(F261&lt;=100,"RB","RB")))</f>
        <v>RB</v>
      </c>
      <c r="H261" s="183">
        <v>1</v>
      </c>
      <c r="I261" s="98">
        <v>0</v>
      </c>
      <c r="J261" s="98">
        <v>0</v>
      </c>
      <c r="K261" s="101">
        <f t="shared" ref="K261:K267" si="250">I261*J261</f>
        <v>0</v>
      </c>
      <c r="L261" s="98">
        <v>0</v>
      </c>
      <c r="M261" s="98">
        <v>0</v>
      </c>
      <c r="N261" s="101">
        <f t="shared" ref="N261:N267" si="251">L261*M261</f>
        <v>0</v>
      </c>
      <c r="O261" s="98">
        <v>0</v>
      </c>
      <c r="P261" s="98">
        <v>0</v>
      </c>
      <c r="Q261" s="101">
        <f t="shared" ref="Q261:Q267" si="252">O261*P261</f>
        <v>0</v>
      </c>
      <c r="R261" s="98">
        <v>0</v>
      </c>
      <c r="S261" s="98">
        <v>0</v>
      </c>
      <c r="T261" s="101">
        <f t="shared" ref="T261:T267" si="253">R261*S261</f>
        <v>0</v>
      </c>
      <c r="U261" s="183">
        <v>3</v>
      </c>
      <c r="V261" s="99">
        <v>3</v>
      </c>
      <c r="W261" s="98">
        <v>100</v>
      </c>
      <c r="X261" s="98">
        <v>3</v>
      </c>
      <c r="Y261" s="101">
        <f>W261*X261</f>
        <v>300</v>
      </c>
      <c r="Z261" s="101">
        <v>1</v>
      </c>
      <c r="AA261" s="183">
        <v>0</v>
      </c>
      <c r="AB261" s="99">
        <v>1</v>
      </c>
      <c r="AC261" s="98">
        <v>0</v>
      </c>
      <c r="AD261" s="98">
        <v>0</v>
      </c>
      <c r="AE261" s="101">
        <f t="shared" ref="AE261:AE267" si="254">AC261*AD261</f>
        <v>0</v>
      </c>
      <c r="AF261" s="98">
        <v>0</v>
      </c>
      <c r="AG261" s="98">
        <v>3</v>
      </c>
      <c r="AH261" s="99">
        <f t="shared" ref="AH261:AH267" si="255">AF261*AG261</f>
        <v>0</v>
      </c>
      <c r="AI261" s="101">
        <v>1</v>
      </c>
      <c r="AJ261" s="106"/>
    </row>
    <row r="262" spans="2:36" s="35" customFormat="1" ht="17.100000000000001" customHeight="1">
      <c r="B262" s="105"/>
      <c r="C262" s="54"/>
      <c r="D262" s="96"/>
      <c r="E262" s="111"/>
      <c r="F262" s="112"/>
      <c r="G262" s="113"/>
      <c r="H262" s="183">
        <v>1</v>
      </c>
      <c r="I262" s="98">
        <v>0</v>
      </c>
      <c r="J262" s="98">
        <v>0</v>
      </c>
      <c r="K262" s="101">
        <f t="shared" si="250"/>
        <v>0</v>
      </c>
      <c r="L262" s="100">
        <v>0</v>
      </c>
      <c r="M262" s="98">
        <v>0</v>
      </c>
      <c r="N262" s="101">
        <f t="shared" si="251"/>
        <v>0</v>
      </c>
      <c r="O262" s="100">
        <v>0</v>
      </c>
      <c r="P262" s="98">
        <v>0</v>
      </c>
      <c r="Q262" s="101">
        <f t="shared" si="252"/>
        <v>0</v>
      </c>
      <c r="R262" s="100">
        <v>0</v>
      </c>
      <c r="S262" s="98">
        <v>0</v>
      </c>
      <c r="T262" s="101">
        <f t="shared" si="253"/>
        <v>0</v>
      </c>
      <c r="U262" s="183">
        <v>1</v>
      </c>
      <c r="V262" s="99">
        <v>1</v>
      </c>
      <c r="W262" s="98">
        <v>0</v>
      </c>
      <c r="X262" s="98">
        <v>0</v>
      </c>
      <c r="Y262" s="101">
        <f t="shared" ref="Y262:Y267" si="256">W262*X262</f>
        <v>0</v>
      </c>
      <c r="Z262" s="101">
        <v>1</v>
      </c>
      <c r="AA262" s="183">
        <v>0</v>
      </c>
      <c r="AB262" s="99">
        <v>1</v>
      </c>
      <c r="AC262" s="98">
        <v>0</v>
      </c>
      <c r="AD262" s="98">
        <v>0</v>
      </c>
      <c r="AE262" s="101">
        <f t="shared" si="254"/>
        <v>0</v>
      </c>
      <c r="AF262" s="100">
        <v>0</v>
      </c>
      <c r="AG262" s="98">
        <v>0</v>
      </c>
      <c r="AH262" s="99">
        <f t="shared" si="255"/>
        <v>0</v>
      </c>
      <c r="AI262" s="101">
        <v>1</v>
      </c>
      <c r="AJ262" s="106"/>
    </row>
    <row r="263" spans="2:36" s="35" customFormat="1" ht="17.100000000000001" customHeight="1">
      <c r="B263" s="105"/>
      <c r="C263" s="54"/>
      <c r="D263" s="96"/>
      <c r="E263" s="111"/>
      <c r="F263" s="112"/>
      <c r="G263" s="113"/>
      <c r="H263" s="183">
        <v>1</v>
      </c>
      <c r="I263" s="98">
        <v>0</v>
      </c>
      <c r="J263" s="98">
        <v>0</v>
      </c>
      <c r="K263" s="101">
        <f t="shared" si="250"/>
        <v>0</v>
      </c>
      <c r="L263" s="100">
        <v>0</v>
      </c>
      <c r="M263" s="98">
        <v>0</v>
      </c>
      <c r="N263" s="101">
        <f t="shared" si="251"/>
        <v>0</v>
      </c>
      <c r="O263" s="100">
        <v>0</v>
      </c>
      <c r="P263" s="98">
        <v>0</v>
      </c>
      <c r="Q263" s="101">
        <f t="shared" si="252"/>
        <v>0</v>
      </c>
      <c r="R263" s="100">
        <v>0</v>
      </c>
      <c r="S263" s="98">
        <v>0</v>
      </c>
      <c r="T263" s="101">
        <f t="shared" si="253"/>
        <v>0</v>
      </c>
      <c r="U263" s="183">
        <v>1</v>
      </c>
      <c r="V263" s="99">
        <v>1</v>
      </c>
      <c r="W263" s="98">
        <v>0</v>
      </c>
      <c r="X263" s="98">
        <v>0</v>
      </c>
      <c r="Y263" s="101">
        <f t="shared" si="256"/>
        <v>0</v>
      </c>
      <c r="Z263" s="101">
        <v>1</v>
      </c>
      <c r="AA263" s="183">
        <v>0</v>
      </c>
      <c r="AB263" s="99">
        <v>1</v>
      </c>
      <c r="AC263" s="98">
        <v>0</v>
      </c>
      <c r="AD263" s="98">
        <v>0</v>
      </c>
      <c r="AE263" s="101">
        <f t="shared" si="254"/>
        <v>0</v>
      </c>
      <c r="AF263" s="100">
        <v>0</v>
      </c>
      <c r="AG263" s="98">
        <v>0</v>
      </c>
      <c r="AH263" s="99">
        <f t="shared" si="255"/>
        <v>0</v>
      </c>
      <c r="AI263" s="101">
        <v>1</v>
      </c>
      <c r="AJ263" s="106"/>
    </row>
    <row r="264" spans="2:36" s="35" customFormat="1" ht="17.100000000000001" customHeight="1">
      <c r="B264" s="105"/>
      <c r="C264" s="54"/>
      <c r="D264" s="96"/>
      <c r="E264" s="111"/>
      <c r="F264" s="112"/>
      <c r="G264" s="113"/>
      <c r="H264" s="183">
        <v>1</v>
      </c>
      <c r="I264" s="98">
        <v>0</v>
      </c>
      <c r="J264" s="98">
        <v>0</v>
      </c>
      <c r="K264" s="101">
        <f t="shared" si="250"/>
        <v>0</v>
      </c>
      <c r="L264" s="100">
        <v>0</v>
      </c>
      <c r="M264" s="98">
        <v>0</v>
      </c>
      <c r="N264" s="101">
        <f t="shared" si="251"/>
        <v>0</v>
      </c>
      <c r="O264" s="100">
        <v>0</v>
      </c>
      <c r="P264" s="98">
        <v>0</v>
      </c>
      <c r="Q264" s="101">
        <f t="shared" si="252"/>
        <v>0</v>
      </c>
      <c r="R264" s="100">
        <v>0</v>
      </c>
      <c r="S264" s="98">
        <v>0</v>
      </c>
      <c r="T264" s="101">
        <f t="shared" si="253"/>
        <v>0</v>
      </c>
      <c r="U264" s="183">
        <v>1</v>
      </c>
      <c r="V264" s="99">
        <v>1</v>
      </c>
      <c r="W264" s="98">
        <v>0</v>
      </c>
      <c r="X264" s="98">
        <v>0</v>
      </c>
      <c r="Y264" s="101">
        <f t="shared" si="256"/>
        <v>0</v>
      </c>
      <c r="Z264" s="101">
        <v>1</v>
      </c>
      <c r="AA264" s="183">
        <v>0</v>
      </c>
      <c r="AB264" s="99">
        <v>1</v>
      </c>
      <c r="AC264" s="98">
        <v>0</v>
      </c>
      <c r="AD264" s="98">
        <v>0</v>
      </c>
      <c r="AE264" s="101">
        <f t="shared" si="254"/>
        <v>0</v>
      </c>
      <c r="AF264" s="100">
        <v>0</v>
      </c>
      <c r="AG264" s="98">
        <v>0</v>
      </c>
      <c r="AH264" s="99">
        <f t="shared" si="255"/>
        <v>0</v>
      </c>
      <c r="AI264" s="101">
        <v>1</v>
      </c>
      <c r="AJ264" s="106"/>
    </row>
    <row r="265" spans="2:36" s="35" customFormat="1" ht="17.100000000000001" customHeight="1">
      <c r="B265" s="105"/>
      <c r="C265" s="54"/>
      <c r="D265" s="96"/>
      <c r="E265" s="111"/>
      <c r="F265" s="112"/>
      <c r="G265" s="113"/>
      <c r="H265" s="183">
        <v>1</v>
      </c>
      <c r="I265" s="98">
        <v>0</v>
      </c>
      <c r="J265" s="98">
        <v>0</v>
      </c>
      <c r="K265" s="101">
        <f t="shared" si="250"/>
        <v>0</v>
      </c>
      <c r="L265" s="100">
        <v>0</v>
      </c>
      <c r="M265" s="98">
        <v>0</v>
      </c>
      <c r="N265" s="101">
        <f t="shared" si="251"/>
        <v>0</v>
      </c>
      <c r="O265" s="100">
        <v>0</v>
      </c>
      <c r="P265" s="98">
        <v>0</v>
      </c>
      <c r="Q265" s="101">
        <f t="shared" si="252"/>
        <v>0</v>
      </c>
      <c r="R265" s="100">
        <v>0</v>
      </c>
      <c r="S265" s="98">
        <v>0</v>
      </c>
      <c r="T265" s="101">
        <f t="shared" si="253"/>
        <v>0</v>
      </c>
      <c r="U265" s="183">
        <v>1</v>
      </c>
      <c r="V265" s="99">
        <v>1</v>
      </c>
      <c r="W265" s="98">
        <v>0</v>
      </c>
      <c r="X265" s="98">
        <v>0</v>
      </c>
      <c r="Y265" s="101">
        <f t="shared" si="256"/>
        <v>0</v>
      </c>
      <c r="Z265" s="101">
        <v>1</v>
      </c>
      <c r="AA265" s="183">
        <v>0</v>
      </c>
      <c r="AB265" s="99">
        <v>1</v>
      </c>
      <c r="AC265" s="98">
        <v>0</v>
      </c>
      <c r="AD265" s="98">
        <v>0</v>
      </c>
      <c r="AE265" s="101">
        <f t="shared" si="254"/>
        <v>0</v>
      </c>
      <c r="AF265" s="100">
        <v>0</v>
      </c>
      <c r="AG265" s="98">
        <v>0</v>
      </c>
      <c r="AH265" s="99">
        <f t="shared" si="255"/>
        <v>0</v>
      </c>
      <c r="AI265" s="101">
        <v>1</v>
      </c>
      <c r="AJ265" s="106"/>
    </row>
    <row r="266" spans="2:36" s="35" customFormat="1" ht="17.100000000000001" customHeight="1">
      <c r="B266" s="105"/>
      <c r="C266" s="54"/>
      <c r="D266" s="96"/>
      <c r="E266" s="111"/>
      <c r="F266" s="112"/>
      <c r="G266" s="113"/>
      <c r="H266" s="183">
        <v>1</v>
      </c>
      <c r="I266" s="98">
        <v>0</v>
      </c>
      <c r="J266" s="98">
        <v>0</v>
      </c>
      <c r="K266" s="101">
        <f t="shared" si="250"/>
        <v>0</v>
      </c>
      <c r="L266" s="100">
        <v>0</v>
      </c>
      <c r="M266" s="98">
        <v>0</v>
      </c>
      <c r="N266" s="101">
        <f t="shared" si="251"/>
        <v>0</v>
      </c>
      <c r="O266" s="100">
        <v>0</v>
      </c>
      <c r="P266" s="98">
        <v>0</v>
      </c>
      <c r="Q266" s="101">
        <f t="shared" si="252"/>
        <v>0</v>
      </c>
      <c r="R266" s="100">
        <v>0</v>
      </c>
      <c r="S266" s="98">
        <v>0</v>
      </c>
      <c r="T266" s="101">
        <f t="shared" si="253"/>
        <v>0</v>
      </c>
      <c r="U266" s="183">
        <v>1</v>
      </c>
      <c r="V266" s="99">
        <v>1</v>
      </c>
      <c r="W266" s="98">
        <v>0</v>
      </c>
      <c r="X266" s="98">
        <v>0</v>
      </c>
      <c r="Y266" s="101">
        <f t="shared" si="256"/>
        <v>0</v>
      </c>
      <c r="Z266" s="101">
        <v>1</v>
      </c>
      <c r="AA266" s="183">
        <v>0</v>
      </c>
      <c r="AB266" s="99">
        <v>1</v>
      </c>
      <c r="AC266" s="98">
        <v>0</v>
      </c>
      <c r="AD266" s="98">
        <v>0</v>
      </c>
      <c r="AE266" s="101">
        <f t="shared" si="254"/>
        <v>0</v>
      </c>
      <c r="AF266" s="100">
        <v>0</v>
      </c>
      <c r="AG266" s="98">
        <v>0</v>
      </c>
      <c r="AH266" s="99">
        <f t="shared" si="255"/>
        <v>0</v>
      </c>
      <c r="AI266" s="101">
        <v>1</v>
      </c>
      <c r="AJ266" s="106"/>
    </row>
    <row r="267" spans="2:36" s="35" customFormat="1" ht="17.100000000000001" customHeight="1">
      <c r="B267" s="105"/>
      <c r="C267" s="54"/>
      <c r="D267" s="96"/>
      <c r="E267" s="111"/>
      <c r="F267" s="112"/>
      <c r="G267" s="113"/>
      <c r="H267" s="183">
        <v>1</v>
      </c>
      <c r="I267" s="98">
        <v>0</v>
      </c>
      <c r="J267" s="98">
        <v>0</v>
      </c>
      <c r="K267" s="101">
        <f t="shared" si="250"/>
        <v>0</v>
      </c>
      <c r="L267" s="100">
        <v>0</v>
      </c>
      <c r="M267" s="98">
        <v>0</v>
      </c>
      <c r="N267" s="101">
        <f t="shared" si="251"/>
        <v>0</v>
      </c>
      <c r="O267" s="100">
        <v>0</v>
      </c>
      <c r="P267" s="98">
        <v>0</v>
      </c>
      <c r="Q267" s="101">
        <f t="shared" si="252"/>
        <v>0</v>
      </c>
      <c r="R267" s="100">
        <v>0</v>
      </c>
      <c r="S267" s="98">
        <v>0</v>
      </c>
      <c r="T267" s="101">
        <f t="shared" si="253"/>
        <v>0</v>
      </c>
      <c r="U267" s="183">
        <v>1</v>
      </c>
      <c r="V267" s="99">
        <v>1</v>
      </c>
      <c r="W267" s="98">
        <v>0</v>
      </c>
      <c r="X267" s="98">
        <v>0</v>
      </c>
      <c r="Y267" s="101">
        <f t="shared" si="256"/>
        <v>0</v>
      </c>
      <c r="Z267" s="101">
        <v>1</v>
      </c>
      <c r="AA267" s="183">
        <v>0</v>
      </c>
      <c r="AB267" s="99">
        <v>1</v>
      </c>
      <c r="AC267" s="98">
        <v>0</v>
      </c>
      <c r="AD267" s="98">
        <v>0</v>
      </c>
      <c r="AE267" s="101">
        <f t="shared" si="254"/>
        <v>0</v>
      </c>
      <c r="AF267" s="100">
        <v>0</v>
      </c>
      <c r="AG267" s="98">
        <v>0</v>
      </c>
      <c r="AH267" s="99">
        <f t="shared" si="255"/>
        <v>0</v>
      </c>
      <c r="AI267" s="101">
        <v>1</v>
      </c>
      <c r="AJ267" s="106"/>
    </row>
    <row r="268" spans="2:36" s="126" customFormat="1" ht="17.100000000000001" customHeight="1" thickBot="1">
      <c r="B268" s="128"/>
      <c r="C268" s="154"/>
      <c r="D268" s="155"/>
      <c r="E268" s="156"/>
      <c r="F268" s="129"/>
      <c r="G268" s="130"/>
      <c r="H268" s="184">
        <v>1</v>
      </c>
      <c r="I268" s="361" t="s">
        <v>201</v>
      </c>
      <c r="J268" s="361"/>
      <c r="K268" s="131">
        <f>SUM(K261:K267)</f>
        <v>0</v>
      </c>
      <c r="L268" s="344" t="s">
        <v>201</v>
      </c>
      <c r="M268" s="345"/>
      <c r="N268" s="131">
        <f>SUM(N261:N267)</f>
        <v>0</v>
      </c>
      <c r="O268" s="344" t="s">
        <v>201</v>
      </c>
      <c r="P268" s="345"/>
      <c r="Q268" s="131">
        <f>SUM(Q261:Q267)</f>
        <v>0</v>
      </c>
      <c r="R268" s="344" t="s">
        <v>201</v>
      </c>
      <c r="S268" s="345"/>
      <c r="T268" s="131">
        <f>SUM(T261:T267)</f>
        <v>0</v>
      </c>
      <c r="U268" s="184">
        <v>1</v>
      </c>
      <c r="V268" s="160">
        <v>1</v>
      </c>
      <c r="W268" s="361" t="s">
        <v>201</v>
      </c>
      <c r="X268" s="361"/>
      <c r="Y268" s="131">
        <f>SUM(Y261:Y267)</f>
        <v>300</v>
      </c>
      <c r="Z268" s="133">
        <v>1</v>
      </c>
      <c r="AA268" s="184">
        <v>0</v>
      </c>
      <c r="AB268" s="160">
        <v>1</v>
      </c>
      <c r="AC268" s="361" t="s">
        <v>201</v>
      </c>
      <c r="AD268" s="361"/>
      <c r="AE268" s="131">
        <f>SUM(AE261:AE267)</f>
        <v>0</v>
      </c>
      <c r="AF268" s="362" t="s">
        <v>201</v>
      </c>
      <c r="AG268" s="361"/>
      <c r="AH268" s="144">
        <f>SUM(AH261:AH267)</f>
        <v>0</v>
      </c>
      <c r="AI268" s="133">
        <v>1</v>
      </c>
      <c r="AJ268" s="134"/>
    </row>
    <row r="269" spans="2:36" s="35" customFormat="1" ht="16.95" customHeight="1">
      <c r="B269" s="114"/>
      <c r="C269" s="157">
        <f>'3. Rekap Back Up Non Aspal '!C54</f>
        <v>5800</v>
      </c>
      <c r="D269" s="158">
        <f>'3. Rekap Back Up Non Aspal '!D54</f>
        <v>5900</v>
      </c>
      <c r="E269" s="159">
        <f>'3. Rekap Back Up Non Aspal '!E54</f>
        <v>4</v>
      </c>
      <c r="F269" s="115">
        <f>(100/((D269-C269)*E269))*((K276*0.05)+(N276*0.05)+(Q276*0.05)+(T276)+(Y276)+(AE276*1.5)+(AH276*1))</f>
        <v>75</v>
      </c>
      <c r="G269" s="116" t="str">
        <f>IF(F269&lt;=25,"RB",IF(F269&lt;=75,"RB",IF(F269&lt;=100,"RB","RB")))</f>
        <v>RB</v>
      </c>
      <c r="H269" s="185">
        <v>1</v>
      </c>
      <c r="I269" s="136">
        <v>0</v>
      </c>
      <c r="J269" s="136">
        <v>0</v>
      </c>
      <c r="K269" s="137">
        <f t="shared" ref="K269:K275" si="257">I269*J269</f>
        <v>0</v>
      </c>
      <c r="L269" s="136">
        <v>0</v>
      </c>
      <c r="M269" s="136">
        <v>0</v>
      </c>
      <c r="N269" s="137">
        <f t="shared" ref="N269:N275" si="258">L269*M269</f>
        <v>0</v>
      </c>
      <c r="O269" s="136">
        <v>0</v>
      </c>
      <c r="P269" s="136">
        <v>3</v>
      </c>
      <c r="Q269" s="137">
        <f t="shared" ref="Q269:Q275" si="259">O269*P269</f>
        <v>0</v>
      </c>
      <c r="R269" s="136">
        <v>0</v>
      </c>
      <c r="S269" s="136">
        <v>0</v>
      </c>
      <c r="T269" s="137">
        <f t="shared" ref="T269:T275" si="260">R269*S269</f>
        <v>0</v>
      </c>
      <c r="U269" s="185">
        <v>4</v>
      </c>
      <c r="V269" s="138">
        <v>4</v>
      </c>
      <c r="W269" s="136">
        <v>100</v>
      </c>
      <c r="X269" s="136">
        <v>3</v>
      </c>
      <c r="Y269" s="137">
        <f>W269*X269</f>
        <v>300</v>
      </c>
      <c r="Z269" s="137">
        <v>1</v>
      </c>
      <c r="AA269" s="185">
        <v>0</v>
      </c>
      <c r="AB269" s="138">
        <v>1</v>
      </c>
      <c r="AC269" s="136">
        <v>0</v>
      </c>
      <c r="AD269" s="136">
        <v>0</v>
      </c>
      <c r="AE269" s="137">
        <f t="shared" ref="AE269:AE275" si="261">AC269*AD269</f>
        <v>0</v>
      </c>
      <c r="AF269" s="136">
        <v>0</v>
      </c>
      <c r="AG269" s="136">
        <v>0</v>
      </c>
      <c r="AH269" s="138">
        <f t="shared" ref="AH269:AH275" si="262">AF269*AG269</f>
        <v>0</v>
      </c>
      <c r="AI269" s="137">
        <v>1</v>
      </c>
      <c r="AJ269" s="139"/>
    </row>
    <row r="270" spans="2:36" s="35" customFormat="1" ht="17.100000000000001" customHeight="1">
      <c r="B270" s="105"/>
      <c r="C270" s="54"/>
      <c r="D270" s="96"/>
      <c r="E270" s="111"/>
      <c r="F270" s="112"/>
      <c r="G270" s="113"/>
      <c r="H270" s="183">
        <v>1</v>
      </c>
      <c r="I270" s="98">
        <v>0</v>
      </c>
      <c r="J270" s="98">
        <v>0</v>
      </c>
      <c r="K270" s="101">
        <f t="shared" si="257"/>
        <v>0</v>
      </c>
      <c r="L270" s="100">
        <v>0</v>
      </c>
      <c r="M270" s="98">
        <v>0</v>
      </c>
      <c r="N270" s="101">
        <f t="shared" si="258"/>
        <v>0</v>
      </c>
      <c r="O270" s="100">
        <v>0</v>
      </c>
      <c r="P270" s="98">
        <v>0</v>
      </c>
      <c r="Q270" s="101">
        <f t="shared" si="259"/>
        <v>0</v>
      </c>
      <c r="R270" s="100">
        <v>0</v>
      </c>
      <c r="S270" s="98">
        <v>0</v>
      </c>
      <c r="T270" s="101">
        <f t="shared" si="260"/>
        <v>0</v>
      </c>
      <c r="U270" s="183">
        <v>1</v>
      </c>
      <c r="V270" s="99">
        <v>1</v>
      </c>
      <c r="W270" s="98">
        <v>0</v>
      </c>
      <c r="X270" s="98">
        <v>0</v>
      </c>
      <c r="Y270" s="101">
        <f t="shared" ref="Y270:Y275" si="263">W270*X270</f>
        <v>0</v>
      </c>
      <c r="Z270" s="101">
        <v>1</v>
      </c>
      <c r="AA270" s="183">
        <v>0</v>
      </c>
      <c r="AB270" s="99">
        <v>1</v>
      </c>
      <c r="AC270" s="98">
        <v>0</v>
      </c>
      <c r="AD270" s="98">
        <v>0</v>
      </c>
      <c r="AE270" s="101">
        <f t="shared" si="261"/>
        <v>0</v>
      </c>
      <c r="AF270" s="100">
        <v>0</v>
      </c>
      <c r="AG270" s="98">
        <v>0</v>
      </c>
      <c r="AH270" s="99">
        <f t="shared" si="262"/>
        <v>0</v>
      </c>
      <c r="AI270" s="101">
        <v>1</v>
      </c>
      <c r="AJ270" s="106"/>
    </row>
    <row r="271" spans="2:36" s="35" customFormat="1" ht="17.100000000000001" customHeight="1">
      <c r="B271" s="105"/>
      <c r="C271" s="54"/>
      <c r="D271" s="96"/>
      <c r="E271" s="111"/>
      <c r="F271" s="112"/>
      <c r="G271" s="113"/>
      <c r="H271" s="183">
        <v>1</v>
      </c>
      <c r="I271" s="98">
        <v>0</v>
      </c>
      <c r="J271" s="98">
        <v>0</v>
      </c>
      <c r="K271" s="101">
        <f t="shared" si="257"/>
        <v>0</v>
      </c>
      <c r="L271" s="100">
        <v>0</v>
      </c>
      <c r="M271" s="98">
        <v>0</v>
      </c>
      <c r="N271" s="101">
        <f t="shared" si="258"/>
        <v>0</v>
      </c>
      <c r="O271" s="100">
        <v>0</v>
      </c>
      <c r="P271" s="98">
        <v>0</v>
      </c>
      <c r="Q271" s="101">
        <f t="shared" si="259"/>
        <v>0</v>
      </c>
      <c r="R271" s="100">
        <v>0</v>
      </c>
      <c r="S271" s="98">
        <v>0</v>
      </c>
      <c r="T271" s="101">
        <f t="shared" si="260"/>
        <v>0</v>
      </c>
      <c r="U271" s="183">
        <v>1</v>
      </c>
      <c r="V271" s="99">
        <v>1</v>
      </c>
      <c r="W271" s="98">
        <v>0</v>
      </c>
      <c r="X271" s="98">
        <v>0</v>
      </c>
      <c r="Y271" s="101">
        <f t="shared" si="263"/>
        <v>0</v>
      </c>
      <c r="Z271" s="101">
        <v>1</v>
      </c>
      <c r="AA271" s="183">
        <v>0</v>
      </c>
      <c r="AB271" s="99">
        <v>1</v>
      </c>
      <c r="AC271" s="98">
        <v>0</v>
      </c>
      <c r="AD271" s="98">
        <v>0</v>
      </c>
      <c r="AE271" s="101">
        <f t="shared" si="261"/>
        <v>0</v>
      </c>
      <c r="AF271" s="100">
        <v>0</v>
      </c>
      <c r="AG271" s="98">
        <v>0</v>
      </c>
      <c r="AH271" s="99">
        <f t="shared" si="262"/>
        <v>0</v>
      </c>
      <c r="AI271" s="101">
        <v>1</v>
      </c>
      <c r="AJ271" s="106"/>
    </row>
    <row r="272" spans="2:36" s="35" customFormat="1" ht="17.100000000000001" customHeight="1">
      <c r="B272" s="105"/>
      <c r="C272" s="54"/>
      <c r="D272" s="96"/>
      <c r="E272" s="111"/>
      <c r="F272" s="112"/>
      <c r="G272" s="113"/>
      <c r="H272" s="183">
        <v>1</v>
      </c>
      <c r="I272" s="98">
        <v>0</v>
      </c>
      <c r="J272" s="98">
        <v>0</v>
      </c>
      <c r="K272" s="101">
        <f t="shared" si="257"/>
        <v>0</v>
      </c>
      <c r="L272" s="100">
        <v>0</v>
      </c>
      <c r="M272" s="98">
        <v>0</v>
      </c>
      <c r="N272" s="101">
        <f t="shared" si="258"/>
        <v>0</v>
      </c>
      <c r="O272" s="100">
        <v>0</v>
      </c>
      <c r="P272" s="98">
        <v>0</v>
      </c>
      <c r="Q272" s="101">
        <f t="shared" si="259"/>
        <v>0</v>
      </c>
      <c r="R272" s="100">
        <v>0</v>
      </c>
      <c r="S272" s="98">
        <v>0</v>
      </c>
      <c r="T272" s="101">
        <f t="shared" si="260"/>
        <v>0</v>
      </c>
      <c r="U272" s="183">
        <v>1</v>
      </c>
      <c r="V272" s="99">
        <v>1</v>
      </c>
      <c r="W272" s="98">
        <v>0</v>
      </c>
      <c r="X272" s="98">
        <v>0</v>
      </c>
      <c r="Y272" s="101">
        <f t="shared" si="263"/>
        <v>0</v>
      </c>
      <c r="Z272" s="101">
        <v>1</v>
      </c>
      <c r="AA272" s="183">
        <v>0</v>
      </c>
      <c r="AB272" s="99">
        <v>1</v>
      </c>
      <c r="AC272" s="98">
        <v>0</v>
      </c>
      <c r="AD272" s="98">
        <v>0</v>
      </c>
      <c r="AE272" s="101">
        <f t="shared" si="261"/>
        <v>0</v>
      </c>
      <c r="AF272" s="100">
        <v>0</v>
      </c>
      <c r="AG272" s="98">
        <v>0</v>
      </c>
      <c r="AH272" s="99">
        <f t="shared" si="262"/>
        <v>0</v>
      </c>
      <c r="AI272" s="101">
        <v>1</v>
      </c>
      <c r="AJ272" s="106"/>
    </row>
    <row r="273" spans="2:36" s="35" customFormat="1" ht="17.100000000000001" customHeight="1">
      <c r="B273" s="105"/>
      <c r="C273" s="54"/>
      <c r="D273" s="96"/>
      <c r="E273" s="111"/>
      <c r="F273" s="112"/>
      <c r="G273" s="113"/>
      <c r="H273" s="183">
        <v>1</v>
      </c>
      <c r="I273" s="98">
        <v>0</v>
      </c>
      <c r="J273" s="98">
        <v>0</v>
      </c>
      <c r="K273" s="101">
        <f t="shared" si="257"/>
        <v>0</v>
      </c>
      <c r="L273" s="100">
        <v>0</v>
      </c>
      <c r="M273" s="98">
        <v>0</v>
      </c>
      <c r="N273" s="101">
        <f t="shared" si="258"/>
        <v>0</v>
      </c>
      <c r="O273" s="100">
        <v>0</v>
      </c>
      <c r="P273" s="98">
        <v>0</v>
      </c>
      <c r="Q273" s="101">
        <f t="shared" si="259"/>
        <v>0</v>
      </c>
      <c r="R273" s="100">
        <v>0</v>
      </c>
      <c r="S273" s="98">
        <v>0</v>
      </c>
      <c r="T273" s="101">
        <f t="shared" si="260"/>
        <v>0</v>
      </c>
      <c r="U273" s="183">
        <v>1</v>
      </c>
      <c r="V273" s="99">
        <v>1</v>
      </c>
      <c r="W273" s="98">
        <v>0</v>
      </c>
      <c r="X273" s="98">
        <v>0</v>
      </c>
      <c r="Y273" s="101">
        <f t="shared" si="263"/>
        <v>0</v>
      </c>
      <c r="Z273" s="101">
        <v>1</v>
      </c>
      <c r="AA273" s="183">
        <v>0</v>
      </c>
      <c r="AB273" s="99">
        <v>1</v>
      </c>
      <c r="AC273" s="98">
        <v>0</v>
      </c>
      <c r="AD273" s="98">
        <v>0</v>
      </c>
      <c r="AE273" s="101">
        <f t="shared" si="261"/>
        <v>0</v>
      </c>
      <c r="AF273" s="100">
        <v>0</v>
      </c>
      <c r="AG273" s="98">
        <v>0</v>
      </c>
      <c r="AH273" s="99">
        <f t="shared" si="262"/>
        <v>0</v>
      </c>
      <c r="AI273" s="101">
        <v>1</v>
      </c>
      <c r="AJ273" s="106"/>
    </row>
    <row r="274" spans="2:36" s="35" customFormat="1" ht="17.100000000000001" customHeight="1">
      <c r="B274" s="105"/>
      <c r="C274" s="54"/>
      <c r="D274" s="96"/>
      <c r="E274" s="111"/>
      <c r="F274" s="112"/>
      <c r="G274" s="113"/>
      <c r="H274" s="183">
        <v>1</v>
      </c>
      <c r="I274" s="98">
        <v>0</v>
      </c>
      <c r="J274" s="98">
        <v>0</v>
      </c>
      <c r="K274" s="101">
        <f t="shared" si="257"/>
        <v>0</v>
      </c>
      <c r="L274" s="100">
        <v>0</v>
      </c>
      <c r="M274" s="98">
        <v>0</v>
      </c>
      <c r="N274" s="101">
        <f t="shared" si="258"/>
        <v>0</v>
      </c>
      <c r="O274" s="100">
        <v>0</v>
      </c>
      <c r="P274" s="98">
        <v>0</v>
      </c>
      <c r="Q274" s="101">
        <f t="shared" si="259"/>
        <v>0</v>
      </c>
      <c r="R274" s="100">
        <v>0</v>
      </c>
      <c r="S274" s="98">
        <v>0</v>
      </c>
      <c r="T274" s="101">
        <f t="shared" si="260"/>
        <v>0</v>
      </c>
      <c r="U274" s="183">
        <v>1</v>
      </c>
      <c r="V274" s="99">
        <v>1</v>
      </c>
      <c r="W274" s="98">
        <v>0</v>
      </c>
      <c r="X274" s="98">
        <v>0</v>
      </c>
      <c r="Y274" s="101">
        <f t="shared" si="263"/>
        <v>0</v>
      </c>
      <c r="Z274" s="101">
        <v>1</v>
      </c>
      <c r="AA274" s="183">
        <v>0</v>
      </c>
      <c r="AB274" s="99">
        <v>1</v>
      </c>
      <c r="AC274" s="98">
        <v>0</v>
      </c>
      <c r="AD274" s="98">
        <v>0</v>
      </c>
      <c r="AE274" s="101">
        <f t="shared" si="261"/>
        <v>0</v>
      </c>
      <c r="AF274" s="100">
        <v>0</v>
      </c>
      <c r="AG274" s="98">
        <v>0</v>
      </c>
      <c r="AH274" s="99">
        <f t="shared" si="262"/>
        <v>0</v>
      </c>
      <c r="AI274" s="101">
        <v>1</v>
      </c>
      <c r="AJ274" s="106"/>
    </row>
    <row r="275" spans="2:36" s="35" customFormat="1" ht="17.100000000000001" customHeight="1">
      <c r="B275" s="105"/>
      <c r="C275" s="54"/>
      <c r="D275" s="96"/>
      <c r="E275" s="111"/>
      <c r="F275" s="112"/>
      <c r="G275" s="113"/>
      <c r="H275" s="183">
        <v>1</v>
      </c>
      <c r="I275" s="98">
        <v>0</v>
      </c>
      <c r="J275" s="98">
        <v>0</v>
      </c>
      <c r="K275" s="101">
        <f t="shared" si="257"/>
        <v>0</v>
      </c>
      <c r="L275" s="100">
        <v>0</v>
      </c>
      <c r="M275" s="98">
        <v>0</v>
      </c>
      <c r="N275" s="101">
        <f t="shared" si="258"/>
        <v>0</v>
      </c>
      <c r="O275" s="100">
        <v>0</v>
      </c>
      <c r="P275" s="98">
        <v>0</v>
      </c>
      <c r="Q275" s="101">
        <f t="shared" si="259"/>
        <v>0</v>
      </c>
      <c r="R275" s="100">
        <v>0</v>
      </c>
      <c r="S275" s="98">
        <v>0</v>
      </c>
      <c r="T275" s="101">
        <f t="shared" si="260"/>
        <v>0</v>
      </c>
      <c r="U275" s="183">
        <v>1</v>
      </c>
      <c r="V275" s="99">
        <v>1</v>
      </c>
      <c r="W275" s="98">
        <v>0</v>
      </c>
      <c r="X275" s="98">
        <v>0</v>
      </c>
      <c r="Y275" s="101">
        <f t="shared" si="263"/>
        <v>0</v>
      </c>
      <c r="Z275" s="101">
        <v>1</v>
      </c>
      <c r="AA275" s="183">
        <v>0</v>
      </c>
      <c r="AB275" s="99">
        <v>1</v>
      </c>
      <c r="AC275" s="98">
        <v>0</v>
      </c>
      <c r="AD275" s="98">
        <v>0</v>
      </c>
      <c r="AE275" s="101">
        <f t="shared" si="261"/>
        <v>0</v>
      </c>
      <c r="AF275" s="100">
        <v>0</v>
      </c>
      <c r="AG275" s="98">
        <v>0</v>
      </c>
      <c r="AH275" s="99">
        <f t="shared" si="262"/>
        <v>0</v>
      </c>
      <c r="AI275" s="101">
        <v>1</v>
      </c>
      <c r="AJ275" s="106"/>
    </row>
    <row r="276" spans="2:36" s="126" customFormat="1" ht="17.100000000000001" customHeight="1">
      <c r="B276" s="118"/>
      <c r="C276" s="119"/>
      <c r="D276" s="120"/>
      <c r="E276" s="121"/>
      <c r="F276" s="122"/>
      <c r="G276" s="123"/>
      <c r="H276" s="183">
        <v>1</v>
      </c>
      <c r="I276" s="363" t="s">
        <v>201</v>
      </c>
      <c r="J276" s="363"/>
      <c r="K276" s="124">
        <f>SUM(K269:K275)</f>
        <v>0</v>
      </c>
      <c r="L276" s="341" t="s">
        <v>201</v>
      </c>
      <c r="M276" s="342"/>
      <c r="N276" s="124">
        <f>SUM(N269:N275)</f>
        <v>0</v>
      </c>
      <c r="O276" s="341" t="s">
        <v>201</v>
      </c>
      <c r="P276" s="342"/>
      <c r="Q276" s="124">
        <f>SUM(Q269:Q275)</f>
        <v>0</v>
      </c>
      <c r="R276" s="341" t="s">
        <v>201</v>
      </c>
      <c r="S276" s="342"/>
      <c r="T276" s="124">
        <f>SUM(T269:T275)</f>
        <v>0</v>
      </c>
      <c r="U276" s="183">
        <v>1</v>
      </c>
      <c r="V276" s="99">
        <v>1</v>
      </c>
      <c r="W276" s="363" t="s">
        <v>201</v>
      </c>
      <c r="X276" s="363"/>
      <c r="Y276" s="124">
        <f>SUM(Y269:Y275)</f>
        <v>300</v>
      </c>
      <c r="Z276" s="101">
        <v>1</v>
      </c>
      <c r="AA276" s="183">
        <v>0</v>
      </c>
      <c r="AB276" s="99">
        <v>1</v>
      </c>
      <c r="AC276" s="363" t="s">
        <v>201</v>
      </c>
      <c r="AD276" s="363"/>
      <c r="AE276" s="124">
        <f>SUM(AE269:AE275)</f>
        <v>0</v>
      </c>
      <c r="AF276" s="364" t="s">
        <v>201</v>
      </c>
      <c r="AG276" s="363"/>
      <c r="AH276" s="143">
        <f>SUM(AH269:AH275)</f>
        <v>0</v>
      </c>
      <c r="AI276" s="101">
        <v>1</v>
      </c>
      <c r="AJ276" s="125"/>
    </row>
    <row r="277" spans="2:36" s="35" customFormat="1" ht="16.95" customHeight="1">
      <c r="B277" s="105"/>
      <c r="C277" s="54">
        <f>'3. Rekap Back Up Non Aspal '!C55</f>
        <v>5900</v>
      </c>
      <c r="D277" s="96">
        <f>'3. Rekap Back Up Non Aspal '!D55</f>
        <v>6000</v>
      </c>
      <c r="E277" s="111">
        <f>'3. Rekap Back Up Non Aspal '!E55</f>
        <v>4</v>
      </c>
      <c r="F277" s="112">
        <f>(100/((D277-C277)*E277))*((K284*0.05)+(N284*0.05)+(Q284*0.05)+(T284)+(Y284)+(AE284*1.5)+(AH284*1))</f>
        <v>75</v>
      </c>
      <c r="G277" s="113" t="str">
        <f>IF(F277&lt;=25,"RB",IF(F277&lt;=75,"RB",IF(F277&lt;=100,"RB","RB")))</f>
        <v>RB</v>
      </c>
      <c r="H277" s="183">
        <v>1</v>
      </c>
      <c r="I277" s="98">
        <v>0</v>
      </c>
      <c r="J277" s="98">
        <v>0</v>
      </c>
      <c r="K277" s="101">
        <f t="shared" ref="K277:K283" si="264">I277*J277</f>
        <v>0</v>
      </c>
      <c r="L277" s="98">
        <v>0</v>
      </c>
      <c r="M277" s="98">
        <v>0</v>
      </c>
      <c r="N277" s="101">
        <f t="shared" ref="N277:N283" si="265">L277*M277</f>
        <v>0</v>
      </c>
      <c r="O277" s="98">
        <v>0</v>
      </c>
      <c r="P277" s="98">
        <v>0</v>
      </c>
      <c r="Q277" s="101">
        <f t="shared" ref="Q277:Q283" si="266">O277*P277</f>
        <v>0</v>
      </c>
      <c r="R277" s="98">
        <v>0</v>
      </c>
      <c r="S277" s="98">
        <v>0</v>
      </c>
      <c r="T277" s="101">
        <f t="shared" ref="T277:T283" si="267">R277*S277</f>
        <v>0</v>
      </c>
      <c r="U277" s="183">
        <v>3</v>
      </c>
      <c r="V277" s="99">
        <v>3</v>
      </c>
      <c r="W277" s="98">
        <v>100</v>
      </c>
      <c r="X277" s="98">
        <v>3</v>
      </c>
      <c r="Y277" s="101">
        <f>W277*X277</f>
        <v>300</v>
      </c>
      <c r="Z277" s="101">
        <v>1</v>
      </c>
      <c r="AA277" s="183">
        <v>0</v>
      </c>
      <c r="AB277" s="99">
        <v>1</v>
      </c>
      <c r="AC277" s="98">
        <v>0</v>
      </c>
      <c r="AD277" s="98">
        <v>0</v>
      </c>
      <c r="AE277" s="101">
        <f t="shared" ref="AE277:AE283" si="268">AC277*AD277</f>
        <v>0</v>
      </c>
      <c r="AF277" s="98">
        <v>0</v>
      </c>
      <c r="AG277" s="98">
        <v>3</v>
      </c>
      <c r="AH277" s="99">
        <f t="shared" ref="AH277:AH283" si="269">AF277*AG277</f>
        <v>0</v>
      </c>
      <c r="AI277" s="101">
        <v>1</v>
      </c>
      <c r="AJ277" s="106"/>
    </row>
    <row r="278" spans="2:36" s="35" customFormat="1" ht="17.100000000000001" customHeight="1">
      <c r="B278" s="105"/>
      <c r="C278" s="54"/>
      <c r="D278" s="96"/>
      <c r="E278" s="111"/>
      <c r="F278" s="112"/>
      <c r="G278" s="113"/>
      <c r="H278" s="183">
        <v>1</v>
      </c>
      <c r="I278" s="98">
        <v>0</v>
      </c>
      <c r="J278" s="98">
        <v>0</v>
      </c>
      <c r="K278" s="101">
        <f t="shared" si="264"/>
        <v>0</v>
      </c>
      <c r="L278" s="100">
        <v>0</v>
      </c>
      <c r="M278" s="98">
        <v>0</v>
      </c>
      <c r="N278" s="101">
        <f t="shared" si="265"/>
        <v>0</v>
      </c>
      <c r="O278" s="100">
        <v>0</v>
      </c>
      <c r="P278" s="98">
        <v>0</v>
      </c>
      <c r="Q278" s="101">
        <f t="shared" si="266"/>
        <v>0</v>
      </c>
      <c r="R278" s="100">
        <v>0</v>
      </c>
      <c r="S278" s="98">
        <v>0</v>
      </c>
      <c r="T278" s="101">
        <f t="shared" si="267"/>
        <v>0</v>
      </c>
      <c r="U278" s="183">
        <v>1</v>
      </c>
      <c r="V278" s="99">
        <v>1</v>
      </c>
      <c r="W278" s="98">
        <v>0</v>
      </c>
      <c r="X278" s="98">
        <v>0</v>
      </c>
      <c r="Y278" s="101">
        <f t="shared" ref="Y278:Y283" si="270">W278*X278</f>
        <v>0</v>
      </c>
      <c r="Z278" s="101">
        <v>1</v>
      </c>
      <c r="AA278" s="183">
        <v>0</v>
      </c>
      <c r="AB278" s="99">
        <v>1</v>
      </c>
      <c r="AC278" s="98">
        <v>0</v>
      </c>
      <c r="AD278" s="98">
        <v>0</v>
      </c>
      <c r="AE278" s="101">
        <f t="shared" si="268"/>
        <v>0</v>
      </c>
      <c r="AF278" s="100">
        <v>0</v>
      </c>
      <c r="AG278" s="98">
        <v>0</v>
      </c>
      <c r="AH278" s="99">
        <f t="shared" si="269"/>
        <v>0</v>
      </c>
      <c r="AI278" s="101">
        <v>1</v>
      </c>
      <c r="AJ278" s="106"/>
    </row>
    <row r="279" spans="2:36" s="35" customFormat="1" ht="17.100000000000001" customHeight="1">
      <c r="B279" s="105"/>
      <c r="C279" s="54"/>
      <c r="D279" s="96"/>
      <c r="E279" s="111"/>
      <c r="F279" s="112"/>
      <c r="G279" s="113"/>
      <c r="H279" s="183">
        <v>1</v>
      </c>
      <c r="I279" s="98">
        <v>0</v>
      </c>
      <c r="J279" s="98">
        <v>0</v>
      </c>
      <c r="K279" s="101">
        <f t="shared" si="264"/>
        <v>0</v>
      </c>
      <c r="L279" s="100">
        <v>0</v>
      </c>
      <c r="M279" s="98">
        <v>0</v>
      </c>
      <c r="N279" s="101">
        <f t="shared" si="265"/>
        <v>0</v>
      </c>
      <c r="O279" s="100">
        <v>0</v>
      </c>
      <c r="P279" s="98">
        <v>0</v>
      </c>
      <c r="Q279" s="101">
        <f t="shared" si="266"/>
        <v>0</v>
      </c>
      <c r="R279" s="100">
        <v>0</v>
      </c>
      <c r="S279" s="98">
        <v>0</v>
      </c>
      <c r="T279" s="101">
        <f t="shared" si="267"/>
        <v>0</v>
      </c>
      <c r="U279" s="183">
        <v>1</v>
      </c>
      <c r="V279" s="99">
        <v>1</v>
      </c>
      <c r="W279" s="98">
        <v>0</v>
      </c>
      <c r="X279" s="98">
        <v>0</v>
      </c>
      <c r="Y279" s="101">
        <f t="shared" si="270"/>
        <v>0</v>
      </c>
      <c r="Z279" s="101">
        <v>1</v>
      </c>
      <c r="AA279" s="183">
        <v>0</v>
      </c>
      <c r="AB279" s="99">
        <v>1</v>
      </c>
      <c r="AC279" s="98">
        <v>0</v>
      </c>
      <c r="AD279" s="98">
        <v>0</v>
      </c>
      <c r="AE279" s="101">
        <f t="shared" si="268"/>
        <v>0</v>
      </c>
      <c r="AF279" s="100">
        <v>0</v>
      </c>
      <c r="AG279" s="98">
        <v>0</v>
      </c>
      <c r="AH279" s="99">
        <f t="shared" si="269"/>
        <v>0</v>
      </c>
      <c r="AI279" s="101">
        <v>1</v>
      </c>
      <c r="AJ279" s="106"/>
    </row>
    <row r="280" spans="2:36" s="35" customFormat="1" ht="17.100000000000001" customHeight="1">
      <c r="B280" s="105"/>
      <c r="C280" s="54"/>
      <c r="D280" s="96"/>
      <c r="E280" s="111"/>
      <c r="F280" s="112"/>
      <c r="G280" s="113"/>
      <c r="H280" s="183">
        <v>1</v>
      </c>
      <c r="I280" s="98">
        <v>0</v>
      </c>
      <c r="J280" s="98">
        <v>0</v>
      </c>
      <c r="K280" s="101">
        <f t="shared" si="264"/>
        <v>0</v>
      </c>
      <c r="L280" s="100">
        <v>0</v>
      </c>
      <c r="M280" s="98">
        <v>0</v>
      </c>
      <c r="N280" s="101">
        <f t="shared" si="265"/>
        <v>0</v>
      </c>
      <c r="O280" s="100">
        <v>0</v>
      </c>
      <c r="P280" s="98">
        <v>0</v>
      </c>
      <c r="Q280" s="101">
        <f t="shared" si="266"/>
        <v>0</v>
      </c>
      <c r="R280" s="100">
        <v>0</v>
      </c>
      <c r="S280" s="98">
        <v>0</v>
      </c>
      <c r="T280" s="101">
        <f t="shared" si="267"/>
        <v>0</v>
      </c>
      <c r="U280" s="183">
        <v>1</v>
      </c>
      <c r="V280" s="99">
        <v>1</v>
      </c>
      <c r="W280" s="98">
        <v>0</v>
      </c>
      <c r="X280" s="98">
        <v>0</v>
      </c>
      <c r="Y280" s="101">
        <f t="shared" si="270"/>
        <v>0</v>
      </c>
      <c r="Z280" s="101">
        <v>1</v>
      </c>
      <c r="AA280" s="183">
        <v>0</v>
      </c>
      <c r="AB280" s="99">
        <v>1</v>
      </c>
      <c r="AC280" s="98">
        <v>0</v>
      </c>
      <c r="AD280" s="98">
        <v>0</v>
      </c>
      <c r="AE280" s="101">
        <f t="shared" si="268"/>
        <v>0</v>
      </c>
      <c r="AF280" s="100">
        <v>0</v>
      </c>
      <c r="AG280" s="98">
        <v>0</v>
      </c>
      <c r="AH280" s="99">
        <f t="shared" si="269"/>
        <v>0</v>
      </c>
      <c r="AI280" s="101">
        <v>1</v>
      </c>
      <c r="AJ280" s="106"/>
    </row>
    <row r="281" spans="2:36" s="35" customFormat="1" ht="17.100000000000001" customHeight="1">
      <c r="B281" s="105"/>
      <c r="C281" s="54"/>
      <c r="D281" s="96"/>
      <c r="E281" s="111"/>
      <c r="F281" s="112"/>
      <c r="G281" s="113"/>
      <c r="H281" s="183">
        <v>1</v>
      </c>
      <c r="I281" s="98">
        <v>0</v>
      </c>
      <c r="J281" s="98">
        <v>0</v>
      </c>
      <c r="K281" s="101">
        <f t="shared" si="264"/>
        <v>0</v>
      </c>
      <c r="L281" s="100">
        <v>0</v>
      </c>
      <c r="M281" s="98">
        <v>0</v>
      </c>
      <c r="N281" s="101">
        <f t="shared" si="265"/>
        <v>0</v>
      </c>
      <c r="O281" s="100">
        <v>0</v>
      </c>
      <c r="P281" s="98">
        <v>0</v>
      </c>
      <c r="Q281" s="101">
        <f t="shared" si="266"/>
        <v>0</v>
      </c>
      <c r="R281" s="100">
        <v>0</v>
      </c>
      <c r="S281" s="98">
        <v>0</v>
      </c>
      <c r="T281" s="101">
        <f t="shared" si="267"/>
        <v>0</v>
      </c>
      <c r="U281" s="183">
        <v>1</v>
      </c>
      <c r="V281" s="99">
        <v>1</v>
      </c>
      <c r="W281" s="98">
        <v>0</v>
      </c>
      <c r="X281" s="98">
        <v>0</v>
      </c>
      <c r="Y281" s="101">
        <f t="shared" si="270"/>
        <v>0</v>
      </c>
      <c r="Z281" s="101">
        <v>1</v>
      </c>
      <c r="AA281" s="183">
        <v>0</v>
      </c>
      <c r="AB281" s="99">
        <v>1</v>
      </c>
      <c r="AC281" s="98">
        <v>0</v>
      </c>
      <c r="AD281" s="98">
        <v>0</v>
      </c>
      <c r="AE281" s="101">
        <f t="shared" si="268"/>
        <v>0</v>
      </c>
      <c r="AF281" s="100">
        <v>0</v>
      </c>
      <c r="AG281" s="98">
        <v>0</v>
      </c>
      <c r="AH281" s="99">
        <f t="shared" si="269"/>
        <v>0</v>
      </c>
      <c r="AI281" s="101">
        <v>1</v>
      </c>
      <c r="AJ281" s="106"/>
    </row>
    <row r="282" spans="2:36" s="35" customFormat="1" ht="17.100000000000001" customHeight="1">
      <c r="B282" s="105"/>
      <c r="C282" s="54"/>
      <c r="D282" s="96"/>
      <c r="E282" s="111"/>
      <c r="F282" s="112"/>
      <c r="G282" s="113"/>
      <c r="H282" s="183">
        <v>1</v>
      </c>
      <c r="I282" s="98">
        <v>0</v>
      </c>
      <c r="J282" s="98">
        <v>0</v>
      </c>
      <c r="K282" s="101">
        <f t="shared" si="264"/>
        <v>0</v>
      </c>
      <c r="L282" s="100">
        <v>0</v>
      </c>
      <c r="M282" s="98">
        <v>0</v>
      </c>
      <c r="N282" s="101">
        <f t="shared" si="265"/>
        <v>0</v>
      </c>
      <c r="O282" s="100">
        <v>0</v>
      </c>
      <c r="P282" s="98">
        <v>0</v>
      </c>
      <c r="Q282" s="101">
        <f t="shared" si="266"/>
        <v>0</v>
      </c>
      <c r="R282" s="100">
        <v>0</v>
      </c>
      <c r="S282" s="98">
        <v>0</v>
      </c>
      <c r="T282" s="101">
        <f t="shared" si="267"/>
        <v>0</v>
      </c>
      <c r="U282" s="183">
        <v>1</v>
      </c>
      <c r="V282" s="99">
        <v>1</v>
      </c>
      <c r="W282" s="98">
        <v>0</v>
      </c>
      <c r="X282" s="98">
        <v>0</v>
      </c>
      <c r="Y282" s="101">
        <f t="shared" si="270"/>
        <v>0</v>
      </c>
      <c r="Z282" s="101">
        <v>1</v>
      </c>
      <c r="AA282" s="183">
        <v>0</v>
      </c>
      <c r="AB282" s="99">
        <v>1</v>
      </c>
      <c r="AC282" s="98">
        <v>0</v>
      </c>
      <c r="AD282" s="98">
        <v>0</v>
      </c>
      <c r="AE282" s="101">
        <f t="shared" si="268"/>
        <v>0</v>
      </c>
      <c r="AF282" s="100">
        <v>0</v>
      </c>
      <c r="AG282" s="98">
        <v>0</v>
      </c>
      <c r="AH282" s="99">
        <f t="shared" si="269"/>
        <v>0</v>
      </c>
      <c r="AI282" s="101">
        <v>1</v>
      </c>
      <c r="AJ282" s="106"/>
    </row>
    <row r="283" spans="2:36" s="35" customFormat="1" ht="17.100000000000001" customHeight="1">
      <c r="B283" s="105"/>
      <c r="C283" s="54"/>
      <c r="D283" s="96"/>
      <c r="E283" s="111"/>
      <c r="F283" s="112"/>
      <c r="G283" s="113"/>
      <c r="H283" s="183">
        <v>1</v>
      </c>
      <c r="I283" s="98">
        <v>0</v>
      </c>
      <c r="J283" s="98">
        <v>0</v>
      </c>
      <c r="K283" s="101">
        <f t="shared" si="264"/>
        <v>0</v>
      </c>
      <c r="L283" s="100">
        <v>0</v>
      </c>
      <c r="M283" s="98">
        <v>0</v>
      </c>
      <c r="N283" s="101">
        <f t="shared" si="265"/>
        <v>0</v>
      </c>
      <c r="O283" s="100">
        <v>0</v>
      </c>
      <c r="P283" s="98">
        <v>0</v>
      </c>
      <c r="Q283" s="101">
        <f t="shared" si="266"/>
        <v>0</v>
      </c>
      <c r="R283" s="100">
        <v>0</v>
      </c>
      <c r="S283" s="98">
        <v>0</v>
      </c>
      <c r="T283" s="101">
        <f t="shared" si="267"/>
        <v>0</v>
      </c>
      <c r="U283" s="183">
        <v>1</v>
      </c>
      <c r="V283" s="99">
        <v>1</v>
      </c>
      <c r="W283" s="98">
        <v>0</v>
      </c>
      <c r="X283" s="98">
        <v>0</v>
      </c>
      <c r="Y283" s="101">
        <f t="shared" si="270"/>
        <v>0</v>
      </c>
      <c r="Z283" s="101">
        <v>1</v>
      </c>
      <c r="AA283" s="183">
        <v>0</v>
      </c>
      <c r="AB283" s="99">
        <v>1</v>
      </c>
      <c r="AC283" s="98">
        <v>0</v>
      </c>
      <c r="AD283" s="98">
        <v>0</v>
      </c>
      <c r="AE283" s="101">
        <f t="shared" si="268"/>
        <v>0</v>
      </c>
      <c r="AF283" s="100">
        <v>0</v>
      </c>
      <c r="AG283" s="98">
        <v>0</v>
      </c>
      <c r="AH283" s="99">
        <f t="shared" si="269"/>
        <v>0</v>
      </c>
      <c r="AI283" s="101">
        <v>1</v>
      </c>
      <c r="AJ283" s="106"/>
    </row>
    <row r="284" spans="2:36" s="126" customFormat="1" ht="17.100000000000001" customHeight="1">
      <c r="B284" s="118"/>
      <c r="C284" s="119"/>
      <c r="D284" s="120"/>
      <c r="E284" s="121"/>
      <c r="F284" s="122"/>
      <c r="G284" s="123"/>
      <c r="H284" s="183">
        <v>1</v>
      </c>
      <c r="I284" s="363" t="s">
        <v>201</v>
      </c>
      <c r="J284" s="363"/>
      <c r="K284" s="124">
        <f>SUM(K277:K283)</f>
        <v>0</v>
      </c>
      <c r="L284" s="341" t="s">
        <v>201</v>
      </c>
      <c r="M284" s="342"/>
      <c r="N284" s="124">
        <f>SUM(N277:N283)</f>
        <v>0</v>
      </c>
      <c r="O284" s="341" t="s">
        <v>201</v>
      </c>
      <c r="P284" s="342"/>
      <c r="Q284" s="124">
        <f>SUM(Q277:Q283)</f>
        <v>0</v>
      </c>
      <c r="R284" s="341" t="s">
        <v>201</v>
      </c>
      <c r="S284" s="342"/>
      <c r="T284" s="124">
        <f>SUM(T277:T283)</f>
        <v>0</v>
      </c>
      <c r="U284" s="183">
        <v>1</v>
      </c>
      <c r="V284" s="99">
        <v>1</v>
      </c>
      <c r="W284" s="363" t="s">
        <v>201</v>
      </c>
      <c r="X284" s="363"/>
      <c r="Y284" s="124">
        <f>SUM(Y277:Y283)</f>
        <v>300</v>
      </c>
      <c r="Z284" s="101">
        <v>1</v>
      </c>
      <c r="AA284" s="183">
        <v>0</v>
      </c>
      <c r="AB284" s="99">
        <v>1</v>
      </c>
      <c r="AC284" s="363" t="s">
        <v>201</v>
      </c>
      <c r="AD284" s="363"/>
      <c r="AE284" s="124">
        <f>SUM(AE277:AE283)</f>
        <v>0</v>
      </c>
      <c r="AF284" s="364" t="s">
        <v>201</v>
      </c>
      <c r="AG284" s="363"/>
      <c r="AH284" s="143">
        <f>SUM(AH277:AH283)</f>
        <v>0</v>
      </c>
      <c r="AI284" s="101">
        <v>1</v>
      </c>
      <c r="AJ284" s="125"/>
    </row>
    <row r="285" spans="2:36" s="35" customFormat="1" ht="16.95" customHeight="1">
      <c r="B285" s="105"/>
      <c r="C285" s="54">
        <f>'3. Rekap Back Up Non Aspal '!C56</f>
        <v>6000</v>
      </c>
      <c r="D285" s="96">
        <f>'3. Rekap Back Up Non Aspal '!D56</f>
        <v>6100</v>
      </c>
      <c r="E285" s="111">
        <f>'3. Rekap Back Up Non Aspal '!E56</f>
        <v>4</v>
      </c>
      <c r="F285" s="112">
        <f>(100/((D285-C285)*E285))*((K292*0.05)+(N292*0.05)+(Q292*0.05)+(T292)+(Y292)+(AE292*1.5)+(AH292*1))</f>
        <v>75</v>
      </c>
      <c r="G285" s="113" t="str">
        <f>IF(F285&lt;=25,"RB",IF(F285&lt;=75,"RB",IF(F285&lt;=100,"RB","RB")))</f>
        <v>RB</v>
      </c>
      <c r="H285" s="183">
        <v>1</v>
      </c>
      <c r="I285" s="98">
        <v>0</v>
      </c>
      <c r="J285" s="98">
        <v>0</v>
      </c>
      <c r="K285" s="101">
        <f t="shared" ref="K285:K291" si="271">I285*J285</f>
        <v>0</v>
      </c>
      <c r="L285" s="98">
        <v>0</v>
      </c>
      <c r="M285" s="98">
        <v>0</v>
      </c>
      <c r="N285" s="101">
        <f t="shared" ref="N285:N291" si="272">L285*M285</f>
        <v>0</v>
      </c>
      <c r="O285" s="98">
        <v>0</v>
      </c>
      <c r="P285" s="98">
        <v>0</v>
      </c>
      <c r="Q285" s="101">
        <f t="shared" ref="Q285:Q291" si="273">O285*P285</f>
        <v>0</v>
      </c>
      <c r="R285" s="98">
        <v>0</v>
      </c>
      <c r="S285" s="98">
        <v>0</v>
      </c>
      <c r="T285" s="101">
        <f t="shared" ref="T285:T291" si="274">R285*S285</f>
        <v>0</v>
      </c>
      <c r="U285" s="183">
        <v>3</v>
      </c>
      <c r="V285" s="99">
        <v>3</v>
      </c>
      <c r="W285" s="98">
        <v>100</v>
      </c>
      <c r="X285" s="98">
        <v>3</v>
      </c>
      <c r="Y285" s="101">
        <f>W285*X285</f>
        <v>300</v>
      </c>
      <c r="Z285" s="101">
        <v>1</v>
      </c>
      <c r="AA285" s="183">
        <v>0</v>
      </c>
      <c r="AB285" s="99">
        <v>1</v>
      </c>
      <c r="AC285" s="98">
        <v>0</v>
      </c>
      <c r="AD285" s="98">
        <v>0</v>
      </c>
      <c r="AE285" s="101">
        <f t="shared" ref="AE285:AE291" si="275">AC285*AD285</f>
        <v>0</v>
      </c>
      <c r="AF285" s="98">
        <v>0</v>
      </c>
      <c r="AG285" s="98">
        <v>3</v>
      </c>
      <c r="AH285" s="99">
        <f t="shared" ref="AH285:AH291" si="276">AF285*AG285</f>
        <v>0</v>
      </c>
      <c r="AI285" s="101">
        <v>1</v>
      </c>
      <c r="AJ285" s="106"/>
    </row>
    <row r="286" spans="2:36" s="35" customFormat="1" ht="17.100000000000001" customHeight="1">
      <c r="B286" s="105"/>
      <c r="C286" s="54"/>
      <c r="D286" s="96"/>
      <c r="E286" s="111"/>
      <c r="F286" s="112"/>
      <c r="G286" s="113"/>
      <c r="H286" s="183">
        <v>1</v>
      </c>
      <c r="I286" s="98">
        <v>0</v>
      </c>
      <c r="J286" s="98">
        <v>0</v>
      </c>
      <c r="K286" s="101">
        <f t="shared" si="271"/>
        <v>0</v>
      </c>
      <c r="L286" s="100">
        <v>0</v>
      </c>
      <c r="M286" s="98">
        <v>0</v>
      </c>
      <c r="N286" s="101">
        <f t="shared" si="272"/>
        <v>0</v>
      </c>
      <c r="O286" s="100">
        <v>0</v>
      </c>
      <c r="P286" s="98">
        <v>0</v>
      </c>
      <c r="Q286" s="101">
        <f t="shared" si="273"/>
        <v>0</v>
      </c>
      <c r="R286" s="100">
        <v>0</v>
      </c>
      <c r="S286" s="98">
        <v>0</v>
      </c>
      <c r="T286" s="101">
        <f t="shared" si="274"/>
        <v>0</v>
      </c>
      <c r="U286" s="183">
        <v>1</v>
      </c>
      <c r="V286" s="99">
        <v>1</v>
      </c>
      <c r="W286" s="98">
        <v>0</v>
      </c>
      <c r="X286" s="98">
        <v>0</v>
      </c>
      <c r="Y286" s="101">
        <f t="shared" ref="Y286:Y291" si="277">W286*X286</f>
        <v>0</v>
      </c>
      <c r="Z286" s="101">
        <v>1</v>
      </c>
      <c r="AA286" s="183">
        <v>0</v>
      </c>
      <c r="AB286" s="99">
        <v>1</v>
      </c>
      <c r="AC286" s="98">
        <v>0</v>
      </c>
      <c r="AD286" s="98">
        <v>0</v>
      </c>
      <c r="AE286" s="101">
        <f t="shared" si="275"/>
        <v>0</v>
      </c>
      <c r="AF286" s="100">
        <v>0</v>
      </c>
      <c r="AG286" s="98">
        <v>0</v>
      </c>
      <c r="AH286" s="99">
        <f t="shared" si="276"/>
        <v>0</v>
      </c>
      <c r="AI286" s="101">
        <v>1</v>
      </c>
      <c r="AJ286" s="106"/>
    </row>
    <row r="287" spans="2:36" s="35" customFormat="1" ht="17.100000000000001" customHeight="1">
      <c r="B287" s="105"/>
      <c r="C287" s="54"/>
      <c r="D287" s="96"/>
      <c r="E287" s="111"/>
      <c r="F287" s="112"/>
      <c r="G287" s="113"/>
      <c r="H287" s="183">
        <v>1</v>
      </c>
      <c r="I287" s="98">
        <v>0</v>
      </c>
      <c r="J287" s="98">
        <v>0</v>
      </c>
      <c r="K287" s="101">
        <f t="shared" si="271"/>
        <v>0</v>
      </c>
      <c r="L287" s="100">
        <v>0</v>
      </c>
      <c r="M287" s="98">
        <v>0</v>
      </c>
      <c r="N287" s="101">
        <f t="shared" si="272"/>
        <v>0</v>
      </c>
      <c r="O287" s="100">
        <v>0</v>
      </c>
      <c r="P287" s="98">
        <v>0</v>
      </c>
      <c r="Q287" s="101">
        <f t="shared" si="273"/>
        <v>0</v>
      </c>
      <c r="R287" s="100">
        <v>0</v>
      </c>
      <c r="S287" s="98">
        <v>0</v>
      </c>
      <c r="T287" s="101">
        <f t="shared" si="274"/>
        <v>0</v>
      </c>
      <c r="U287" s="183">
        <v>1</v>
      </c>
      <c r="V287" s="99">
        <v>1</v>
      </c>
      <c r="W287" s="98">
        <v>0</v>
      </c>
      <c r="X287" s="98">
        <v>0</v>
      </c>
      <c r="Y287" s="101">
        <f t="shared" si="277"/>
        <v>0</v>
      </c>
      <c r="Z287" s="101">
        <v>1</v>
      </c>
      <c r="AA287" s="183">
        <v>0</v>
      </c>
      <c r="AB287" s="99">
        <v>1</v>
      </c>
      <c r="AC287" s="98">
        <v>0</v>
      </c>
      <c r="AD287" s="98">
        <v>0</v>
      </c>
      <c r="AE287" s="101">
        <f t="shared" si="275"/>
        <v>0</v>
      </c>
      <c r="AF287" s="100">
        <v>0</v>
      </c>
      <c r="AG287" s="98">
        <v>0</v>
      </c>
      <c r="AH287" s="99">
        <f t="shared" si="276"/>
        <v>0</v>
      </c>
      <c r="AI287" s="101">
        <v>1</v>
      </c>
      <c r="AJ287" s="106"/>
    </row>
    <row r="288" spans="2:36" s="35" customFormat="1" ht="17.100000000000001" customHeight="1">
      <c r="B288" s="105"/>
      <c r="C288" s="54"/>
      <c r="D288" s="96"/>
      <c r="E288" s="111"/>
      <c r="F288" s="112"/>
      <c r="G288" s="113"/>
      <c r="H288" s="183">
        <v>1</v>
      </c>
      <c r="I288" s="98">
        <v>0</v>
      </c>
      <c r="J288" s="98">
        <v>0</v>
      </c>
      <c r="K288" s="101">
        <f t="shared" si="271"/>
        <v>0</v>
      </c>
      <c r="L288" s="100">
        <v>0</v>
      </c>
      <c r="M288" s="98">
        <v>0</v>
      </c>
      <c r="N288" s="101">
        <f t="shared" si="272"/>
        <v>0</v>
      </c>
      <c r="O288" s="100">
        <v>0</v>
      </c>
      <c r="P288" s="98">
        <v>0</v>
      </c>
      <c r="Q288" s="101">
        <f t="shared" si="273"/>
        <v>0</v>
      </c>
      <c r="R288" s="100">
        <v>0</v>
      </c>
      <c r="S288" s="98">
        <v>0</v>
      </c>
      <c r="T288" s="101">
        <f t="shared" si="274"/>
        <v>0</v>
      </c>
      <c r="U288" s="183">
        <v>1</v>
      </c>
      <c r="V288" s="99">
        <v>1</v>
      </c>
      <c r="W288" s="98">
        <v>0</v>
      </c>
      <c r="X288" s="98">
        <v>0</v>
      </c>
      <c r="Y288" s="101">
        <f t="shared" si="277"/>
        <v>0</v>
      </c>
      <c r="Z288" s="101">
        <v>1</v>
      </c>
      <c r="AA288" s="183">
        <v>0</v>
      </c>
      <c r="AB288" s="99">
        <v>1</v>
      </c>
      <c r="AC288" s="98">
        <v>0</v>
      </c>
      <c r="AD288" s="98">
        <v>0</v>
      </c>
      <c r="AE288" s="101">
        <f t="shared" si="275"/>
        <v>0</v>
      </c>
      <c r="AF288" s="100">
        <v>0</v>
      </c>
      <c r="AG288" s="98">
        <v>0</v>
      </c>
      <c r="AH288" s="99">
        <f t="shared" si="276"/>
        <v>0</v>
      </c>
      <c r="AI288" s="101">
        <v>1</v>
      </c>
      <c r="AJ288" s="106"/>
    </row>
    <row r="289" spans="2:36" s="35" customFormat="1" ht="17.100000000000001" customHeight="1">
      <c r="B289" s="105"/>
      <c r="C289" s="54"/>
      <c r="D289" s="96"/>
      <c r="E289" s="111"/>
      <c r="F289" s="112"/>
      <c r="G289" s="113"/>
      <c r="H289" s="183">
        <v>1</v>
      </c>
      <c r="I289" s="98">
        <v>0</v>
      </c>
      <c r="J289" s="98">
        <v>0</v>
      </c>
      <c r="K289" s="101">
        <f t="shared" si="271"/>
        <v>0</v>
      </c>
      <c r="L289" s="100">
        <v>0</v>
      </c>
      <c r="M289" s="98">
        <v>0</v>
      </c>
      <c r="N289" s="101">
        <f t="shared" si="272"/>
        <v>0</v>
      </c>
      <c r="O289" s="100">
        <v>0</v>
      </c>
      <c r="P289" s="98">
        <v>0</v>
      </c>
      <c r="Q289" s="101">
        <f t="shared" si="273"/>
        <v>0</v>
      </c>
      <c r="R289" s="100">
        <v>0</v>
      </c>
      <c r="S289" s="98">
        <v>0</v>
      </c>
      <c r="T289" s="101">
        <f t="shared" si="274"/>
        <v>0</v>
      </c>
      <c r="U289" s="183">
        <v>1</v>
      </c>
      <c r="V289" s="99">
        <v>1</v>
      </c>
      <c r="W289" s="98">
        <v>0</v>
      </c>
      <c r="X289" s="98">
        <v>0</v>
      </c>
      <c r="Y289" s="101">
        <f t="shared" si="277"/>
        <v>0</v>
      </c>
      <c r="Z289" s="101">
        <v>1</v>
      </c>
      <c r="AA289" s="183">
        <v>0</v>
      </c>
      <c r="AB289" s="99">
        <v>1</v>
      </c>
      <c r="AC289" s="98">
        <v>0</v>
      </c>
      <c r="AD289" s="98">
        <v>0</v>
      </c>
      <c r="AE289" s="101">
        <f t="shared" si="275"/>
        <v>0</v>
      </c>
      <c r="AF289" s="100">
        <v>0</v>
      </c>
      <c r="AG289" s="98">
        <v>0</v>
      </c>
      <c r="AH289" s="99">
        <f t="shared" si="276"/>
        <v>0</v>
      </c>
      <c r="AI289" s="101">
        <v>1</v>
      </c>
      <c r="AJ289" s="106"/>
    </row>
    <row r="290" spans="2:36" s="35" customFormat="1" ht="17.100000000000001" customHeight="1">
      <c r="B290" s="105"/>
      <c r="C290" s="54"/>
      <c r="D290" s="96"/>
      <c r="E290" s="111"/>
      <c r="F290" s="112"/>
      <c r="G290" s="113"/>
      <c r="H290" s="183">
        <v>1</v>
      </c>
      <c r="I290" s="98">
        <v>0</v>
      </c>
      <c r="J290" s="98">
        <v>0</v>
      </c>
      <c r="K290" s="101">
        <f t="shared" si="271"/>
        <v>0</v>
      </c>
      <c r="L290" s="100">
        <v>0</v>
      </c>
      <c r="M290" s="98">
        <v>0</v>
      </c>
      <c r="N290" s="101">
        <f t="shared" si="272"/>
        <v>0</v>
      </c>
      <c r="O290" s="100">
        <v>0</v>
      </c>
      <c r="P290" s="98">
        <v>0</v>
      </c>
      <c r="Q290" s="101">
        <f t="shared" si="273"/>
        <v>0</v>
      </c>
      <c r="R290" s="100">
        <v>0</v>
      </c>
      <c r="S290" s="98">
        <v>0</v>
      </c>
      <c r="T290" s="101">
        <f t="shared" si="274"/>
        <v>0</v>
      </c>
      <c r="U290" s="183">
        <v>1</v>
      </c>
      <c r="V290" s="99">
        <v>1</v>
      </c>
      <c r="W290" s="98">
        <v>0</v>
      </c>
      <c r="X290" s="98">
        <v>0</v>
      </c>
      <c r="Y290" s="101">
        <f t="shared" si="277"/>
        <v>0</v>
      </c>
      <c r="Z290" s="101">
        <v>1</v>
      </c>
      <c r="AA290" s="183">
        <v>0</v>
      </c>
      <c r="AB290" s="99">
        <v>1</v>
      </c>
      <c r="AC290" s="98">
        <v>0</v>
      </c>
      <c r="AD290" s="98">
        <v>0</v>
      </c>
      <c r="AE290" s="101">
        <f t="shared" si="275"/>
        <v>0</v>
      </c>
      <c r="AF290" s="100">
        <v>0</v>
      </c>
      <c r="AG290" s="98">
        <v>0</v>
      </c>
      <c r="AH290" s="99">
        <f t="shared" si="276"/>
        <v>0</v>
      </c>
      <c r="AI290" s="101">
        <v>1</v>
      </c>
      <c r="AJ290" s="106"/>
    </row>
    <row r="291" spans="2:36" s="35" customFormat="1" ht="17.100000000000001" customHeight="1">
      <c r="B291" s="105"/>
      <c r="C291" s="54"/>
      <c r="D291" s="96"/>
      <c r="E291" s="111"/>
      <c r="F291" s="112"/>
      <c r="G291" s="113"/>
      <c r="H291" s="183">
        <v>1</v>
      </c>
      <c r="I291" s="98">
        <v>0</v>
      </c>
      <c r="J291" s="98">
        <v>0</v>
      </c>
      <c r="K291" s="101">
        <f t="shared" si="271"/>
        <v>0</v>
      </c>
      <c r="L291" s="100">
        <v>0</v>
      </c>
      <c r="M291" s="98">
        <v>0</v>
      </c>
      <c r="N291" s="101">
        <f t="shared" si="272"/>
        <v>0</v>
      </c>
      <c r="O291" s="100">
        <v>0</v>
      </c>
      <c r="P291" s="98">
        <v>0</v>
      </c>
      <c r="Q291" s="101">
        <f t="shared" si="273"/>
        <v>0</v>
      </c>
      <c r="R291" s="100">
        <v>0</v>
      </c>
      <c r="S291" s="98">
        <v>0</v>
      </c>
      <c r="T291" s="101">
        <f t="shared" si="274"/>
        <v>0</v>
      </c>
      <c r="U291" s="183">
        <v>1</v>
      </c>
      <c r="V291" s="99">
        <v>1</v>
      </c>
      <c r="W291" s="98">
        <v>0</v>
      </c>
      <c r="X291" s="98">
        <v>0</v>
      </c>
      <c r="Y291" s="101">
        <f t="shared" si="277"/>
        <v>0</v>
      </c>
      <c r="Z291" s="101">
        <v>1</v>
      </c>
      <c r="AA291" s="183">
        <v>0</v>
      </c>
      <c r="AB291" s="99">
        <v>1</v>
      </c>
      <c r="AC291" s="98">
        <v>0</v>
      </c>
      <c r="AD291" s="98">
        <v>0</v>
      </c>
      <c r="AE291" s="101">
        <f t="shared" si="275"/>
        <v>0</v>
      </c>
      <c r="AF291" s="100">
        <v>0</v>
      </c>
      <c r="AG291" s="98">
        <v>0</v>
      </c>
      <c r="AH291" s="99">
        <f t="shared" si="276"/>
        <v>0</v>
      </c>
      <c r="AI291" s="101">
        <v>1</v>
      </c>
      <c r="AJ291" s="106"/>
    </row>
    <row r="292" spans="2:36" s="126" customFormat="1" ht="17.100000000000001" customHeight="1">
      <c r="B292" s="118"/>
      <c r="C292" s="119"/>
      <c r="D292" s="120"/>
      <c r="E292" s="121"/>
      <c r="F292" s="122"/>
      <c r="G292" s="123"/>
      <c r="H292" s="183">
        <v>1</v>
      </c>
      <c r="I292" s="363" t="s">
        <v>201</v>
      </c>
      <c r="J292" s="363"/>
      <c r="K292" s="124">
        <f>SUM(K285:K291)</f>
        <v>0</v>
      </c>
      <c r="L292" s="341" t="s">
        <v>201</v>
      </c>
      <c r="M292" s="342"/>
      <c r="N292" s="124">
        <f>SUM(N285:N291)</f>
        <v>0</v>
      </c>
      <c r="O292" s="341" t="s">
        <v>201</v>
      </c>
      <c r="P292" s="342"/>
      <c r="Q292" s="124">
        <f>SUM(Q285:Q291)</f>
        <v>0</v>
      </c>
      <c r="R292" s="341" t="s">
        <v>201</v>
      </c>
      <c r="S292" s="342"/>
      <c r="T292" s="124">
        <f>SUM(T285:T291)</f>
        <v>0</v>
      </c>
      <c r="U292" s="183">
        <v>1</v>
      </c>
      <c r="V292" s="99">
        <v>1</v>
      </c>
      <c r="W292" s="363" t="s">
        <v>201</v>
      </c>
      <c r="X292" s="363"/>
      <c r="Y292" s="124">
        <f>SUM(Y285:Y291)</f>
        <v>300</v>
      </c>
      <c r="Z292" s="101">
        <v>1</v>
      </c>
      <c r="AA292" s="183">
        <v>0</v>
      </c>
      <c r="AB292" s="99">
        <v>1</v>
      </c>
      <c r="AC292" s="363" t="s">
        <v>201</v>
      </c>
      <c r="AD292" s="363"/>
      <c r="AE292" s="124">
        <f>SUM(AE285:AE291)</f>
        <v>0</v>
      </c>
      <c r="AF292" s="364" t="s">
        <v>201</v>
      </c>
      <c r="AG292" s="363"/>
      <c r="AH292" s="143">
        <f>SUM(AH285:AH291)</f>
        <v>0</v>
      </c>
      <c r="AI292" s="101">
        <v>1</v>
      </c>
      <c r="AJ292" s="125"/>
    </row>
    <row r="293" spans="2:36" s="35" customFormat="1" ht="16.95" customHeight="1">
      <c r="B293" s="105"/>
      <c r="C293" s="54">
        <f>'3. Rekap Back Up Non Aspal '!C57</f>
        <v>6100</v>
      </c>
      <c r="D293" s="96">
        <f>'3. Rekap Back Up Non Aspal '!D57</f>
        <v>6200</v>
      </c>
      <c r="E293" s="111">
        <f>'3. Rekap Back Up Non Aspal '!E57</f>
        <v>4</v>
      </c>
      <c r="F293" s="112">
        <f>(100/((D293-C293)*E293))*((K300*0.05)+(N300*0.05)+(Q300*0.05)+(T300)+(Y300)+(AE300*1.5)+(AH300*1))</f>
        <v>75</v>
      </c>
      <c r="G293" s="113" t="str">
        <f>IF(F293&lt;=25,"RB",IF(F293&lt;=75,"RB",IF(F293&lt;=100,"RB","RB")))</f>
        <v>RB</v>
      </c>
      <c r="H293" s="183">
        <v>1</v>
      </c>
      <c r="I293" s="98">
        <v>0</v>
      </c>
      <c r="J293" s="98">
        <v>0</v>
      </c>
      <c r="K293" s="101">
        <f t="shared" ref="K293:K299" si="278">I293*J293</f>
        <v>0</v>
      </c>
      <c r="L293" s="98">
        <v>0</v>
      </c>
      <c r="M293" s="98">
        <v>0</v>
      </c>
      <c r="N293" s="101">
        <f t="shared" ref="N293:N299" si="279">L293*M293</f>
        <v>0</v>
      </c>
      <c r="O293" s="98">
        <v>0</v>
      </c>
      <c r="P293" s="98">
        <v>0</v>
      </c>
      <c r="Q293" s="101">
        <f t="shared" ref="Q293:Q299" si="280">O293*P293</f>
        <v>0</v>
      </c>
      <c r="R293" s="98">
        <v>0</v>
      </c>
      <c r="S293" s="98">
        <v>0</v>
      </c>
      <c r="T293" s="101">
        <f t="shared" ref="T293:T299" si="281">R293*S293</f>
        <v>0</v>
      </c>
      <c r="U293" s="183">
        <v>3</v>
      </c>
      <c r="V293" s="99">
        <v>3</v>
      </c>
      <c r="W293" s="98">
        <v>100</v>
      </c>
      <c r="X293" s="98">
        <v>3</v>
      </c>
      <c r="Y293" s="101">
        <f>W293*X293</f>
        <v>300</v>
      </c>
      <c r="Z293" s="101">
        <v>1</v>
      </c>
      <c r="AA293" s="183">
        <v>0</v>
      </c>
      <c r="AB293" s="99">
        <v>1</v>
      </c>
      <c r="AC293" s="98">
        <v>0</v>
      </c>
      <c r="AD293" s="98">
        <v>0</v>
      </c>
      <c r="AE293" s="101">
        <f t="shared" ref="AE293:AE299" si="282">AC293*AD293</f>
        <v>0</v>
      </c>
      <c r="AF293" s="98">
        <v>0</v>
      </c>
      <c r="AG293" s="98">
        <v>3</v>
      </c>
      <c r="AH293" s="99">
        <f t="shared" ref="AH293:AH299" si="283">AF293*AG293</f>
        <v>0</v>
      </c>
      <c r="AI293" s="101">
        <v>1</v>
      </c>
      <c r="AJ293" s="106"/>
    </row>
    <row r="294" spans="2:36" s="35" customFormat="1" ht="17.100000000000001" customHeight="1">
      <c r="B294" s="105"/>
      <c r="C294" s="54"/>
      <c r="D294" s="96"/>
      <c r="E294" s="111"/>
      <c r="F294" s="112"/>
      <c r="G294" s="113"/>
      <c r="H294" s="183">
        <v>1</v>
      </c>
      <c r="I294" s="98">
        <v>0</v>
      </c>
      <c r="J294" s="98">
        <v>0</v>
      </c>
      <c r="K294" s="101">
        <f t="shared" si="278"/>
        <v>0</v>
      </c>
      <c r="L294" s="100">
        <v>0</v>
      </c>
      <c r="M294" s="98">
        <v>0</v>
      </c>
      <c r="N294" s="101">
        <f t="shared" si="279"/>
        <v>0</v>
      </c>
      <c r="O294" s="100">
        <v>0</v>
      </c>
      <c r="P294" s="98">
        <v>0</v>
      </c>
      <c r="Q294" s="101">
        <f t="shared" si="280"/>
        <v>0</v>
      </c>
      <c r="R294" s="100">
        <v>0</v>
      </c>
      <c r="S294" s="98">
        <v>0</v>
      </c>
      <c r="T294" s="101">
        <f t="shared" si="281"/>
        <v>0</v>
      </c>
      <c r="U294" s="183">
        <v>1</v>
      </c>
      <c r="V294" s="99">
        <v>1</v>
      </c>
      <c r="W294" s="98">
        <v>0</v>
      </c>
      <c r="X294" s="98">
        <v>0</v>
      </c>
      <c r="Y294" s="101">
        <f t="shared" ref="Y294:Y299" si="284">W294*X294</f>
        <v>0</v>
      </c>
      <c r="Z294" s="101">
        <v>1</v>
      </c>
      <c r="AA294" s="183">
        <v>0</v>
      </c>
      <c r="AB294" s="99">
        <v>1</v>
      </c>
      <c r="AC294" s="98">
        <v>0</v>
      </c>
      <c r="AD294" s="98">
        <v>0</v>
      </c>
      <c r="AE294" s="101">
        <f t="shared" si="282"/>
        <v>0</v>
      </c>
      <c r="AF294" s="100">
        <v>0</v>
      </c>
      <c r="AG294" s="98">
        <v>0</v>
      </c>
      <c r="AH294" s="99">
        <f t="shared" si="283"/>
        <v>0</v>
      </c>
      <c r="AI294" s="101">
        <v>1</v>
      </c>
      <c r="AJ294" s="106"/>
    </row>
    <row r="295" spans="2:36" s="35" customFormat="1" ht="17.100000000000001" customHeight="1">
      <c r="B295" s="105"/>
      <c r="C295" s="54"/>
      <c r="D295" s="96"/>
      <c r="E295" s="111"/>
      <c r="F295" s="112"/>
      <c r="G295" s="113"/>
      <c r="H295" s="183">
        <v>1</v>
      </c>
      <c r="I295" s="98">
        <v>0</v>
      </c>
      <c r="J295" s="98">
        <v>0</v>
      </c>
      <c r="K295" s="101">
        <f t="shared" si="278"/>
        <v>0</v>
      </c>
      <c r="L295" s="100">
        <v>0</v>
      </c>
      <c r="M295" s="98">
        <v>0</v>
      </c>
      <c r="N295" s="101">
        <f t="shared" si="279"/>
        <v>0</v>
      </c>
      <c r="O295" s="100">
        <v>0</v>
      </c>
      <c r="P295" s="98">
        <v>0</v>
      </c>
      <c r="Q295" s="101">
        <f t="shared" si="280"/>
        <v>0</v>
      </c>
      <c r="R295" s="100">
        <v>0</v>
      </c>
      <c r="S295" s="98">
        <v>0</v>
      </c>
      <c r="T295" s="101">
        <f t="shared" si="281"/>
        <v>0</v>
      </c>
      <c r="U295" s="183">
        <v>1</v>
      </c>
      <c r="V295" s="99">
        <v>1</v>
      </c>
      <c r="W295" s="98">
        <v>0</v>
      </c>
      <c r="X295" s="98">
        <v>0</v>
      </c>
      <c r="Y295" s="101">
        <f t="shared" si="284"/>
        <v>0</v>
      </c>
      <c r="Z295" s="101">
        <v>1</v>
      </c>
      <c r="AA295" s="183">
        <v>0</v>
      </c>
      <c r="AB295" s="99">
        <v>1</v>
      </c>
      <c r="AC295" s="98">
        <v>0</v>
      </c>
      <c r="AD295" s="98">
        <v>0</v>
      </c>
      <c r="AE295" s="101">
        <f t="shared" si="282"/>
        <v>0</v>
      </c>
      <c r="AF295" s="100">
        <v>0</v>
      </c>
      <c r="AG295" s="98">
        <v>0</v>
      </c>
      <c r="AH295" s="99">
        <f t="shared" si="283"/>
        <v>0</v>
      </c>
      <c r="AI295" s="101">
        <v>1</v>
      </c>
      <c r="AJ295" s="106"/>
    </row>
    <row r="296" spans="2:36" s="35" customFormat="1" ht="17.100000000000001" customHeight="1">
      <c r="B296" s="105"/>
      <c r="C296" s="54"/>
      <c r="D296" s="96"/>
      <c r="E296" s="111"/>
      <c r="F296" s="112"/>
      <c r="G296" s="113"/>
      <c r="H296" s="183">
        <v>1</v>
      </c>
      <c r="I296" s="98">
        <v>0</v>
      </c>
      <c r="J296" s="98">
        <v>0</v>
      </c>
      <c r="K296" s="101">
        <f t="shared" si="278"/>
        <v>0</v>
      </c>
      <c r="L296" s="100">
        <v>0</v>
      </c>
      <c r="M296" s="98">
        <v>0</v>
      </c>
      <c r="N296" s="101">
        <f t="shared" si="279"/>
        <v>0</v>
      </c>
      <c r="O296" s="100">
        <v>0</v>
      </c>
      <c r="P296" s="98">
        <v>0</v>
      </c>
      <c r="Q296" s="101">
        <f t="shared" si="280"/>
        <v>0</v>
      </c>
      <c r="R296" s="100">
        <v>0</v>
      </c>
      <c r="S296" s="98">
        <v>0</v>
      </c>
      <c r="T296" s="101">
        <f t="shared" si="281"/>
        <v>0</v>
      </c>
      <c r="U296" s="183">
        <v>1</v>
      </c>
      <c r="V296" s="99">
        <v>1</v>
      </c>
      <c r="W296" s="98">
        <v>0</v>
      </c>
      <c r="X296" s="98">
        <v>0</v>
      </c>
      <c r="Y296" s="101">
        <f t="shared" si="284"/>
        <v>0</v>
      </c>
      <c r="Z296" s="101">
        <v>1</v>
      </c>
      <c r="AA296" s="183">
        <v>0</v>
      </c>
      <c r="AB296" s="99">
        <v>1</v>
      </c>
      <c r="AC296" s="98">
        <v>0</v>
      </c>
      <c r="AD296" s="98">
        <v>0</v>
      </c>
      <c r="AE296" s="101">
        <f t="shared" si="282"/>
        <v>0</v>
      </c>
      <c r="AF296" s="100">
        <v>0</v>
      </c>
      <c r="AG296" s="98">
        <v>0</v>
      </c>
      <c r="AH296" s="99">
        <f t="shared" si="283"/>
        <v>0</v>
      </c>
      <c r="AI296" s="101">
        <v>1</v>
      </c>
      <c r="AJ296" s="106"/>
    </row>
    <row r="297" spans="2:36" s="35" customFormat="1" ht="17.100000000000001" customHeight="1">
      <c r="B297" s="105"/>
      <c r="C297" s="54"/>
      <c r="D297" s="96"/>
      <c r="E297" s="111"/>
      <c r="F297" s="112"/>
      <c r="G297" s="113"/>
      <c r="H297" s="183">
        <v>1</v>
      </c>
      <c r="I297" s="98">
        <v>0</v>
      </c>
      <c r="J297" s="98">
        <v>0</v>
      </c>
      <c r="K297" s="101">
        <f t="shared" si="278"/>
        <v>0</v>
      </c>
      <c r="L297" s="100">
        <v>0</v>
      </c>
      <c r="M297" s="98">
        <v>0</v>
      </c>
      <c r="N297" s="101">
        <f t="shared" si="279"/>
        <v>0</v>
      </c>
      <c r="O297" s="100">
        <v>0</v>
      </c>
      <c r="P297" s="98">
        <v>0</v>
      </c>
      <c r="Q297" s="101">
        <f t="shared" si="280"/>
        <v>0</v>
      </c>
      <c r="R297" s="100">
        <v>0</v>
      </c>
      <c r="S297" s="98">
        <v>0</v>
      </c>
      <c r="T297" s="101">
        <f t="shared" si="281"/>
        <v>0</v>
      </c>
      <c r="U297" s="183">
        <v>1</v>
      </c>
      <c r="V297" s="99">
        <v>1</v>
      </c>
      <c r="W297" s="98">
        <v>0</v>
      </c>
      <c r="X297" s="98">
        <v>0</v>
      </c>
      <c r="Y297" s="101">
        <f t="shared" si="284"/>
        <v>0</v>
      </c>
      <c r="Z297" s="101">
        <v>1</v>
      </c>
      <c r="AA297" s="183">
        <v>0</v>
      </c>
      <c r="AB297" s="99">
        <v>1</v>
      </c>
      <c r="AC297" s="98">
        <v>0</v>
      </c>
      <c r="AD297" s="98">
        <v>0</v>
      </c>
      <c r="AE297" s="101">
        <f t="shared" si="282"/>
        <v>0</v>
      </c>
      <c r="AF297" s="100">
        <v>0</v>
      </c>
      <c r="AG297" s="98">
        <v>0</v>
      </c>
      <c r="AH297" s="99">
        <f t="shared" si="283"/>
        <v>0</v>
      </c>
      <c r="AI297" s="101">
        <v>1</v>
      </c>
      <c r="AJ297" s="106"/>
    </row>
    <row r="298" spans="2:36" s="35" customFormat="1" ht="17.100000000000001" customHeight="1">
      <c r="B298" s="105"/>
      <c r="C298" s="54"/>
      <c r="D298" s="96"/>
      <c r="E298" s="111"/>
      <c r="F298" s="112"/>
      <c r="G298" s="113"/>
      <c r="H298" s="183">
        <v>1</v>
      </c>
      <c r="I298" s="98">
        <v>0</v>
      </c>
      <c r="J298" s="98">
        <v>0</v>
      </c>
      <c r="K298" s="101">
        <f t="shared" si="278"/>
        <v>0</v>
      </c>
      <c r="L298" s="100">
        <v>0</v>
      </c>
      <c r="M298" s="98">
        <v>0</v>
      </c>
      <c r="N298" s="101">
        <f t="shared" si="279"/>
        <v>0</v>
      </c>
      <c r="O298" s="100">
        <v>0</v>
      </c>
      <c r="P298" s="98">
        <v>0</v>
      </c>
      <c r="Q298" s="101">
        <f t="shared" si="280"/>
        <v>0</v>
      </c>
      <c r="R298" s="100">
        <v>0</v>
      </c>
      <c r="S298" s="98">
        <v>0</v>
      </c>
      <c r="T298" s="101">
        <f t="shared" si="281"/>
        <v>0</v>
      </c>
      <c r="U298" s="183">
        <v>1</v>
      </c>
      <c r="V298" s="99">
        <v>1</v>
      </c>
      <c r="W298" s="98">
        <v>0</v>
      </c>
      <c r="X298" s="98">
        <v>0</v>
      </c>
      <c r="Y298" s="101">
        <f t="shared" si="284"/>
        <v>0</v>
      </c>
      <c r="Z298" s="101">
        <v>1</v>
      </c>
      <c r="AA298" s="183">
        <v>0</v>
      </c>
      <c r="AB298" s="99">
        <v>1</v>
      </c>
      <c r="AC298" s="98">
        <v>0</v>
      </c>
      <c r="AD298" s="98">
        <v>0</v>
      </c>
      <c r="AE298" s="101">
        <f t="shared" si="282"/>
        <v>0</v>
      </c>
      <c r="AF298" s="100">
        <v>0</v>
      </c>
      <c r="AG298" s="98">
        <v>0</v>
      </c>
      <c r="AH298" s="99">
        <f t="shared" si="283"/>
        <v>0</v>
      </c>
      <c r="AI298" s="101">
        <v>1</v>
      </c>
      <c r="AJ298" s="106"/>
    </row>
    <row r="299" spans="2:36" s="35" customFormat="1" ht="17.100000000000001" customHeight="1">
      <c r="B299" s="105"/>
      <c r="C299" s="54"/>
      <c r="D299" s="96"/>
      <c r="E299" s="111"/>
      <c r="F299" s="112"/>
      <c r="G299" s="113"/>
      <c r="H299" s="183">
        <v>1</v>
      </c>
      <c r="I299" s="98">
        <v>0</v>
      </c>
      <c r="J299" s="98">
        <v>0</v>
      </c>
      <c r="K299" s="101">
        <f t="shared" si="278"/>
        <v>0</v>
      </c>
      <c r="L299" s="100">
        <v>0</v>
      </c>
      <c r="M299" s="98">
        <v>0</v>
      </c>
      <c r="N299" s="101">
        <f t="shared" si="279"/>
        <v>0</v>
      </c>
      <c r="O299" s="100">
        <v>0</v>
      </c>
      <c r="P299" s="98">
        <v>0</v>
      </c>
      <c r="Q299" s="101">
        <f t="shared" si="280"/>
        <v>0</v>
      </c>
      <c r="R299" s="100">
        <v>0</v>
      </c>
      <c r="S299" s="98">
        <v>0</v>
      </c>
      <c r="T299" s="101">
        <f t="shared" si="281"/>
        <v>0</v>
      </c>
      <c r="U299" s="183">
        <v>1</v>
      </c>
      <c r="V299" s="99">
        <v>1</v>
      </c>
      <c r="W299" s="98">
        <v>0</v>
      </c>
      <c r="X299" s="98">
        <v>0</v>
      </c>
      <c r="Y299" s="101">
        <f t="shared" si="284"/>
        <v>0</v>
      </c>
      <c r="Z299" s="101">
        <v>1</v>
      </c>
      <c r="AA299" s="183">
        <v>0</v>
      </c>
      <c r="AB299" s="99">
        <v>1</v>
      </c>
      <c r="AC299" s="98">
        <v>0</v>
      </c>
      <c r="AD299" s="98">
        <v>0</v>
      </c>
      <c r="AE299" s="101">
        <f t="shared" si="282"/>
        <v>0</v>
      </c>
      <c r="AF299" s="100">
        <v>0</v>
      </c>
      <c r="AG299" s="98">
        <v>0</v>
      </c>
      <c r="AH299" s="99">
        <f t="shared" si="283"/>
        <v>0</v>
      </c>
      <c r="AI299" s="101">
        <v>1</v>
      </c>
      <c r="AJ299" s="106"/>
    </row>
    <row r="300" spans="2:36" s="126" customFormat="1" ht="17.100000000000001" customHeight="1">
      <c r="B300" s="118"/>
      <c r="C300" s="119"/>
      <c r="D300" s="120"/>
      <c r="E300" s="121"/>
      <c r="F300" s="122"/>
      <c r="G300" s="123"/>
      <c r="H300" s="183">
        <v>1</v>
      </c>
      <c r="I300" s="363" t="s">
        <v>201</v>
      </c>
      <c r="J300" s="363"/>
      <c r="K300" s="124">
        <f>SUM(K293:K299)</f>
        <v>0</v>
      </c>
      <c r="L300" s="341" t="s">
        <v>201</v>
      </c>
      <c r="M300" s="342"/>
      <c r="N300" s="124">
        <f>SUM(N293:N299)</f>
        <v>0</v>
      </c>
      <c r="O300" s="341" t="s">
        <v>201</v>
      </c>
      <c r="P300" s="342"/>
      <c r="Q300" s="124">
        <f>SUM(Q293:Q299)</f>
        <v>0</v>
      </c>
      <c r="R300" s="341" t="s">
        <v>201</v>
      </c>
      <c r="S300" s="342"/>
      <c r="T300" s="124">
        <f>SUM(T293:T299)</f>
        <v>0</v>
      </c>
      <c r="U300" s="183">
        <v>1</v>
      </c>
      <c r="V300" s="99">
        <v>1</v>
      </c>
      <c r="W300" s="363" t="s">
        <v>201</v>
      </c>
      <c r="X300" s="363"/>
      <c r="Y300" s="124">
        <f>SUM(Y293:Y299)</f>
        <v>300</v>
      </c>
      <c r="Z300" s="101">
        <v>1</v>
      </c>
      <c r="AA300" s="183">
        <v>0</v>
      </c>
      <c r="AB300" s="99">
        <v>1</v>
      </c>
      <c r="AC300" s="363" t="s">
        <v>201</v>
      </c>
      <c r="AD300" s="363"/>
      <c r="AE300" s="124">
        <f>SUM(AE293:AE299)</f>
        <v>0</v>
      </c>
      <c r="AF300" s="364" t="s">
        <v>201</v>
      </c>
      <c r="AG300" s="363"/>
      <c r="AH300" s="143">
        <f>SUM(AH293:AH299)</f>
        <v>0</v>
      </c>
      <c r="AI300" s="101">
        <v>1</v>
      </c>
      <c r="AJ300" s="125"/>
    </row>
    <row r="301" spans="2:36" s="35" customFormat="1" ht="16.95" customHeight="1">
      <c r="B301" s="105"/>
      <c r="C301" s="54">
        <f>'3. Rekap Back Up Non Aspal '!C58</f>
        <v>6200</v>
      </c>
      <c r="D301" s="96">
        <f>'3. Rekap Back Up Non Aspal '!D58</f>
        <v>6300</v>
      </c>
      <c r="E301" s="111">
        <f>'3. Rekap Back Up Non Aspal '!E58</f>
        <v>4</v>
      </c>
      <c r="F301" s="112">
        <f>(100/((D301-C301)*E301))*((K308*0.05)+(N308*0.05)+(Q308*0.05)+(T308)+(Y308)+(AE308*1.5)+(AH308*1))</f>
        <v>75</v>
      </c>
      <c r="G301" s="113" t="str">
        <f>IF(F301&lt;=25,"RB",IF(F301&lt;=75,"RB",IF(F301&lt;=100,"RB","RB")))</f>
        <v>RB</v>
      </c>
      <c r="H301" s="183">
        <v>1</v>
      </c>
      <c r="I301" s="98">
        <v>0</v>
      </c>
      <c r="J301" s="98">
        <v>0</v>
      </c>
      <c r="K301" s="101">
        <f t="shared" ref="K301:K307" si="285">I301*J301</f>
        <v>0</v>
      </c>
      <c r="L301" s="98">
        <v>0</v>
      </c>
      <c r="M301" s="98">
        <v>0</v>
      </c>
      <c r="N301" s="101">
        <f t="shared" ref="N301:N307" si="286">L301*M301</f>
        <v>0</v>
      </c>
      <c r="O301" s="98">
        <v>0</v>
      </c>
      <c r="P301" s="98">
        <v>0</v>
      </c>
      <c r="Q301" s="101">
        <f t="shared" ref="Q301:Q307" si="287">O301*P301</f>
        <v>0</v>
      </c>
      <c r="R301" s="98">
        <v>0</v>
      </c>
      <c r="S301" s="98">
        <v>0</v>
      </c>
      <c r="T301" s="101">
        <f t="shared" ref="T301:T307" si="288">R301*S301</f>
        <v>0</v>
      </c>
      <c r="U301" s="183">
        <v>3</v>
      </c>
      <c r="V301" s="99">
        <v>3</v>
      </c>
      <c r="W301" s="98">
        <v>100</v>
      </c>
      <c r="X301" s="98">
        <v>3</v>
      </c>
      <c r="Y301" s="101">
        <f>W301*X301</f>
        <v>300</v>
      </c>
      <c r="Z301" s="101">
        <v>1</v>
      </c>
      <c r="AA301" s="183">
        <v>0</v>
      </c>
      <c r="AB301" s="99">
        <v>1</v>
      </c>
      <c r="AC301" s="98">
        <v>0</v>
      </c>
      <c r="AD301" s="98">
        <v>0</v>
      </c>
      <c r="AE301" s="101">
        <f t="shared" ref="AE301:AE307" si="289">AC301*AD301</f>
        <v>0</v>
      </c>
      <c r="AF301" s="98">
        <v>0</v>
      </c>
      <c r="AG301" s="98">
        <v>3</v>
      </c>
      <c r="AH301" s="99">
        <f t="shared" ref="AH301:AH307" si="290">AF301*AG301</f>
        <v>0</v>
      </c>
      <c r="AI301" s="101">
        <v>1</v>
      </c>
      <c r="AJ301" s="106"/>
    </row>
    <row r="302" spans="2:36" s="35" customFormat="1" ht="17.100000000000001" customHeight="1">
      <c r="B302" s="105"/>
      <c r="C302" s="54"/>
      <c r="D302" s="96"/>
      <c r="E302" s="111"/>
      <c r="F302" s="112"/>
      <c r="G302" s="113"/>
      <c r="H302" s="183">
        <v>1</v>
      </c>
      <c r="I302" s="98">
        <v>0</v>
      </c>
      <c r="J302" s="98">
        <v>0</v>
      </c>
      <c r="K302" s="101">
        <f t="shared" si="285"/>
        <v>0</v>
      </c>
      <c r="L302" s="100">
        <v>0</v>
      </c>
      <c r="M302" s="98">
        <v>0</v>
      </c>
      <c r="N302" s="101">
        <f t="shared" si="286"/>
        <v>0</v>
      </c>
      <c r="O302" s="100">
        <v>0</v>
      </c>
      <c r="P302" s="98">
        <v>0</v>
      </c>
      <c r="Q302" s="101">
        <f t="shared" si="287"/>
        <v>0</v>
      </c>
      <c r="R302" s="100">
        <v>0</v>
      </c>
      <c r="S302" s="98">
        <v>0</v>
      </c>
      <c r="T302" s="101">
        <f t="shared" si="288"/>
        <v>0</v>
      </c>
      <c r="U302" s="183">
        <v>1</v>
      </c>
      <c r="V302" s="99">
        <v>1</v>
      </c>
      <c r="W302" s="98">
        <v>0</v>
      </c>
      <c r="X302" s="98">
        <v>0</v>
      </c>
      <c r="Y302" s="101">
        <f t="shared" ref="Y302:Y307" si="291">W302*X302</f>
        <v>0</v>
      </c>
      <c r="Z302" s="101">
        <v>1</v>
      </c>
      <c r="AA302" s="183">
        <v>0</v>
      </c>
      <c r="AB302" s="99">
        <v>1</v>
      </c>
      <c r="AC302" s="98">
        <v>0</v>
      </c>
      <c r="AD302" s="98">
        <v>0</v>
      </c>
      <c r="AE302" s="101">
        <f t="shared" si="289"/>
        <v>0</v>
      </c>
      <c r="AF302" s="100">
        <v>0</v>
      </c>
      <c r="AG302" s="98">
        <v>0</v>
      </c>
      <c r="AH302" s="99">
        <f t="shared" si="290"/>
        <v>0</v>
      </c>
      <c r="AI302" s="101">
        <v>1</v>
      </c>
      <c r="AJ302" s="106"/>
    </row>
    <row r="303" spans="2:36" s="35" customFormat="1" ht="17.100000000000001" customHeight="1">
      <c r="B303" s="105"/>
      <c r="C303" s="54"/>
      <c r="D303" s="96"/>
      <c r="E303" s="111"/>
      <c r="F303" s="112"/>
      <c r="G303" s="113"/>
      <c r="H303" s="183">
        <v>1</v>
      </c>
      <c r="I303" s="98">
        <v>0</v>
      </c>
      <c r="J303" s="98">
        <v>0</v>
      </c>
      <c r="K303" s="101">
        <f t="shared" si="285"/>
        <v>0</v>
      </c>
      <c r="L303" s="100">
        <v>0</v>
      </c>
      <c r="M303" s="98">
        <v>0</v>
      </c>
      <c r="N303" s="101">
        <f t="shared" si="286"/>
        <v>0</v>
      </c>
      <c r="O303" s="100">
        <v>0</v>
      </c>
      <c r="P303" s="98">
        <v>0</v>
      </c>
      <c r="Q303" s="101">
        <f t="shared" si="287"/>
        <v>0</v>
      </c>
      <c r="R303" s="100">
        <v>0</v>
      </c>
      <c r="S303" s="98">
        <v>0</v>
      </c>
      <c r="T303" s="101">
        <f t="shared" si="288"/>
        <v>0</v>
      </c>
      <c r="U303" s="183">
        <v>1</v>
      </c>
      <c r="V303" s="99">
        <v>1</v>
      </c>
      <c r="W303" s="98">
        <v>0</v>
      </c>
      <c r="X303" s="98">
        <v>0</v>
      </c>
      <c r="Y303" s="101">
        <f t="shared" si="291"/>
        <v>0</v>
      </c>
      <c r="Z303" s="101">
        <v>1</v>
      </c>
      <c r="AA303" s="183">
        <v>0</v>
      </c>
      <c r="AB303" s="99">
        <v>1</v>
      </c>
      <c r="AC303" s="98">
        <v>0</v>
      </c>
      <c r="AD303" s="98">
        <v>0</v>
      </c>
      <c r="AE303" s="101">
        <f t="shared" si="289"/>
        <v>0</v>
      </c>
      <c r="AF303" s="100">
        <v>0</v>
      </c>
      <c r="AG303" s="98">
        <v>0</v>
      </c>
      <c r="AH303" s="99">
        <f t="shared" si="290"/>
        <v>0</v>
      </c>
      <c r="AI303" s="101">
        <v>1</v>
      </c>
      <c r="AJ303" s="106"/>
    </row>
    <row r="304" spans="2:36" s="35" customFormat="1" ht="17.100000000000001" customHeight="1">
      <c r="B304" s="105"/>
      <c r="C304" s="54"/>
      <c r="D304" s="96"/>
      <c r="E304" s="111"/>
      <c r="F304" s="112"/>
      <c r="G304" s="113"/>
      <c r="H304" s="183">
        <v>1</v>
      </c>
      <c r="I304" s="98">
        <v>0</v>
      </c>
      <c r="J304" s="98">
        <v>0</v>
      </c>
      <c r="K304" s="101">
        <f t="shared" si="285"/>
        <v>0</v>
      </c>
      <c r="L304" s="100">
        <v>0</v>
      </c>
      <c r="M304" s="98">
        <v>0</v>
      </c>
      <c r="N304" s="101">
        <f t="shared" si="286"/>
        <v>0</v>
      </c>
      <c r="O304" s="100">
        <v>0</v>
      </c>
      <c r="P304" s="98">
        <v>0</v>
      </c>
      <c r="Q304" s="101">
        <f t="shared" si="287"/>
        <v>0</v>
      </c>
      <c r="R304" s="100">
        <v>0</v>
      </c>
      <c r="S304" s="98">
        <v>0</v>
      </c>
      <c r="T304" s="101">
        <f t="shared" si="288"/>
        <v>0</v>
      </c>
      <c r="U304" s="183">
        <v>1</v>
      </c>
      <c r="V304" s="99">
        <v>1</v>
      </c>
      <c r="W304" s="98">
        <v>0</v>
      </c>
      <c r="X304" s="98">
        <v>0</v>
      </c>
      <c r="Y304" s="101">
        <f t="shared" si="291"/>
        <v>0</v>
      </c>
      <c r="Z304" s="101">
        <v>1</v>
      </c>
      <c r="AA304" s="183">
        <v>0</v>
      </c>
      <c r="AB304" s="99">
        <v>1</v>
      </c>
      <c r="AC304" s="98">
        <v>0</v>
      </c>
      <c r="AD304" s="98">
        <v>0</v>
      </c>
      <c r="AE304" s="101">
        <f t="shared" si="289"/>
        <v>0</v>
      </c>
      <c r="AF304" s="100">
        <v>0</v>
      </c>
      <c r="AG304" s="98">
        <v>0</v>
      </c>
      <c r="AH304" s="99">
        <f t="shared" si="290"/>
        <v>0</v>
      </c>
      <c r="AI304" s="101">
        <v>1</v>
      </c>
      <c r="AJ304" s="106"/>
    </row>
    <row r="305" spans="2:36" s="35" customFormat="1" ht="17.100000000000001" customHeight="1">
      <c r="B305" s="105"/>
      <c r="C305" s="54"/>
      <c r="D305" s="96"/>
      <c r="E305" s="111"/>
      <c r="F305" s="112"/>
      <c r="G305" s="113"/>
      <c r="H305" s="183">
        <v>1</v>
      </c>
      <c r="I305" s="98">
        <v>0</v>
      </c>
      <c r="J305" s="98">
        <v>0</v>
      </c>
      <c r="K305" s="101">
        <f t="shared" si="285"/>
        <v>0</v>
      </c>
      <c r="L305" s="100">
        <v>0</v>
      </c>
      <c r="M305" s="98">
        <v>0</v>
      </c>
      <c r="N305" s="101">
        <f t="shared" si="286"/>
        <v>0</v>
      </c>
      <c r="O305" s="100">
        <v>0</v>
      </c>
      <c r="P305" s="98">
        <v>0</v>
      </c>
      <c r="Q305" s="101">
        <f t="shared" si="287"/>
        <v>0</v>
      </c>
      <c r="R305" s="100">
        <v>0</v>
      </c>
      <c r="S305" s="98">
        <v>0</v>
      </c>
      <c r="T305" s="101">
        <f t="shared" si="288"/>
        <v>0</v>
      </c>
      <c r="U305" s="183">
        <v>1</v>
      </c>
      <c r="V305" s="99">
        <v>1</v>
      </c>
      <c r="W305" s="98">
        <v>0</v>
      </c>
      <c r="X305" s="98">
        <v>0</v>
      </c>
      <c r="Y305" s="101">
        <f t="shared" si="291"/>
        <v>0</v>
      </c>
      <c r="Z305" s="101">
        <v>1</v>
      </c>
      <c r="AA305" s="183">
        <v>0</v>
      </c>
      <c r="AB305" s="99">
        <v>1</v>
      </c>
      <c r="AC305" s="98">
        <v>0</v>
      </c>
      <c r="AD305" s="98">
        <v>0</v>
      </c>
      <c r="AE305" s="101">
        <f t="shared" si="289"/>
        <v>0</v>
      </c>
      <c r="AF305" s="100">
        <v>0</v>
      </c>
      <c r="AG305" s="98">
        <v>0</v>
      </c>
      <c r="AH305" s="99">
        <f t="shared" si="290"/>
        <v>0</v>
      </c>
      <c r="AI305" s="101">
        <v>1</v>
      </c>
      <c r="AJ305" s="106"/>
    </row>
    <row r="306" spans="2:36" s="35" customFormat="1" ht="17.100000000000001" customHeight="1">
      <c r="B306" s="105"/>
      <c r="C306" s="54"/>
      <c r="D306" s="96"/>
      <c r="E306" s="111"/>
      <c r="F306" s="112"/>
      <c r="G306" s="113"/>
      <c r="H306" s="183">
        <v>1</v>
      </c>
      <c r="I306" s="98">
        <v>0</v>
      </c>
      <c r="J306" s="98">
        <v>0</v>
      </c>
      <c r="K306" s="101">
        <f t="shared" si="285"/>
        <v>0</v>
      </c>
      <c r="L306" s="100">
        <v>0</v>
      </c>
      <c r="M306" s="98">
        <v>0</v>
      </c>
      <c r="N306" s="101">
        <f t="shared" si="286"/>
        <v>0</v>
      </c>
      <c r="O306" s="100">
        <v>0</v>
      </c>
      <c r="P306" s="98">
        <v>0</v>
      </c>
      <c r="Q306" s="101">
        <f t="shared" si="287"/>
        <v>0</v>
      </c>
      <c r="R306" s="100">
        <v>0</v>
      </c>
      <c r="S306" s="98">
        <v>0</v>
      </c>
      <c r="T306" s="101">
        <f t="shared" si="288"/>
        <v>0</v>
      </c>
      <c r="U306" s="183">
        <v>1</v>
      </c>
      <c r="V306" s="99">
        <v>1</v>
      </c>
      <c r="W306" s="98">
        <v>0</v>
      </c>
      <c r="X306" s="98">
        <v>0</v>
      </c>
      <c r="Y306" s="101">
        <f t="shared" si="291"/>
        <v>0</v>
      </c>
      <c r="Z306" s="101">
        <v>1</v>
      </c>
      <c r="AA306" s="183">
        <v>0</v>
      </c>
      <c r="AB306" s="99">
        <v>1</v>
      </c>
      <c r="AC306" s="98">
        <v>0</v>
      </c>
      <c r="AD306" s="98">
        <v>0</v>
      </c>
      <c r="AE306" s="101">
        <f t="shared" si="289"/>
        <v>0</v>
      </c>
      <c r="AF306" s="100">
        <v>0</v>
      </c>
      <c r="AG306" s="98">
        <v>0</v>
      </c>
      <c r="AH306" s="99">
        <f t="shared" si="290"/>
        <v>0</v>
      </c>
      <c r="AI306" s="101">
        <v>1</v>
      </c>
      <c r="AJ306" s="106"/>
    </row>
    <row r="307" spans="2:36" s="35" customFormat="1" ht="17.100000000000001" customHeight="1">
      <c r="B307" s="105"/>
      <c r="C307" s="54"/>
      <c r="D307" s="96"/>
      <c r="E307" s="111"/>
      <c r="F307" s="112"/>
      <c r="G307" s="113"/>
      <c r="H307" s="183">
        <v>1</v>
      </c>
      <c r="I307" s="98">
        <v>0</v>
      </c>
      <c r="J307" s="98">
        <v>0</v>
      </c>
      <c r="K307" s="101">
        <f t="shared" si="285"/>
        <v>0</v>
      </c>
      <c r="L307" s="100">
        <v>0</v>
      </c>
      <c r="M307" s="98">
        <v>0</v>
      </c>
      <c r="N307" s="101">
        <f t="shared" si="286"/>
        <v>0</v>
      </c>
      <c r="O307" s="100">
        <v>0</v>
      </c>
      <c r="P307" s="98">
        <v>0</v>
      </c>
      <c r="Q307" s="101">
        <f t="shared" si="287"/>
        <v>0</v>
      </c>
      <c r="R307" s="100">
        <v>0</v>
      </c>
      <c r="S307" s="98">
        <v>0</v>
      </c>
      <c r="T307" s="101">
        <f t="shared" si="288"/>
        <v>0</v>
      </c>
      <c r="U307" s="183">
        <v>1</v>
      </c>
      <c r="V307" s="99">
        <v>1</v>
      </c>
      <c r="W307" s="98">
        <v>0</v>
      </c>
      <c r="X307" s="98">
        <v>0</v>
      </c>
      <c r="Y307" s="101">
        <f t="shared" si="291"/>
        <v>0</v>
      </c>
      <c r="Z307" s="101">
        <v>1</v>
      </c>
      <c r="AA307" s="183">
        <v>0</v>
      </c>
      <c r="AB307" s="99">
        <v>1</v>
      </c>
      <c r="AC307" s="98">
        <v>0</v>
      </c>
      <c r="AD307" s="98">
        <v>0</v>
      </c>
      <c r="AE307" s="101">
        <f t="shared" si="289"/>
        <v>0</v>
      </c>
      <c r="AF307" s="100">
        <v>0</v>
      </c>
      <c r="AG307" s="98">
        <v>0</v>
      </c>
      <c r="AH307" s="99">
        <f t="shared" si="290"/>
        <v>0</v>
      </c>
      <c r="AI307" s="101">
        <v>1</v>
      </c>
      <c r="AJ307" s="106"/>
    </row>
    <row r="308" spans="2:36" s="126" customFormat="1" ht="17.100000000000001" customHeight="1">
      <c r="B308" s="118"/>
      <c r="C308" s="119"/>
      <c r="D308" s="120"/>
      <c r="E308" s="121"/>
      <c r="F308" s="122"/>
      <c r="G308" s="123"/>
      <c r="H308" s="183">
        <v>1</v>
      </c>
      <c r="I308" s="363" t="s">
        <v>201</v>
      </c>
      <c r="J308" s="363"/>
      <c r="K308" s="124">
        <f>SUM(K301:K307)</f>
        <v>0</v>
      </c>
      <c r="L308" s="341" t="s">
        <v>201</v>
      </c>
      <c r="M308" s="342"/>
      <c r="N308" s="124">
        <f>SUM(N301:N307)</f>
        <v>0</v>
      </c>
      <c r="O308" s="341" t="s">
        <v>201</v>
      </c>
      <c r="P308" s="342"/>
      <c r="Q308" s="124">
        <f>SUM(Q301:Q307)</f>
        <v>0</v>
      </c>
      <c r="R308" s="341" t="s">
        <v>201</v>
      </c>
      <c r="S308" s="342"/>
      <c r="T308" s="124">
        <f>SUM(T301:T307)</f>
        <v>0</v>
      </c>
      <c r="U308" s="183">
        <v>1</v>
      </c>
      <c r="V308" s="99">
        <v>1</v>
      </c>
      <c r="W308" s="363" t="s">
        <v>201</v>
      </c>
      <c r="X308" s="363"/>
      <c r="Y308" s="124">
        <f>SUM(Y301:Y307)</f>
        <v>300</v>
      </c>
      <c r="Z308" s="101">
        <v>1</v>
      </c>
      <c r="AA308" s="183">
        <v>0</v>
      </c>
      <c r="AB308" s="99">
        <v>1</v>
      </c>
      <c r="AC308" s="363" t="s">
        <v>201</v>
      </c>
      <c r="AD308" s="363"/>
      <c r="AE308" s="124">
        <f>SUM(AE301:AE307)</f>
        <v>0</v>
      </c>
      <c r="AF308" s="364" t="s">
        <v>201</v>
      </c>
      <c r="AG308" s="363"/>
      <c r="AH308" s="143">
        <f>SUM(AH301:AH307)</f>
        <v>0</v>
      </c>
      <c r="AI308" s="101">
        <v>1</v>
      </c>
      <c r="AJ308" s="125"/>
    </row>
    <row r="309" spans="2:36" s="35" customFormat="1" ht="16.95" customHeight="1">
      <c r="B309" s="105"/>
      <c r="C309" s="54">
        <f>'3. Rekap Back Up Non Aspal '!C59</f>
        <v>6300</v>
      </c>
      <c r="D309" s="96">
        <f>'3. Rekap Back Up Non Aspal '!D59</f>
        <v>6400</v>
      </c>
      <c r="E309" s="111">
        <f>'3. Rekap Back Up Non Aspal '!E59</f>
        <v>4</v>
      </c>
      <c r="F309" s="112">
        <f>(100/((D309-C309)*E309))*((K316*0.05)+(N316*0.05)+(Q316*0.05)+(T316)+(Y316)+(AE316*1.5)+(AH316*1))</f>
        <v>75</v>
      </c>
      <c r="G309" s="113" t="str">
        <f>IF(F309&lt;=25,"RB",IF(F309&lt;=75,"RB",IF(F309&lt;=100,"RB","RB")))</f>
        <v>RB</v>
      </c>
      <c r="H309" s="183">
        <v>1</v>
      </c>
      <c r="I309" s="98">
        <v>0</v>
      </c>
      <c r="J309" s="98">
        <v>0</v>
      </c>
      <c r="K309" s="101">
        <f t="shared" ref="K309:K315" si="292">I309*J309</f>
        <v>0</v>
      </c>
      <c r="L309" s="98">
        <v>0</v>
      </c>
      <c r="M309" s="98">
        <v>0</v>
      </c>
      <c r="N309" s="101">
        <f t="shared" ref="N309:N315" si="293">L309*M309</f>
        <v>0</v>
      </c>
      <c r="O309" s="98">
        <v>0</v>
      </c>
      <c r="P309" s="98">
        <v>0</v>
      </c>
      <c r="Q309" s="101">
        <f t="shared" ref="Q309:Q315" si="294">O309*P309</f>
        <v>0</v>
      </c>
      <c r="R309" s="98">
        <v>0</v>
      </c>
      <c r="S309" s="98">
        <v>0</v>
      </c>
      <c r="T309" s="101">
        <f t="shared" ref="T309:T315" si="295">R309*S309</f>
        <v>0</v>
      </c>
      <c r="U309" s="183">
        <v>1</v>
      </c>
      <c r="V309" s="99">
        <v>1</v>
      </c>
      <c r="W309" s="98">
        <v>0</v>
      </c>
      <c r="X309" s="98">
        <v>0</v>
      </c>
      <c r="Y309" s="101">
        <f>W309*X309</f>
        <v>0</v>
      </c>
      <c r="Z309" s="101">
        <v>1</v>
      </c>
      <c r="AA309" s="183">
        <v>0</v>
      </c>
      <c r="AB309" s="99">
        <v>1</v>
      </c>
      <c r="AC309" s="98">
        <v>0</v>
      </c>
      <c r="AD309" s="98">
        <v>0</v>
      </c>
      <c r="AE309" s="101">
        <f t="shared" ref="AE309:AE315" si="296">AC309*AD309</f>
        <v>0</v>
      </c>
      <c r="AF309" s="98">
        <v>0</v>
      </c>
      <c r="AG309" s="98">
        <v>3</v>
      </c>
      <c r="AH309" s="99">
        <f t="shared" ref="AH309:AH315" si="297">AF309*AG309</f>
        <v>0</v>
      </c>
      <c r="AI309" s="101">
        <v>1</v>
      </c>
      <c r="AJ309" s="106"/>
    </row>
    <row r="310" spans="2:36" s="35" customFormat="1" ht="17.100000000000001" customHeight="1">
      <c r="B310" s="105"/>
      <c r="C310" s="54"/>
      <c r="D310" s="96"/>
      <c r="E310" s="111"/>
      <c r="F310" s="112"/>
      <c r="G310" s="113"/>
      <c r="H310" s="183">
        <v>1</v>
      </c>
      <c r="I310" s="98">
        <v>0</v>
      </c>
      <c r="J310" s="98">
        <v>0</v>
      </c>
      <c r="K310" s="101">
        <f t="shared" si="292"/>
        <v>0</v>
      </c>
      <c r="L310" s="100">
        <v>0</v>
      </c>
      <c r="M310" s="98">
        <v>0</v>
      </c>
      <c r="N310" s="101">
        <f t="shared" si="293"/>
        <v>0</v>
      </c>
      <c r="O310" s="100">
        <v>0</v>
      </c>
      <c r="P310" s="98">
        <v>0</v>
      </c>
      <c r="Q310" s="101">
        <f t="shared" si="294"/>
        <v>0</v>
      </c>
      <c r="R310" s="100">
        <v>0</v>
      </c>
      <c r="S310" s="98">
        <v>0</v>
      </c>
      <c r="T310" s="101">
        <f t="shared" si="295"/>
        <v>0</v>
      </c>
      <c r="U310" s="183">
        <v>2</v>
      </c>
      <c r="V310" s="99">
        <v>2</v>
      </c>
      <c r="W310" s="98">
        <v>100</v>
      </c>
      <c r="X310" s="98">
        <v>3</v>
      </c>
      <c r="Y310" s="101">
        <f t="shared" ref="Y310:Y315" si="298">W310*X310</f>
        <v>300</v>
      </c>
      <c r="Z310" s="101">
        <v>1</v>
      </c>
      <c r="AA310" s="183">
        <v>0</v>
      </c>
      <c r="AB310" s="99">
        <v>1</v>
      </c>
      <c r="AC310" s="98">
        <v>0</v>
      </c>
      <c r="AD310" s="98">
        <v>0</v>
      </c>
      <c r="AE310" s="101">
        <f t="shared" si="296"/>
        <v>0</v>
      </c>
      <c r="AF310" s="100">
        <v>0</v>
      </c>
      <c r="AG310" s="98">
        <v>0</v>
      </c>
      <c r="AH310" s="99">
        <f t="shared" si="297"/>
        <v>0</v>
      </c>
      <c r="AI310" s="101">
        <v>1</v>
      </c>
      <c r="AJ310" s="106"/>
    </row>
    <row r="311" spans="2:36" s="35" customFormat="1" ht="17.100000000000001" customHeight="1">
      <c r="B311" s="105"/>
      <c r="C311" s="54"/>
      <c r="D311" s="96"/>
      <c r="E311" s="111"/>
      <c r="F311" s="112"/>
      <c r="G311" s="113"/>
      <c r="H311" s="183">
        <v>1</v>
      </c>
      <c r="I311" s="98">
        <v>0</v>
      </c>
      <c r="J311" s="98">
        <v>0</v>
      </c>
      <c r="K311" s="101">
        <f t="shared" si="292"/>
        <v>0</v>
      </c>
      <c r="L311" s="100">
        <v>0</v>
      </c>
      <c r="M311" s="98">
        <v>0</v>
      </c>
      <c r="N311" s="101">
        <f t="shared" si="293"/>
        <v>0</v>
      </c>
      <c r="O311" s="100">
        <v>0</v>
      </c>
      <c r="P311" s="98">
        <v>0</v>
      </c>
      <c r="Q311" s="101">
        <f t="shared" si="294"/>
        <v>0</v>
      </c>
      <c r="R311" s="100">
        <v>0</v>
      </c>
      <c r="S311" s="98">
        <v>0</v>
      </c>
      <c r="T311" s="101">
        <f t="shared" si="295"/>
        <v>0</v>
      </c>
      <c r="U311" s="183">
        <v>1</v>
      </c>
      <c r="V311" s="99">
        <v>1</v>
      </c>
      <c r="W311" s="98">
        <v>0</v>
      </c>
      <c r="X311" s="98">
        <v>0</v>
      </c>
      <c r="Y311" s="101">
        <f t="shared" si="298"/>
        <v>0</v>
      </c>
      <c r="Z311" s="101">
        <v>1</v>
      </c>
      <c r="AA311" s="183">
        <v>0</v>
      </c>
      <c r="AB311" s="99">
        <v>1</v>
      </c>
      <c r="AC311" s="98">
        <v>0</v>
      </c>
      <c r="AD311" s="98">
        <v>0</v>
      </c>
      <c r="AE311" s="101">
        <f t="shared" si="296"/>
        <v>0</v>
      </c>
      <c r="AF311" s="100">
        <v>0</v>
      </c>
      <c r="AG311" s="98">
        <v>0</v>
      </c>
      <c r="AH311" s="99">
        <f t="shared" si="297"/>
        <v>0</v>
      </c>
      <c r="AI311" s="101">
        <v>1</v>
      </c>
      <c r="AJ311" s="106"/>
    </row>
    <row r="312" spans="2:36" s="35" customFormat="1" ht="17.100000000000001" customHeight="1">
      <c r="B312" s="105"/>
      <c r="C312" s="54"/>
      <c r="D312" s="96"/>
      <c r="E312" s="111"/>
      <c r="F312" s="112"/>
      <c r="G312" s="113"/>
      <c r="H312" s="183">
        <v>1</v>
      </c>
      <c r="I312" s="98">
        <v>0</v>
      </c>
      <c r="J312" s="98">
        <v>0</v>
      </c>
      <c r="K312" s="101">
        <f t="shared" si="292"/>
        <v>0</v>
      </c>
      <c r="L312" s="100">
        <v>0</v>
      </c>
      <c r="M312" s="98">
        <v>0</v>
      </c>
      <c r="N312" s="101">
        <f t="shared" si="293"/>
        <v>0</v>
      </c>
      <c r="O312" s="100">
        <v>0</v>
      </c>
      <c r="P312" s="98">
        <v>0</v>
      </c>
      <c r="Q312" s="101">
        <f t="shared" si="294"/>
        <v>0</v>
      </c>
      <c r="R312" s="100">
        <v>0</v>
      </c>
      <c r="S312" s="98">
        <v>0</v>
      </c>
      <c r="T312" s="101">
        <f t="shared" si="295"/>
        <v>0</v>
      </c>
      <c r="U312" s="183">
        <v>1</v>
      </c>
      <c r="V312" s="99">
        <v>1</v>
      </c>
      <c r="W312" s="98">
        <v>0</v>
      </c>
      <c r="X312" s="98">
        <v>0</v>
      </c>
      <c r="Y312" s="101">
        <f t="shared" si="298"/>
        <v>0</v>
      </c>
      <c r="Z312" s="101">
        <v>1</v>
      </c>
      <c r="AA312" s="183">
        <v>0</v>
      </c>
      <c r="AB312" s="99">
        <v>1</v>
      </c>
      <c r="AC312" s="98">
        <v>0</v>
      </c>
      <c r="AD312" s="98">
        <v>0</v>
      </c>
      <c r="AE312" s="101">
        <f t="shared" si="296"/>
        <v>0</v>
      </c>
      <c r="AF312" s="100">
        <v>0</v>
      </c>
      <c r="AG312" s="98">
        <v>0</v>
      </c>
      <c r="AH312" s="99">
        <f t="shared" si="297"/>
        <v>0</v>
      </c>
      <c r="AI312" s="101">
        <v>1</v>
      </c>
      <c r="AJ312" s="106"/>
    </row>
    <row r="313" spans="2:36" s="35" customFormat="1" ht="17.100000000000001" customHeight="1">
      <c r="B313" s="105"/>
      <c r="C313" s="54"/>
      <c r="D313" s="96"/>
      <c r="E313" s="111"/>
      <c r="F313" s="112"/>
      <c r="G313" s="113"/>
      <c r="H313" s="183">
        <v>1</v>
      </c>
      <c r="I313" s="98">
        <v>0</v>
      </c>
      <c r="J313" s="98">
        <v>0</v>
      </c>
      <c r="K313" s="101">
        <f t="shared" si="292"/>
        <v>0</v>
      </c>
      <c r="L313" s="100">
        <v>0</v>
      </c>
      <c r="M313" s="98">
        <v>0</v>
      </c>
      <c r="N313" s="101">
        <f t="shared" si="293"/>
        <v>0</v>
      </c>
      <c r="O313" s="100">
        <v>0</v>
      </c>
      <c r="P313" s="98">
        <v>0</v>
      </c>
      <c r="Q313" s="101">
        <f t="shared" si="294"/>
        <v>0</v>
      </c>
      <c r="R313" s="100">
        <v>0</v>
      </c>
      <c r="S313" s="98">
        <v>0</v>
      </c>
      <c r="T313" s="101">
        <f t="shared" si="295"/>
        <v>0</v>
      </c>
      <c r="U313" s="183">
        <v>1</v>
      </c>
      <c r="V313" s="99">
        <v>1</v>
      </c>
      <c r="W313" s="98">
        <v>0</v>
      </c>
      <c r="X313" s="98">
        <v>0</v>
      </c>
      <c r="Y313" s="101">
        <f t="shared" si="298"/>
        <v>0</v>
      </c>
      <c r="Z313" s="101">
        <v>1</v>
      </c>
      <c r="AA313" s="183">
        <v>0</v>
      </c>
      <c r="AB313" s="99">
        <v>1</v>
      </c>
      <c r="AC313" s="98">
        <v>0</v>
      </c>
      <c r="AD313" s="98">
        <v>0</v>
      </c>
      <c r="AE313" s="101">
        <f t="shared" si="296"/>
        <v>0</v>
      </c>
      <c r="AF313" s="100">
        <v>0</v>
      </c>
      <c r="AG313" s="98">
        <v>0</v>
      </c>
      <c r="AH313" s="99">
        <f t="shared" si="297"/>
        <v>0</v>
      </c>
      <c r="AI313" s="101">
        <v>1</v>
      </c>
      <c r="AJ313" s="106"/>
    </row>
    <row r="314" spans="2:36" s="35" customFormat="1" ht="17.100000000000001" customHeight="1">
      <c r="B314" s="105"/>
      <c r="C314" s="54"/>
      <c r="D314" s="96"/>
      <c r="E314" s="111"/>
      <c r="F314" s="112"/>
      <c r="G314" s="113"/>
      <c r="H314" s="183">
        <v>1</v>
      </c>
      <c r="I314" s="98">
        <v>0</v>
      </c>
      <c r="J314" s="98">
        <v>0</v>
      </c>
      <c r="K314" s="101">
        <f t="shared" si="292"/>
        <v>0</v>
      </c>
      <c r="L314" s="100">
        <v>0</v>
      </c>
      <c r="M314" s="98">
        <v>0</v>
      </c>
      <c r="N314" s="101">
        <f t="shared" si="293"/>
        <v>0</v>
      </c>
      <c r="O314" s="100">
        <v>0</v>
      </c>
      <c r="P314" s="98">
        <v>0</v>
      </c>
      <c r="Q314" s="101">
        <f t="shared" si="294"/>
        <v>0</v>
      </c>
      <c r="R314" s="100">
        <v>0</v>
      </c>
      <c r="S314" s="98">
        <v>0</v>
      </c>
      <c r="T314" s="101">
        <f t="shared" si="295"/>
        <v>0</v>
      </c>
      <c r="U314" s="183">
        <v>1</v>
      </c>
      <c r="V314" s="99">
        <v>1</v>
      </c>
      <c r="W314" s="98">
        <v>0</v>
      </c>
      <c r="X314" s="98">
        <v>0</v>
      </c>
      <c r="Y314" s="101">
        <f t="shared" si="298"/>
        <v>0</v>
      </c>
      <c r="Z314" s="101">
        <v>1</v>
      </c>
      <c r="AA314" s="183">
        <v>0</v>
      </c>
      <c r="AB314" s="99">
        <v>1</v>
      </c>
      <c r="AC314" s="98">
        <v>0</v>
      </c>
      <c r="AD314" s="98">
        <v>0</v>
      </c>
      <c r="AE314" s="101">
        <f t="shared" si="296"/>
        <v>0</v>
      </c>
      <c r="AF314" s="100">
        <v>0</v>
      </c>
      <c r="AG314" s="98">
        <v>0</v>
      </c>
      <c r="AH314" s="99">
        <f t="shared" si="297"/>
        <v>0</v>
      </c>
      <c r="AI314" s="101">
        <v>1</v>
      </c>
      <c r="AJ314" s="106"/>
    </row>
    <row r="315" spans="2:36" s="35" customFormat="1" ht="17.100000000000001" customHeight="1">
      <c r="B315" s="105"/>
      <c r="C315" s="54"/>
      <c r="D315" s="96"/>
      <c r="E315" s="111"/>
      <c r="F315" s="112"/>
      <c r="G315" s="113"/>
      <c r="H315" s="183">
        <v>1</v>
      </c>
      <c r="I315" s="98">
        <v>0</v>
      </c>
      <c r="J315" s="98">
        <v>0</v>
      </c>
      <c r="K315" s="101">
        <f t="shared" si="292"/>
        <v>0</v>
      </c>
      <c r="L315" s="100">
        <v>0</v>
      </c>
      <c r="M315" s="98">
        <v>0</v>
      </c>
      <c r="N315" s="101">
        <f t="shared" si="293"/>
        <v>0</v>
      </c>
      <c r="O315" s="100">
        <v>0</v>
      </c>
      <c r="P315" s="98">
        <v>0</v>
      </c>
      <c r="Q315" s="101">
        <f t="shared" si="294"/>
        <v>0</v>
      </c>
      <c r="R315" s="100">
        <v>0</v>
      </c>
      <c r="S315" s="98">
        <v>0</v>
      </c>
      <c r="T315" s="101">
        <f t="shared" si="295"/>
        <v>0</v>
      </c>
      <c r="U315" s="183">
        <v>1</v>
      </c>
      <c r="V315" s="99">
        <v>1</v>
      </c>
      <c r="W315" s="98">
        <v>0</v>
      </c>
      <c r="X315" s="98">
        <v>0</v>
      </c>
      <c r="Y315" s="101">
        <f t="shared" si="298"/>
        <v>0</v>
      </c>
      <c r="Z315" s="101">
        <v>1</v>
      </c>
      <c r="AA315" s="183">
        <v>0</v>
      </c>
      <c r="AB315" s="99">
        <v>1</v>
      </c>
      <c r="AC315" s="98">
        <v>0</v>
      </c>
      <c r="AD315" s="98">
        <v>0</v>
      </c>
      <c r="AE315" s="101">
        <f t="shared" si="296"/>
        <v>0</v>
      </c>
      <c r="AF315" s="100">
        <v>0</v>
      </c>
      <c r="AG315" s="98">
        <v>0</v>
      </c>
      <c r="AH315" s="99">
        <f t="shared" si="297"/>
        <v>0</v>
      </c>
      <c r="AI315" s="101">
        <v>1</v>
      </c>
      <c r="AJ315" s="106"/>
    </row>
    <row r="316" spans="2:36" s="126" customFormat="1" ht="17.100000000000001" customHeight="1">
      <c r="B316" s="118"/>
      <c r="C316" s="119"/>
      <c r="D316" s="120"/>
      <c r="E316" s="121"/>
      <c r="F316" s="122"/>
      <c r="G316" s="123"/>
      <c r="H316" s="183">
        <v>1</v>
      </c>
      <c r="I316" s="363" t="s">
        <v>201</v>
      </c>
      <c r="J316" s="363"/>
      <c r="K316" s="124">
        <f>SUM(K309:K315)</f>
        <v>0</v>
      </c>
      <c r="L316" s="341" t="s">
        <v>201</v>
      </c>
      <c r="M316" s="342"/>
      <c r="N316" s="124">
        <f>SUM(N309:N315)</f>
        <v>0</v>
      </c>
      <c r="O316" s="341" t="s">
        <v>201</v>
      </c>
      <c r="P316" s="342"/>
      <c r="Q316" s="124">
        <f>SUM(Q309:Q315)</f>
        <v>0</v>
      </c>
      <c r="R316" s="341" t="s">
        <v>201</v>
      </c>
      <c r="S316" s="342"/>
      <c r="T316" s="124">
        <f>SUM(T309:T315)</f>
        <v>0</v>
      </c>
      <c r="U316" s="183">
        <v>1</v>
      </c>
      <c r="V316" s="99">
        <v>1</v>
      </c>
      <c r="W316" s="363" t="s">
        <v>201</v>
      </c>
      <c r="X316" s="363"/>
      <c r="Y316" s="124">
        <f>SUM(Y309:Y315)</f>
        <v>300</v>
      </c>
      <c r="Z316" s="101">
        <v>1</v>
      </c>
      <c r="AA316" s="183">
        <v>0</v>
      </c>
      <c r="AB316" s="99">
        <v>1</v>
      </c>
      <c r="AC316" s="363" t="s">
        <v>201</v>
      </c>
      <c r="AD316" s="363"/>
      <c r="AE316" s="124">
        <f>SUM(AE309:AE315)</f>
        <v>0</v>
      </c>
      <c r="AF316" s="364" t="s">
        <v>201</v>
      </c>
      <c r="AG316" s="363"/>
      <c r="AH316" s="143">
        <f>SUM(AH309:AH315)</f>
        <v>0</v>
      </c>
      <c r="AI316" s="101">
        <v>1</v>
      </c>
      <c r="AJ316" s="125"/>
    </row>
    <row r="317" spans="2:36" s="35" customFormat="1" ht="16.95" customHeight="1">
      <c r="B317" s="105"/>
      <c r="C317" s="54">
        <f>'3. Rekap Back Up Non Aspal '!C60</f>
        <v>6400</v>
      </c>
      <c r="D317" s="96">
        <f>'3. Rekap Back Up Non Aspal '!D60</f>
        <v>6500</v>
      </c>
      <c r="E317" s="111">
        <f>'3. Rekap Back Up Non Aspal '!E60</f>
        <v>4</v>
      </c>
      <c r="F317" s="112">
        <f>(100/((D317-C317)*E317))*((K324*0.05)+(N324*0.05)+(Q324*0.05)+(T324)+(Y324)+(AE324*1.5)+(AH324*1))</f>
        <v>75</v>
      </c>
      <c r="G317" s="113" t="str">
        <f>IF(F317&lt;=25,"RB",IF(F317&lt;=75,"RB",IF(F317&lt;=100,"RB","RB")))</f>
        <v>RB</v>
      </c>
      <c r="H317" s="183">
        <v>1</v>
      </c>
      <c r="I317" s="98">
        <v>0</v>
      </c>
      <c r="J317" s="98">
        <v>0</v>
      </c>
      <c r="K317" s="101">
        <f t="shared" ref="K317:K323" si="299">I317*J317</f>
        <v>0</v>
      </c>
      <c r="L317" s="98">
        <v>0</v>
      </c>
      <c r="M317" s="98">
        <v>0</v>
      </c>
      <c r="N317" s="101">
        <f t="shared" ref="N317:N323" si="300">L317*M317</f>
        <v>0</v>
      </c>
      <c r="O317" s="98">
        <v>0</v>
      </c>
      <c r="P317" s="98">
        <v>0</v>
      </c>
      <c r="Q317" s="101">
        <f t="shared" ref="Q317:Q323" si="301">O317*P317</f>
        <v>0</v>
      </c>
      <c r="R317" s="98">
        <v>0</v>
      </c>
      <c r="S317" s="98">
        <v>0</v>
      </c>
      <c r="T317" s="101">
        <f t="shared" ref="T317:T323" si="302">R317*S317</f>
        <v>0</v>
      </c>
      <c r="U317" s="183">
        <v>2</v>
      </c>
      <c r="V317" s="99">
        <v>2</v>
      </c>
      <c r="W317" s="98">
        <v>100</v>
      </c>
      <c r="X317" s="98">
        <v>3</v>
      </c>
      <c r="Y317" s="101">
        <f>W317*X317</f>
        <v>300</v>
      </c>
      <c r="Z317" s="101">
        <v>1</v>
      </c>
      <c r="AA317" s="183">
        <v>0</v>
      </c>
      <c r="AB317" s="99">
        <v>1</v>
      </c>
      <c r="AC317" s="98">
        <v>0</v>
      </c>
      <c r="AD317" s="98">
        <v>0</v>
      </c>
      <c r="AE317" s="101">
        <f t="shared" ref="AE317:AE323" si="303">AC317*AD317</f>
        <v>0</v>
      </c>
      <c r="AF317" s="98">
        <v>0</v>
      </c>
      <c r="AG317" s="98">
        <v>3</v>
      </c>
      <c r="AH317" s="99">
        <f t="shared" ref="AH317:AH323" si="304">AF317*AG317</f>
        <v>0</v>
      </c>
      <c r="AI317" s="101">
        <v>1</v>
      </c>
      <c r="AJ317" s="106"/>
    </row>
    <row r="318" spans="2:36" s="35" customFormat="1" ht="17.100000000000001" customHeight="1">
      <c r="B318" s="105"/>
      <c r="C318" s="54"/>
      <c r="D318" s="96"/>
      <c r="E318" s="111"/>
      <c r="F318" s="112"/>
      <c r="G318" s="113"/>
      <c r="H318" s="183">
        <v>1</v>
      </c>
      <c r="I318" s="98">
        <v>0</v>
      </c>
      <c r="J318" s="98">
        <v>0</v>
      </c>
      <c r="K318" s="101">
        <f t="shared" si="299"/>
        <v>0</v>
      </c>
      <c r="L318" s="100">
        <v>0</v>
      </c>
      <c r="M318" s="98">
        <v>0</v>
      </c>
      <c r="N318" s="101">
        <f t="shared" si="300"/>
        <v>0</v>
      </c>
      <c r="O318" s="100">
        <v>0</v>
      </c>
      <c r="P318" s="98">
        <v>0</v>
      </c>
      <c r="Q318" s="101">
        <f t="shared" si="301"/>
        <v>0</v>
      </c>
      <c r="R318" s="100">
        <v>0</v>
      </c>
      <c r="S318" s="98">
        <v>0</v>
      </c>
      <c r="T318" s="101">
        <f t="shared" si="302"/>
        <v>0</v>
      </c>
      <c r="U318" s="183">
        <v>1</v>
      </c>
      <c r="V318" s="99">
        <v>1</v>
      </c>
      <c r="W318" s="98">
        <v>0</v>
      </c>
      <c r="X318" s="98">
        <v>0</v>
      </c>
      <c r="Y318" s="101">
        <f t="shared" ref="Y318:Y323" si="305">W318*X318</f>
        <v>0</v>
      </c>
      <c r="Z318" s="101">
        <v>1</v>
      </c>
      <c r="AA318" s="183">
        <v>0</v>
      </c>
      <c r="AB318" s="99">
        <v>1</v>
      </c>
      <c r="AC318" s="98">
        <v>0</v>
      </c>
      <c r="AD318" s="98">
        <v>0</v>
      </c>
      <c r="AE318" s="101">
        <f t="shared" si="303"/>
        <v>0</v>
      </c>
      <c r="AF318" s="100">
        <v>0</v>
      </c>
      <c r="AG318" s="98">
        <v>0</v>
      </c>
      <c r="AH318" s="99">
        <f t="shared" si="304"/>
        <v>0</v>
      </c>
      <c r="AI318" s="101">
        <v>1</v>
      </c>
      <c r="AJ318" s="106"/>
    </row>
    <row r="319" spans="2:36" s="35" customFormat="1" ht="17.100000000000001" customHeight="1">
      <c r="B319" s="105"/>
      <c r="C319" s="54"/>
      <c r="D319" s="96"/>
      <c r="E319" s="111"/>
      <c r="F319" s="112"/>
      <c r="G319" s="113"/>
      <c r="H319" s="183">
        <v>1</v>
      </c>
      <c r="I319" s="98">
        <v>0</v>
      </c>
      <c r="J319" s="98">
        <v>0</v>
      </c>
      <c r="K319" s="101">
        <f t="shared" si="299"/>
        <v>0</v>
      </c>
      <c r="L319" s="100">
        <v>0</v>
      </c>
      <c r="M319" s="98">
        <v>0</v>
      </c>
      <c r="N319" s="101">
        <f t="shared" si="300"/>
        <v>0</v>
      </c>
      <c r="O319" s="100">
        <v>0</v>
      </c>
      <c r="P319" s="98">
        <v>0</v>
      </c>
      <c r="Q319" s="101">
        <f t="shared" si="301"/>
        <v>0</v>
      </c>
      <c r="R319" s="100">
        <v>0</v>
      </c>
      <c r="S319" s="98">
        <v>0</v>
      </c>
      <c r="T319" s="101">
        <f t="shared" si="302"/>
        <v>0</v>
      </c>
      <c r="U319" s="183">
        <v>1</v>
      </c>
      <c r="V319" s="99">
        <v>1</v>
      </c>
      <c r="W319" s="98">
        <v>0</v>
      </c>
      <c r="X319" s="98">
        <v>0</v>
      </c>
      <c r="Y319" s="101">
        <f t="shared" si="305"/>
        <v>0</v>
      </c>
      <c r="Z319" s="101">
        <v>1</v>
      </c>
      <c r="AA319" s="183">
        <v>0</v>
      </c>
      <c r="AB319" s="99">
        <v>1</v>
      </c>
      <c r="AC319" s="98">
        <v>0</v>
      </c>
      <c r="AD319" s="98">
        <v>0</v>
      </c>
      <c r="AE319" s="101">
        <f t="shared" si="303"/>
        <v>0</v>
      </c>
      <c r="AF319" s="100">
        <v>0</v>
      </c>
      <c r="AG319" s="98">
        <v>0</v>
      </c>
      <c r="AH319" s="99">
        <f t="shared" si="304"/>
        <v>0</v>
      </c>
      <c r="AI319" s="101">
        <v>1</v>
      </c>
      <c r="AJ319" s="106"/>
    </row>
    <row r="320" spans="2:36" s="35" customFormat="1" ht="17.100000000000001" customHeight="1">
      <c r="B320" s="105"/>
      <c r="C320" s="54"/>
      <c r="D320" s="96"/>
      <c r="E320" s="111"/>
      <c r="F320" s="112"/>
      <c r="G320" s="113"/>
      <c r="H320" s="183">
        <v>1</v>
      </c>
      <c r="I320" s="98">
        <v>0</v>
      </c>
      <c r="J320" s="98">
        <v>0</v>
      </c>
      <c r="K320" s="101">
        <f t="shared" si="299"/>
        <v>0</v>
      </c>
      <c r="L320" s="100">
        <v>0</v>
      </c>
      <c r="M320" s="98">
        <v>0</v>
      </c>
      <c r="N320" s="101">
        <f t="shared" si="300"/>
        <v>0</v>
      </c>
      <c r="O320" s="100">
        <v>0</v>
      </c>
      <c r="P320" s="98">
        <v>0</v>
      </c>
      <c r="Q320" s="101">
        <f t="shared" si="301"/>
        <v>0</v>
      </c>
      <c r="R320" s="100">
        <v>0</v>
      </c>
      <c r="S320" s="98">
        <v>0</v>
      </c>
      <c r="T320" s="101">
        <f t="shared" si="302"/>
        <v>0</v>
      </c>
      <c r="U320" s="183">
        <v>1</v>
      </c>
      <c r="V320" s="99">
        <v>1</v>
      </c>
      <c r="W320" s="98">
        <v>0</v>
      </c>
      <c r="X320" s="98">
        <v>0</v>
      </c>
      <c r="Y320" s="101">
        <f t="shared" si="305"/>
        <v>0</v>
      </c>
      <c r="Z320" s="101">
        <v>1</v>
      </c>
      <c r="AA320" s="183">
        <v>0</v>
      </c>
      <c r="AB320" s="99">
        <v>1</v>
      </c>
      <c r="AC320" s="98">
        <v>0</v>
      </c>
      <c r="AD320" s="98">
        <v>0</v>
      </c>
      <c r="AE320" s="101">
        <f t="shared" si="303"/>
        <v>0</v>
      </c>
      <c r="AF320" s="100">
        <v>0</v>
      </c>
      <c r="AG320" s="98">
        <v>0</v>
      </c>
      <c r="AH320" s="99">
        <f t="shared" si="304"/>
        <v>0</v>
      </c>
      <c r="AI320" s="101">
        <v>1</v>
      </c>
      <c r="AJ320" s="106"/>
    </row>
    <row r="321" spans="2:36" s="35" customFormat="1" ht="17.100000000000001" customHeight="1">
      <c r="B321" s="105"/>
      <c r="C321" s="54"/>
      <c r="D321" s="96"/>
      <c r="E321" s="111"/>
      <c r="F321" s="112"/>
      <c r="G321" s="113"/>
      <c r="H321" s="183">
        <v>1</v>
      </c>
      <c r="I321" s="98">
        <v>0</v>
      </c>
      <c r="J321" s="98">
        <v>0</v>
      </c>
      <c r="K321" s="101">
        <f t="shared" si="299"/>
        <v>0</v>
      </c>
      <c r="L321" s="100">
        <v>0</v>
      </c>
      <c r="M321" s="98">
        <v>0</v>
      </c>
      <c r="N321" s="101">
        <f t="shared" si="300"/>
        <v>0</v>
      </c>
      <c r="O321" s="100">
        <v>0</v>
      </c>
      <c r="P321" s="98">
        <v>0</v>
      </c>
      <c r="Q321" s="101">
        <f t="shared" si="301"/>
        <v>0</v>
      </c>
      <c r="R321" s="100">
        <v>0</v>
      </c>
      <c r="S321" s="98">
        <v>0</v>
      </c>
      <c r="T321" s="101">
        <f t="shared" si="302"/>
        <v>0</v>
      </c>
      <c r="U321" s="183">
        <v>1</v>
      </c>
      <c r="V321" s="99">
        <v>1</v>
      </c>
      <c r="W321" s="98">
        <v>0</v>
      </c>
      <c r="X321" s="98">
        <v>0</v>
      </c>
      <c r="Y321" s="101">
        <f t="shared" si="305"/>
        <v>0</v>
      </c>
      <c r="Z321" s="101">
        <v>1</v>
      </c>
      <c r="AA321" s="183">
        <v>0</v>
      </c>
      <c r="AB321" s="99">
        <v>1</v>
      </c>
      <c r="AC321" s="98">
        <v>0</v>
      </c>
      <c r="AD321" s="98">
        <v>0</v>
      </c>
      <c r="AE321" s="101">
        <f t="shared" si="303"/>
        <v>0</v>
      </c>
      <c r="AF321" s="100">
        <v>0</v>
      </c>
      <c r="AG321" s="98">
        <v>0</v>
      </c>
      <c r="AH321" s="99">
        <f t="shared" si="304"/>
        <v>0</v>
      </c>
      <c r="AI321" s="101">
        <v>1</v>
      </c>
      <c r="AJ321" s="106"/>
    </row>
    <row r="322" spans="2:36" s="35" customFormat="1" ht="17.100000000000001" customHeight="1">
      <c r="B322" s="105"/>
      <c r="C322" s="54"/>
      <c r="D322" s="96"/>
      <c r="E322" s="111"/>
      <c r="F322" s="112"/>
      <c r="G322" s="113"/>
      <c r="H322" s="183">
        <v>1</v>
      </c>
      <c r="I322" s="98">
        <v>0</v>
      </c>
      <c r="J322" s="98">
        <v>0</v>
      </c>
      <c r="K322" s="101">
        <f t="shared" si="299"/>
        <v>0</v>
      </c>
      <c r="L322" s="100">
        <v>0</v>
      </c>
      <c r="M322" s="98">
        <v>0</v>
      </c>
      <c r="N322" s="101">
        <f t="shared" si="300"/>
        <v>0</v>
      </c>
      <c r="O322" s="100">
        <v>0</v>
      </c>
      <c r="P322" s="98">
        <v>0</v>
      </c>
      <c r="Q322" s="101">
        <f t="shared" si="301"/>
        <v>0</v>
      </c>
      <c r="R322" s="100">
        <v>0</v>
      </c>
      <c r="S322" s="98">
        <v>0</v>
      </c>
      <c r="T322" s="101">
        <f t="shared" si="302"/>
        <v>0</v>
      </c>
      <c r="U322" s="183">
        <v>1</v>
      </c>
      <c r="V322" s="99">
        <v>1</v>
      </c>
      <c r="W322" s="98">
        <v>0</v>
      </c>
      <c r="X322" s="98">
        <v>0</v>
      </c>
      <c r="Y322" s="101">
        <f t="shared" si="305"/>
        <v>0</v>
      </c>
      <c r="Z322" s="101">
        <v>1</v>
      </c>
      <c r="AA322" s="183">
        <v>0</v>
      </c>
      <c r="AB322" s="99">
        <v>1</v>
      </c>
      <c r="AC322" s="98">
        <v>0</v>
      </c>
      <c r="AD322" s="98">
        <v>0</v>
      </c>
      <c r="AE322" s="101">
        <f t="shared" si="303"/>
        <v>0</v>
      </c>
      <c r="AF322" s="100">
        <v>0</v>
      </c>
      <c r="AG322" s="98">
        <v>0</v>
      </c>
      <c r="AH322" s="99">
        <f t="shared" si="304"/>
        <v>0</v>
      </c>
      <c r="AI322" s="101">
        <v>1</v>
      </c>
      <c r="AJ322" s="106"/>
    </row>
    <row r="323" spans="2:36" s="35" customFormat="1" ht="17.100000000000001" customHeight="1">
      <c r="B323" s="105"/>
      <c r="C323" s="54"/>
      <c r="D323" s="96"/>
      <c r="E323" s="111"/>
      <c r="F323" s="112"/>
      <c r="G323" s="113"/>
      <c r="H323" s="183">
        <v>1</v>
      </c>
      <c r="I323" s="98">
        <v>0</v>
      </c>
      <c r="J323" s="98">
        <v>0</v>
      </c>
      <c r="K323" s="101">
        <f t="shared" si="299"/>
        <v>0</v>
      </c>
      <c r="L323" s="100">
        <v>0</v>
      </c>
      <c r="M323" s="98">
        <v>0</v>
      </c>
      <c r="N323" s="101">
        <f t="shared" si="300"/>
        <v>0</v>
      </c>
      <c r="O323" s="100">
        <v>0</v>
      </c>
      <c r="P323" s="98">
        <v>0</v>
      </c>
      <c r="Q323" s="101">
        <f t="shared" si="301"/>
        <v>0</v>
      </c>
      <c r="R323" s="100">
        <v>0</v>
      </c>
      <c r="S323" s="98">
        <v>0</v>
      </c>
      <c r="T323" s="101">
        <f t="shared" si="302"/>
        <v>0</v>
      </c>
      <c r="U323" s="183">
        <v>1</v>
      </c>
      <c r="V323" s="99">
        <v>1</v>
      </c>
      <c r="W323" s="98">
        <v>0</v>
      </c>
      <c r="X323" s="98">
        <v>0</v>
      </c>
      <c r="Y323" s="101">
        <f t="shared" si="305"/>
        <v>0</v>
      </c>
      <c r="Z323" s="101">
        <v>1</v>
      </c>
      <c r="AA323" s="183">
        <v>0</v>
      </c>
      <c r="AB323" s="99">
        <v>1</v>
      </c>
      <c r="AC323" s="98">
        <v>0</v>
      </c>
      <c r="AD323" s="98">
        <v>0</v>
      </c>
      <c r="AE323" s="101">
        <f t="shared" si="303"/>
        <v>0</v>
      </c>
      <c r="AF323" s="100">
        <v>0</v>
      </c>
      <c r="AG323" s="98">
        <v>0</v>
      </c>
      <c r="AH323" s="99">
        <f t="shared" si="304"/>
        <v>0</v>
      </c>
      <c r="AI323" s="101">
        <v>1</v>
      </c>
      <c r="AJ323" s="106"/>
    </row>
    <row r="324" spans="2:36" s="126" customFormat="1" ht="17.100000000000001" customHeight="1" thickBot="1">
      <c r="B324" s="128"/>
      <c r="C324" s="154"/>
      <c r="D324" s="155"/>
      <c r="E324" s="156"/>
      <c r="F324" s="129"/>
      <c r="G324" s="130"/>
      <c r="H324" s="184">
        <v>1</v>
      </c>
      <c r="I324" s="361" t="s">
        <v>201</v>
      </c>
      <c r="J324" s="361"/>
      <c r="K324" s="131">
        <f>SUM(K317:K323)</f>
        <v>0</v>
      </c>
      <c r="L324" s="344" t="s">
        <v>201</v>
      </c>
      <c r="M324" s="345"/>
      <c r="N324" s="131">
        <f>SUM(N317:N323)</f>
        <v>0</v>
      </c>
      <c r="O324" s="344" t="s">
        <v>201</v>
      </c>
      <c r="P324" s="345"/>
      <c r="Q324" s="131">
        <f>SUM(Q317:Q323)</f>
        <v>0</v>
      </c>
      <c r="R324" s="344" t="s">
        <v>201</v>
      </c>
      <c r="S324" s="345"/>
      <c r="T324" s="131">
        <f>SUM(T317:T323)</f>
        <v>0</v>
      </c>
      <c r="U324" s="184">
        <v>1</v>
      </c>
      <c r="V324" s="160">
        <v>1</v>
      </c>
      <c r="W324" s="361" t="s">
        <v>201</v>
      </c>
      <c r="X324" s="361"/>
      <c r="Y324" s="131">
        <f>SUM(Y317:Y323)</f>
        <v>300</v>
      </c>
      <c r="Z324" s="133">
        <v>1</v>
      </c>
      <c r="AA324" s="184">
        <v>0</v>
      </c>
      <c r="AB324" s="160">
        <v>1</v>
      </c>
      <c r="AC324" s="361" t="s">
        <v>201</v>
      </c>
      <c r="AD324" s="361"/>
      <c r="AE324" s="131">
        <f>SUM(AE317:AE323)</f>
        <v>0</v>
      </c>
      <c r="AF324" s="362" t="s">
        <v>201</v>
      </c>
      <c r="AG324" s="361"/>
      <c r="AH324" s="144">
        <f>SUM(AH317:AH323)</f>
        <v>0</v>
      </c>
      <c r="AI324" s="133">
        <v>1</v>
      </c>
      <c r="AJ324" s="134"/>
    </row>
    <row r="325" spans="2:36" s="35" customFormat="1" ht="16.95" customHeight="1">
      <c r="B325" s="114"/>
      <c r="C325" s="157">
        <f>'3. Rekap Back Up Non Aspal '!C61</f>
        <v>6500</v>
      </c>
      <c r="D325" s="158">
        <f>'3. Rekap Back Up Non Aspal '!D61</f>
        <v>6600</v>
      </c>
      <c r="E325" s="159">
        <f>'3. Rekap Back Up Non Aspal '!E61</f>
        <v>4</v>
      </c>
      <c r="F325" s="115">
        <f>(100/((D325-C325)*E325))*((K332*0.05)+(N332*0.05)+(Q332*0.05)+(T332)+(Y332)+(AE332*1.5)+(AH332*1))</f>
        <v>75</v>
      </c>
      <c r="G325" s="116" t="str">
        <f>IF(F325&lt;=25,"RB",IF(F325&lt;=75,"RB",IF(F325&lt;=100,"RB","RB")))</f>
        <v>RB</v>
      </c>
      <c r="H325" s="185">
        <v>1</v>
      </c>
      <c r="I325" s="136">
        <v>0</v>
      </c>
      <c r="J325" s="136">
        <v>0</v>
      </c>
      <c r="K325" s="137">
        <f t="shared" ref="K325:K331" si="306">I325*J325</f>
        <v>0</v>
      </c>
      <c r="L325" s="136">
        <v>0</v>
      </c>
      <c r="M325" s="136">
        <v>0</v>
      </c>
      <c r="N325" s="137">
        <f t="shared" ref="N325:N331" si="307">L325*M325</f>
        <v>0</v>
      </c>
      <c r="O325" s="136">
        <v>0</v>
      </c>
      <c r="P325" s="136">
        <v>3</v>
      </c>
      <c r="Q325" s="137">
        <f t="shared" ref="Q325:Q331" si="308">O325*P325</f>
        <v>0</v>
      </c>
      <c r="R325" s="136">
        <v>0</v>
      </c>
      <c r="S325" s="136">
        <v>0</v>
      </c>
      <c r="T325" s="137">
        <f t="shared" ref="T325:T331" si="309">R325*S325</f>
        <v>0</v>
      </c>
      <c r="U325" s="185">
        <v>2</v>
      </c>
      <c r="V325" s="138">
        <v>2</v>
      </c>
      <c r="W325" s="136">
        <v>100</v>
      </c>
      <c r="X325" s="136">
        <v>3</v>
      </c>
      <c r="Y325" s="137">
        <f>W325*X325</f>
        <v>300</v>
      </c>
      <c r="Z325" s="137">
        <v>1</v>
      </c>
      <c r="AA325" s="185">
        <v>0</v>
      </c>
      <c r="AB325" s="138">
        <v>1</v>
      </c>
      <c r="AC325" s="136">
        <v>0</v>
      </c>
      <c r="AD325" s="136">
        <v>0</v>
      </c>
      <c r="AE325" s="137">
        <f t="shared" ref="AE325:AE331" si="310">AC325*AD325</f>
        <v>0</v>
      </c>
      <c r="AF325" s="136">
        <v>0</v>
      </c>
      <c r="AG325" s="136">
        <v>0</v>
      </c>
      <c r="AH325" s="138">
        <f t="shared" ref="AH325:AH331" si="311">AF325*AG325</f>
        <v>0</v>
      </c>
      <c r="AI325" s="137">
        <v>1</v>
      </c>
      <c r="AJ325" s="139"/>
    </row>
    <row r="326" spans="2:36" s="35" customFormat="1" ht="17.100000000000001" customHeight="1">
      <c r="B326" s="105"/>
      <c r="C326" s="54"/>
      <c r="D326" s="96"/>
      <c r="E326" s="111"/>
      <c r="F326" s="112"/>
      <c r="G326" s="113"/>
      <c r="H326" s="183">
        <v>1</v>
      </c>
      <c r="I326" s="98">
        <v>0</v>
      </c>
      <c r="J326" s="98">
        <v>0</v>
      </c>
      <c r="K326" s="101">
        <f t="shared" si="306"/>
        <v>0</v>
      </c>
      <c r="L326" s="100">
        <v>0</v>
      </c>
      <c r="M326" s="98">
        <v>0</v>
      </c>
      <c r="N326" s="101">
        <f t="shared" si="307"/>
        <v>0</v>
      </c>
      <c r="O326" s="100">
        <v>0</v>
      </c>
      <c r="P326" s="98">
        <v>0</v>
      </c>
      <c r="Q326" s="101">
        <f t="shared" si="308"/>
        <v>0</v>
      </c>
      <c r="R326" s="100">
        <v>0</v>
      </c>
      <c r="S326" s="98">
        <v>0</v>
      </c>
      <c r="T326" s="101">
        <f t="shared" si="309"/>
        <v>0</v>
      </c>
      <c r="U326" s="183">
        <v>1</v>
      </c>
      <c r="V326" s="99">
        <v>1</v>
      </c>
      <c r="W326" s="98">
        <v>0</v>
      </c>
      <c r="X326" s="98">
        <v>0</v>
      </c>
      <c r="Y326" s="101">
        <f t="shared" ref="Y326:Y331" si="312">W326*X326</f>
        <v>0</v>
      </c>
      <c r="Z326" s="101">
        <v>1</v>
      </c>
      <c r="AA326" s="183">
        <v>0</v>
      </c>
      <c r="AB326" s="99">
        <v>1</v>
      </c>
      <c r="AC326" s="98">
        <v>0</v>
      </c>
      <c r="AD326" s="98">
        <v>0</v>
      </c>
      <c r="AE326" s="101">
        <f t="shared" si="310"/>
        <v>0</v>
      </c>
      <c r="AF326" s="100">
        <v>0</v>
      </c>
      <c r="AG326" s="98">
        <v>0</v>
      </c>
      <c r="AH326" s="99">
        <f t="shared" si="311"/>
        <v>0</v>
      </c>
      <c r="AI326" s="101">
        <v>1</v>
      </c>
      <c r="AJ326" s="106"/>
    </row>
    <row r="327" spans="2:36" s="35" customFormat="1" ht="17.100000000000001" customHeight="1">
      <c r="B327" s="105"/>
      <c r="C327" s="54"/>
      <c r="D327" s="96"/>
      <c r="E327" s="111"/>
      <c r="F327" s="112"/>
      <c r="G327" s="113"/>
      <c r="H327" s="183">
        <v>1</v>
      </c>
      <c r="I327" s="98">
        <v>0</v>
      </c>
      <c r="J327" s="98">
        <v>0</v>
      </c>
      <c r="K327" s="101">
        <f t="shared" si="306"/>
        <v>0</v>
      </c>
      <c r="L327" s="100">
        <v>0</v>
      </c>
      <c r="M327" s="98">
        <v>0</v>
      </c>
      <c r="N327" s="101">
        <f t="shared" si="307"/>
        <v>0</v>
      </c>
      <c r="O327" s="100">
        <v>0</v>
      </c>
      <c r="P327" s="98">
        <v>0</v>
      </c>
      <c r="Q327" s="101">
        <f t="shared" si="308"/>
        <v>0</v>
      </c>
      <c r="R327" s="100">
        <v>0</v>
      </c>
      <c r="S327" s="98">
        <v>0</v>
      </c>
      <c r="T327" s="101">
        <f t="shared" si="309"/>
        <v>0</v>
      </c>
      <c r="U327" s="183">
        <v>1</v>
      </c>
      <c r="V327" s="99">
        <v>1</v>
      </c>
      <c r="W327" s="98">
        <v>0</v>
      </c>
      <c r="X327" s="98">
        <v>0</v>
      </c>
      <c r="Y327" s="101">
        <f t="shared" si="312"/>
        <v>0</v>
      </c>
      <c r="Z327" s="101">
        <v>1</v>
      </c>
      <c r="AA327" s="183">
        <v>0</v>
      </c>
      <c r="AB327" s="99">
        <v>1</v>
      </c>
      <c r="AC327" s="98">
        <v>0</v>
      </c>
      <c r="AD327" s="98">
        <v>0</v>
      </c>
      <c r="AE327" s="101">
        <f t="shared" si="310"/>
        <v>0</v>
      </c>
      <c r="AF327" s="100">
        <v>0</v>
      </c>
      <c r="AG327" s="98">
        <v>0</v>
      </c>
      <c r="AH327" s="99">
        <f t="shared" si="311"/>
        <v>0</v>
      </c>
      <c r="AI327" s="101">
        <v>1</v>
      </c>
      <c r="AJ327" s="106"/>
    </row>
    <row r="328" spans="2:36" s="35" customFormat="1" ht="17.100000000000001" customHeight="1">
      <c r="B328" s="105"/>
      <c r="C328" s="54"/>
      <c r="D328" s="96"/>
      <c r="E328" s="111"/>
      <c r="F328" s="112"/>
      <c r="G328" s="113"/>
      <c r="H328" s="183">
        <v>1</v>
      </c>
      <c r="I328" s="98">
        <v>0</v>
      </c>
      <c r="J328" s="98">
        <v>0</v>
      </c>
      <c r="K328" s="101">
        <f t="shared" si="306"/>
        <v>0</v>
      </c>
      <c r="L328" s="100">
        <v>0</v>
      </c>
      <c r="M328" s="98">
        <v>0</v>
      </c>
      <c r="N328" s="101">
        <f t="shared" si="307"/>
        <v>0</v>
      </c>
      <c r="O328" s="100">
        <v>0</v>
      </c>
      <c r="P328" s="98">
        <v>0</v>
      </c>
      <c r="Q328" s="101">
        <f t="shared" si="308"/>
        <v>0</v>
      </c>
      <c r="R328" s="100">
        <v>0</v>
      </c>
      <c r="S328" s="98">
        <v>0</v>
      </c>
      <c r="T328" s="101">
        <f t="shared" si="309"/>
        <v>0</v>
      </c>
      <c r="U328" s="183">
        <v>1</v>
      </c>
      <c r="V328" s="99">
        <v>1</v>
      </c>
      <c r="W328" s="98">
        <v>0</v>
      </c>
      <c r="X328" s="98">
        <v>0</v>
      </c>
      <c r="Y328" s="101">
        <f t="shared" si="312"/>
        <v>0</v>
      </c>
      <c r="Z328" s="101">
        <v>1</v>
      </c>
      <c r="AA328" s="183">
        <v>0</v>
      </c>
      <c r="AB328" s="99">
        <v>1</v>
      </c>
      <c r="AC328" s="98">
        <v>0</v>
      </c>
      <c r="AD328" s="98">
        <v>0</v>
      </c>
      <c r="AE328" s="101">
        <f t="shared" si="310"/>
        <v>0</v>
      </c>
      <c r="AF328" s="100">
        <v>0</v>
      </c>
      <c r="AG328" s="98">
        <v>0</v>
      </c>
      <c r="AH328" s="99">
        <f t="shared" si="311"/>
        <v>0</v>
      </c>
      <c r="AI328" s="101">
        <v>1</v>
      </c>
      <c r="AJ328" s="106"/>
    </row>
    <row r="329" spans="2:36" s="35" customFormat="1" ht="17.100000000000001" customHeight="1">
      <c r="B329" s="105"/>
      <c r="C329" s="54"/>
      <c r="D329" s="96"/>
      <c r="E329" s="111"/>
      <c r="F329" s="112"/>
      <c r="G329" s="113"/>
      <c r="H329" s="183">
        <v>1</v>
      </c>
      <c r="I329" s="98">
        <v>0</v>
      </c>
      <c r="J329" s="98">
        <v>0</v>
      </c>
      <c r="K329" s="101">
        <f t="shared" si="306"/>
        <v>0</v>
      </c>
      <c r="L329" s="100">
        <v>0</v>
      </c>
      <c r="M329" s="98">
        <v>0</v>
      </c>
      <c r="N329" s="101">
        <f t="shared" si="307"/>
        <v>0</v>
      </c>
      <c r="O329" s="100">
        <v>0</v>
      </c>
      <c r="P329" s="98">
        <v>0</v>
      </c>
      <c r="Q329" s="101">
        <f t="shared" si="308"/>
        <v>0</v>
      </c>
      <c r="R329" s="100">
        <v>0</v>
      </c>
      <c r="S329" s="98">
        <v>0</v>
      </c>
      <c r="T329" s="101">
        <f t="shared" si="309"/>
        <v>0</v>
      </c>
      <c r="U329" s="183">
        <v>1</v>
      </c>
      <c r="V329" s="99">
        <v>1</v>
      </c>
      <c r="W329" s="98">
        <v>0</v>
      </c>
      <c r="X329" s="98">
        <v>0</v>
      </c>
      <c r="Y329" s="101">
        <f t="shared" si="312"/>
        <v>0</v>
      </c>
      <c r="Z329" s="101">
        <v>1</v>
      </c>
      <c r="AA329" s="183">
        <v>0</v>
      </c>
      <c r="AB329" s="99">
        <v>1</v>
      </c>
      <c r="AC329" s="98">
        <v>0</v>
      </c>
      <c r="AD329" s="98">
        <v>0</v>
      </c>
      <c r="AE329" s="101">
        <f t="shared" si="310"/>
        <v>0</v>
      </c>
      <c r="AF329" s="100">
        <v>0</v>
      </c>
      <c r="AG329" s="98">
        <v>0</v>
      </c>
      <c r="AH329" s="99">
        <f t="shared" si="311"/>
        <v>0</v>
      </c>
      <c r="AI329" s="101">
        <v>1</v>
      </c>
      <c r="AJ329" s="106"/>
    </row>
    <row r="330" spans="2:36" s="35" customFormat="1" ht="17.100000000000001" customHeight="1">
      <c r="B330" s="105"/>
      <c r="C330" s="54"/>
      <c r="D330" s="96"/>
      <c r="E330" s="111"/>
      <c r="F330" s="112"/>
      <c r="G330" s="113"/>
      <c r="H330" s="183">
        <v>1</v>
      </c>
      <c r="I330" s="98">
        <v>0</v>
      </c>
      <c r="J330" s="98">
        <v>0</v>
      </c>
      <c r="K330" s="101">
        <f t="shared" si="306"/>
        <v>0</v>
      </c>
      <c r="L330" s="100">
        <v>0</v>
      </c>
      <c r="M330" s="98">
        <v>0</v>
      </c>
      <c r="N330" s="101">
        <f t="shared" si="307"/>
        <v>0</v>
      </c>
      <c r="O330" s="100">
        <v>0</v>
      </c>
      <c r="P330" s="98">
        <v>0</v>
      </c>
      <c r="Q330" s="101">
        <f t="shared" si="308"/>
        <v>0</v>
      </c>
      <c r="R330" s="100">
        <v>0</v>
      </c>
      <c r="S330" s="98">
        <v>0</v>
      </c>
      <c r="T330" s="101">
        <f t="shared" si="309"/>
        <v>0</v>
      </c>
      <c r="U330" s="183">
        <v>1</v>
      </c>
      <c r="V330" s="99">
        <v>1</v>
      </c>
      <c r="W330" s="98">
        <v>0</v>
      </c>
      <c r="X330" s="98">
        <v>0</v>
      </c>
      <c r="Y330" s="101">
        <f t="shared" si="312"/>
        <v>0</v>
      </c>
      <c r="Z330" s="101">
        <v>1</v>
      </c>
      <c r="AA330" s="183">
        <v>0</v>
      </c>
      <c r="AB330" s="99">
        <v>1</v>
      </c>
      <c r="AC330" s="98">
        <v>0</v>
      </c>
      <c r="AD330" s="98">
        <v>0</v>
      </c>
      <c r="AE330" s="101">
        <f t="shared" si="310"/>
        <v>0</v>
      </c>
      <c r="AF330" s="100">
        <v>0</v>
      </c>
      <c r="AG330" s="98">
        <v>0</v>
      </c>
      <c r="AH330" s="99">
        <f t="shared" si="311"/>
        <v>0</v>
      </c>
      <c r="AI330" s="101">
        <v>1</v>
      </c>
      <c r="AJ330" s="106"/>
    </row>
    <row r="331" spans="2:36" s="35" customFormat="1" ht="17.100000000000001" customHeight="1">
      <c r="B331" s="105"/>
      <c r="C331" s="54"/>
      <c r="D331" s="96"/>
      <c r="E331" s="111"/>
      <c r="F331" s="112"/>
      <c r="G331" s="113"/>
      <c r="H331" s="183">
        <v>1</v>
      </c>
      <c r="I331" s="98">
        <v>0</v>
      </c>
      <c r="J331" s="98">
        <v>0</v>
      </c>
      <c r="K331" s="101">
        <f t="shared" si="306"/>
        <v>0</v>
      </c>
      <c r="L331" s="100">
        <v>0</v>
      </c>
      <c r="M331" s="98">
        <v>0</v>
      </c>
      <c r="N331" s="101">
        <f t="shared" si="307"/>
        <v>0</v>
      </c>
      <c r="O331" s="100">
        <v>0</v>
      </c>
      <c r="P331" s="98">
        <v>0</v>
      </c>
      <c r="Q331" s="101">
        <f t="shared" si="308"/>
        <v>0</v>
      </c>
      <c r="R331" s="100">
        <v>0</v>
      </c>
      <c r="S331" s="98">
        <v>0</v>
      </c>
      <c r="T331" s="101">
        <f t="shared" si="309"/>
        <v>0</v>
      </c>
      <c r="U331" s="183">
        <v>1</v>
      </c>
      <c r="V331" s="99">
        <v>1</v>
      </c>
      <c r="W331" s="98">
        <v>0</v>
      </c>
      <c r="X331" s="98">
        <v>0</v>
      </c>
      <c r="Y331" s="101">
        <f t="shared" si="312"/>
        <v>0</v>
      </c>
      <c r="Z331" s="101">
        <v>1</v>
      </c>
      <c r="AA331" s="183">
        <v>0</v>
      </c>
      <c r="AB331" s="99">
        <v>1</v>
      </c>
      <c r="AC331" s="98">
        <v>0</v>
      </c>
      <c r="AD331" s="98">
        <v>0</v>
      </c>
      <c r="AE331" s="101">
        <f t="shared" si="310"/>
        <v>0</v>
      </c>
      <c r="AF331" s="100">
        <v>0</v>
      </c>
      <c r="AG331" s="98">
        <v>0</v>
      </c>
      <c r="AH331" s="99">
        <f t="shared" si="311"/>
        <v>0</v>
      </c>
      <c r="AI331" s="101">
        <v>1</v>
      </c>
      <c r="AJ331" s="106"/>
    </row>
    <row r="332" spans="2:36" s="126" customFormat="1" ht="17.100000000000001" customHeight="1">
      <c r="B332" s="118"/>
      <c r="C332" s="119"/>
      <c r="D332" s="120"/>
      <c r="E332" s="121"/>
      <c r="F332" s="122"/>
      <c r="G332" s="123"/>
      <c r="H332" s="183">
        <v>1</v>
      </c>
      <c r="I332" s="363" t="s">
        <v>201</v>
      </c>
      <c r="J332" s="363"/>
      <c r="K332" s="124">
        <f>SUM(K325:K331)</f>
        <v>0</v>
      </c>
      <c r="L332" s="341" t="s">
        <v>201</v>
      </c>
      <c r="M332" s="342"/>
      <c r="N332" s="124">
        <f>SUM(N325:N331)</f>
        <v>0</v>
      </c>
      <c r="O332" s="341" t="s">
        <v>201</v>
      </c>
      <c r="P332" s="342"/>
      <c r="Q332" s="124">
        <f>SUM(Q325:Q331)</f>
        <v>0</v>
      </c>
      <c r="R332" s="341" t="s">
        <v>201</v>
      </c>
      <c r="S332" s="342"/>
      <c r="T332" s="124">
        <f>SUM(T325:T331)</f>
        <v>0</v>
      </c>
      <c r="U332" s="183">
        <v>1</v>
      </c>
      <c r="V332" s="99">
        <v>1</v>
      </c>
      <c r="W332" s="363" t="s">
        <v>201</v>
      </c>
      <c r="X332" s="363"/>
      <c r="Y332" s="124">
        <f>SUM(Y325:Y331)</f>
        <v>300</v>
      </c>
      <c r="Z332" s="101">
        <v>1</v>
      </c>
      <c r="AA332" s="183">
        <v>0</v>
      </c>
      <c r="AB332" s="99">
        <v>1</v>
      </c>
      <c r="AC332" s="363" t="s">
        <v>201</v>
      </c>
      <c r="AD332" s="363"/>
      <c r="AE332" s="124">
        <f>SUM(AE325:AE331)</f>
        <v>0</v>
      </c>
      <c r="AF332" s="364" t="s">
        <v>201</v>
      </c>
      <c r="AG332" s="363"/>
      <c r="AH332" s="143">
        <f>SUM(AH325:AH331)</f>
        <v>0</v>
      </c>
      <c r="AI332" s="101">
        <v>1</v>
      </c>
      <c r="AJ332" s="125"/>
    </row>
    <row r="333" spans="2:36" s="35" customFormat="1" ht="16.95" customHeight="1">
      <c r="B333" s="105"/>
      <c r="C333" s="54">
        <f>'3. Rekap Back Up Non Aspal '!C62</f>
        <v>6600</v>
      </c>
      <c r="D333" s="96">
        <f>'3. Rekap Back Up Non Aspal '!D62</f>
        <v>6700</v>
      </c>
      <c r="E333" s="111">
        <f>'3. Rekap Back Up Non Aspal '!E62</f>
        <v>4</v>
      </c>
      <c r="F333" s="112">
        <f>(100/((D333-C333)*E333))*((K340*0.05)+(N340*0.05)+(Q340*0.05)+(T340)+(Y340)+(AE340*1.5)+(AH340*1))</f>
        <v>52.5</v>
      </c>
      <c r="G333" s="113" t="str">
        <f>IF(F333&lt;=25,"RB",IF(F333&lt;=75,"RB",IF(F333&lt;=100,"RB","RB")))</f>
        <v>RB</v>
      </c>
      <c r="H333" s="183">
        <v>1</v>
      </c>
      <c r="I333" s="98">
        <v>0</v>
      </c>
      <c r="J333" s="98">
        <v>0</v>
      </c>
      <c r="K333" s="101">
        <f t="shared" ref="K333:K339" si="313">I333*J333</f>
        <v>0</v>
      </c>
      <c r="L333" s="98">
        <v>0</v>
      </c>
      <c r="M333" s="98">
        <v>0</v>
      </c>
      <c r="N333" s="101">
        <f t="shared" ref="N333:N339" si="314">L333*M333</f>
        <v>0</v>
      </c>
      <c r="O333" s="98">
        <v>0</v>
      </c>
      <c r="P333" s="98">
        <v>0</v>
      </c>
      <c r="Q333" s="101">
        <f t="shared" ref="Q333:Q339" si="315">O333*P333</f>
        <v>0</v>
      </c>
      <c r="R333" s="98">
        <v>0</v>
      </c>
      <c r="S333" s="98">
        <v>0</v>
      </c>
      <c r="T333" s="101">
        <f t="shared" ref="T333:T339" si="316">R333*S333</f>
        <v>0</v>
      </c>
      <c r="U333" s="183">
        <v>2</v>
      </c>
      <c r="V333" s="99">
        <v>2</v>
      </c>
      <c r="W333" s="98">
        <v>20</v>
      </c>
      <c r="X333" s="98">
        <v>3</v>
      </c>
      <c r="Y333" s="101">
        <f>W333*X333</f>
        <v>60</v>
      </c>
      <c r="Z333" s="101">
        <v>1</v>
      </c>
      <c r="AA333" s="183">
        <v>0</v>
      </c>
      <c r="AB333" s="99">
        <v>1</v>
      </c>
      <c r="AC333" s="98">
        <v>0</v>
      </c>
      <c r="AD333" s="98">
        <v>0</v>
      </c>
      <c r="AE333" s="101">
        <f t="shared" ref="AE333:AE339" si="317">AC333*AD333</f>
        <v>0</v>
      </c>
      <c r="AF333" s="98">
        <v>0</v>
      </c>
      <c r="AG333" s="98">
        <v>3</v>
      </c>
      <c r="AH333" s="99">
        <f t="shared" ref="AH333:AH339" si="318">AF333*AG333</f>
        <v>0</v>
      </c>
      <c r="AI333" s="101">
        <v>1</v>
      </c>
      <c r="AJ333" s="106"/>
    </row>
    <row r="334" spans="2:36" s="35" customFormat="1" ht="17.100000000000001" customHeight="1">
      <c r="B334" s="105"/>
      <c r="C334" s="54"/>
      <c r="D334" s="96"/>
      <c r="E334" s="111"/>
      <c r="F334" s="112"/>
      <c r="G334" s="113"/>
      <c r="H334" s="183">
        <v>1</v>
      </c>
      <c r="I334" s="98">
        <v>0</v>
      </c>
      <c r="J334" s="98">
        <v>0</v>
      </c>
      <c r="K334" s="101">
        <f t="shared" si="313"/>
        <v>0</v>
      </c>
      <c r="L334" s="100">
        <v>0</v>
      </c>
      <c r="M334" s="98">
        <v>0</v>
      </c>
      <c r="N334" s="101">
        <f t="shared" si="314"/>
        <v>0</v>
      </c>
      <c r="O334" s="100">
        <v>0</v>
      </c>
      <c r="P334" s="98">
        <v>0</v>
      </c>
      <c r="Q334" s="101">
        <f t="shared" si="315"/>
        <v>0</v>
      </c>
      <c r="R334" s="100">
        <v>0</v>
      </c>
      <c r="S334" s="98">
        <v>0</v>
      </c>
      <c r="T334" s="101">
        <f t="shared" si="316"/>
        <v>0</v>
      </c>
      <c r="U334" s="183">
        <v>1</v>
      </c>
      <c r="V334" s="99">
        <v>1</v>
      </c>
      <c r="W334" s="98">
        <v>50</v>
      </c>
      <c r="X334" s="98">
        <v>3</v>
      </c>
      <c r="Y334" s="101">
        <f t="shared" ref="Y334:Y339" si="319">W334*X334</f>
        <v>150</v>
      </c>
      <c r="Z334" s="101">
        <v>1</v>
      </c>
      <c r="AA334" s="183">
        <v>0</v>
      </c>
      <c r="AB334" s="99">
        <v>1</v>
      </c>
      <c r="AC334" s="98">
        <v>0</v>
      </c>
      <c r="AD334" s="98">
        <v>0</v>
      </c>
      <c r="AE334" s="101">
        <f t="shared" si="317"/>
        <v>0</v>
      </c>
      <c r="AF334" s="100">
        <v>0</v>
      </c>
      <c r="AG334" s="98">
        <v>0</v>
      </c>
      <c r="AH334" s="99">
        <f t="shared" si="318"/>
        <v>0</v>
      </c>
      <c r="AI334" s="101">
        <v>1</v>
      </c>
      <c r="AJ334" s="106"/>
    </row>
    <row r="335" spans="2:36" s="35" customFormat="1" ht="17.100000000000001" customHeight="1">
      <c r="B335" s="105"/>
      <c r="C335" s="54"/>
      <c r="D335" s="96"/>
      <c r="E335" s="111"/>
      <c r="F335" s="112"/>
      <c r="G335" s="113"/>
      <c r="H335" s="183">
        <v>1</v>
      </c>
      <c r="I335" s="98">
        <v>0</v>
      </c>
      <c r="J335" s="98">
        <v>0</v>
      </c>
      <c r="K335" s="101">
        <f t="shared" si="313"/>
        <v>0</v>
      </c>
      <c r="L335" s="100">
        <v>0</v>
      </c>
      <c r="M335" s="98">
        <v>0</v>
      </c>
      <c r="N335" s="101">
        <f t="shared" si="314"/>
        <v>0</v>
      </c>
      <c r="O335" s="100">
        <v>0</v>
      </c>
      <c r="P335" s="98">
        <v>0</v>
      </c>
      <c r="Q335" s="101">
        <f t="shared" si="315"/>
        <v>0</v>
      </c>
      <c r="R335" s="100">
        <v>0</v>
      </c>
      <c r="S335" s="98">
        <v>0</v>
      </c>
      <c r="T335" s="101">
        <f t="shared" si="316"/>
        <v>0</v>
      </c>
      <c r="U335" s="183">
        <v>1</v>
      </c>
      <c r="V335" s="99">
        <v>1</v>
      </c>
      <c r="W335" s="98">
        <v>0</v>
      </c>
      <c r="X335" s="98">
        <v>0</v>
      </c>
      <c r="Y335" s="101">
        <f t="shared" si="319"/>
        <v>0</v>
      </c>
      <c r="Z335" s="101">
        <v>1</v>
      </c>
      <c r="AA335" s="183">
        <v>0</v>
      </c>
      <c r="AB335" s="99">
        <v>1</v>
      </c>
      <c r="AC335" s="98">
        <v>0</v>
      </c>
      <c r="AD335" s="98">
        <v>0</v>
      </c>
      <c r="AE335" s="101">
        <f t="shared" si="317"/>
        <v>0</v>
      </c>
      <c r="AF335" s="100">
        <v>0</v>
      </c>
      <c r="AG335" s="98">
        <v>0</v>
      </c>
      <c r="AH335" s="99">
        <f t="shared" si="318"/>
        <v>0</v>
      </c>
      <c r="AI335" s="101">
        <v>1</v>
      </c>
      <c r="AJ335" s="106"/>
    </row>
    <row r="336" spans="2:36" s="35" customFormat="1" ht="17.100000000000001" customHeight="1">
      <c r="B336" s="105"/>
      <c r="C336" s="54"/>
      <c r="D336" s="96"/>
      <c r="E336" s="111"/>
      <c r="F336" s="112"/>
      <c r="G336" s="113"/>
      <c r="H336" s="183">
        <v>1</v>
      </c>
      <c r="I336" s="98">
        <v>0</v>
      </c>
      <c r="J336" s="98">
        <v>0</v>
      </c>
      <c r="K336" s="101">
        <f t="shared" si="313"/>
        <v>0</v>
      </c>
      <c r="L336" s="100">
        <v>0</v>
      </c>
      <c r="M336" s="98">
        <v>0</v>
      </c>
      <c r="N336" s="101">
        <f t="shared" si="314"/>
        <v>0</v>
      </c>
      <c r="O336" s="100">
        <v>0</v>
      </c>
      <c r="P336" s="98">
        <v>0</v>
      </c>
      <c r="Q336" s="101">
        <f t="shared" si="315"/>
        <v>0</v>
      </c>
      <c r="R336" s="100">
        <v>0</v>
      </c>
      <c r="S336" s="98">
        <v>0</v>
      </c>
      <c r="T336" s="101">
        <f t="shared" si="316"/>
        <v>0</v>
      </c>
      <c r="U336" s="183">
        <v>1</v>
      </c>
      <c r="V336" s="99">
        <v>1</v>
      </c>
      <c r="W336" s="98">
        <v>0</v>
      </c>
      <c r="X336" s="98">
        <v>0</v>
      </c>
      <c r="Y336" s="101">
        <f t="shared" si="319"/>
        <v>0</v>
      </c>
      <c r="Z336" s="101">
        <v>1</v>
      </c>
      <c r="AA336" s="183">
        <v>0</v>
      </c>
      <c r="AB336" s="99">
        <v>1</v>
      </c>
      <c r="AC336" s="98">
        <v>0</v>
      </c>
      <c r="AD336" s="98">
        <v>0</v>
      </c>
      <c r="AE336" s="101">
        <f t="shared" si="317"/>
        <v>0</v>
      </c>
      <c r="AF336" s="100">
        <v>0</v>
      </c>
      <c r="AG336" s="98">
        <v>0</v>
      </c>
      <c r="AH336" s="99">
        <f t="shared" si="318"/>
        <v>0</v>
      </c>
      <c r="AI336" s="101">
        <v>1</v>
      </c>
      <c r="AJ336" s="106"/>
    </row>
    <row r="337" spans="2:36" s="35" customFormat="1" ht="17.100000000000001" customHeight="1">
      <c r="B337" s="105"/>
      <c r="C337" s="54"/>
      <c r="D337" s="96"/>
      <c r="E337" s="111"/>
      <c r="F337" s="112"/>
      <c r="G337" s="113"/>
      <c r="H337" s="183">
        <v>1</v>
      </c>
      <c r="I337" s="98">
        <v>0</v>
      </c>
      <c r="J337" s="98">
        <v>0</v>
      </c>
      <c r="K337" s="101">
        <f t="shared" si="313"/>
        <v>0</v>
      </c>
      <c r="L337" s="100">
        <v>0</v>
      </c>
      <c r="M337" s="98">
        <v>0</v>
      </c>
      <c r="N337" s="101">
        <f t="shared" si="314"/>
        <v>0</v>
      </c>
      <c r="O337" s="100">
        <v>0</v>
      </c>
      <c r="P337" s="98">
        <v>0</v>
      </c>
      <c r="Q337" s="101">
        <f t="shared" si="315"/>
        <v>0</v>
      </c>
      <c r="R337" s="100">
        <v>0</v>
      </c>
      <c r="S337" s="98">
        <v>0</v>
      </c>
      <c r="T337" s="101">
        <f t="shared" si="316"/>
        <v>0</v>
      </c>
      <c r="U337" s="183">
        <v>1</v>
      </c>
      <c r="V337" s="99">
        <v>1</v>
      </c>
      <c r="W337" s="98">
        <v>0</v>
      </c>
      <c r="X337" s="98">
        <v>0</v>
      </c>
      <c r="Y337" s="101">
        <f t="shared" si="319"/>
        <v>0</v>
      </c>
      <c r="Z337" s="101">
        <v>1</v>
      </c>
      <c r="AA337" s="183">
        <v>0</v>
      </c>
      <c r="AB337" s="99">
        <v>1</v>
      </c>
      <c r="AC337" s="98">
        <v>0</v>
      </c>
      <c r="AD337" s="98">
        <v>0</v>
      </c>
      <c r="AE337" s="101">
        <f t="shared" si="317"/>
        <v>0</v>
      </c>
      <c r="AF337" s="100">
        <v>0</v>
      </c>
      <c r="AG337" s="98">
        <v>0</v>
      </c>
      <c r="AH337" s="99">
        <f t="shared" si="318"/>
        <v>0</v>
      </c>
      <c r="AI337" s="101">
        <v>1</v>
      </c>
      <c r="AJ337" s="106"/>
    </row>
    <row r="338" spans="2:36" s="35" customFormat="1" ht="17.100000000000001" customHeight="1">
      <c r="B338" s="105"/>
      <c r="C338" s="54"/>
      <c r="D338" s="96"/>
      <c r="E338" s="111"/>
      <c r="F338" s="112"/>
      <c r="G338" s="113"/>
      <c r="H338" s="183">
        <v>1</v>
      </c>
      <c r="I338" s="98">
        <v>0</v>
      </c>
      <c r="J338" s="98">
        <v>0</v>
      </c>
      <c r="K338" s="101">
        <f t="shared" si="313"/>
        <v>0</v>
      </c>
      <c r="L338" s="100">
        <v>0</v>
      </c>
      <c r="M338" s="98">
        <v>0</v>
      </c>
      <c r="N338" s="101">
        <f t="shared" si="314"/>
        <v>0</v>
      </c>
      <c r="O338" s="100">
        <v>0</v>
      </c>
      <c r="P338" s="98">
        <v>0</v>
      </c>
      <c r="Q338" s="101">
        <f t="shared" si="315"/>
        <v>0</v>
      </c>
      <c r="R338" s="100">
        <v>0</v>
      </c>
      <c r="S338" s="98">
        <v>0</v>
      </c>
      <c r="T338" s="101">
        <f t="shared" si="316"/>
        <v>0</v>
      </c>
      <c r="U338" s="183">
        <v>1</v>
      </c>
      <c r="V338" s="99">
        <v>1</v>
      </c>
      <c r="W338" s="98">
        <v>0</v>
      </c>
      <c r="X338" s="98">
        <v>0</v>
      </c>
      <c r="Y338" s="101">
        <f t="shared" si="319"/>
        <v>0</v>
      </c>
      <c r="Z338" s="101">
        <v>1</v>
      </c>
      <c r="AA338" s="183">
        <v>0</v>
      </c>
      <c r="AB338" s="99">
        <v>1</v>
      </c>
      <c r="AC338" s="98">
        <v>0</v>
      </c>
      <c r="AD338" s="98">
        <v>0</v>
      </c>
      <c r="AE338" s="101">
        <f t="shared" si="317"/>
        <v>0</v>
      </c>
      <c r="AF338" s="100">
        <v>0</v>
      </c>
      <c r="AG338" s="98">
        <v>0</v>
      </c>
      <c r="AH338" s="99">
        <f t="shared" si="318"/>
        <v>0</v>
      </c>
      <c r="AI338" s="101">
        <v>1</v>
      </c>
      <c r="AJ338" s="106"/>
    </row>
    <row r="339" spans="2:36" s="35" customFormat="1" ht="17.100000000000001" customHeight="1">
      <c r="B339" s="105"/>
      <c r="C339" s="54"/>
      <c r="D339" s="96"/>
      <c r="E339" s="111"/>
      <c r="F339" s="112"/>
      <c r="G339" s="113"/>
      <c r="H339" s="183">
        <v>1</v>
      </c>
      <c r="I339" s="98">
        <v>0</v>
      </c>
      <c r="J339" s="98">
        <v>0</v>
      </c>
      <c r="K339" s="101">
        <f t="shared" si="313"/>
        <v>0</v>
      </c>
      <c r="L339" s="100">
        <v>0</v>
      </c>
      <c r="M339" s="98">
        <v>0</v>
      </c>
      <c r="N339" s="101">
        <f t="shared" si="314"/>
        <v>0</v>
      </c>
      <c r="O339" s="100">
        <v>0</v>
      </c>
      <c r="P339" s="98">
        <v>0</v>
      </c>
      <c r="Q339" s="101">
        <f t="shared" si="315"/>
        <v>0</v>
      </c>
      <c r="R339" s="100">
        <v>0</v>
      </c>
      <c r="S339" s="98">
        <v>0</v>
      </c>
      <c r="T339" s="101">
        <f t="shared" si="316"/>
        <v>0</v>
      </c>
      <c r="U339" s="183">
        <v>1</v>
      </c>
      <c r="V339" s="99">
        <v>1</v>
      </c>
      <c r="W339" s="98">
        <v>0</v>
      </c>
      <c r="X339" s="98">
        <v>0</v>
      </c>
      <c r="Y339" s="101">
        <f t="shared" si="319"/>
        <v>0</v>
      </c>
      <c r="Z339" s="101">
        <v>1</v>
      </c>
      <c r="AA339" s="183">
        <v>0</v>
      </c>
      <c r="AB339" s="99">
        <v>1</v>
      </c>
      <c r="AC339" s="98">
        <v>0</v>
      </c>
      <c r="AD339" s="98">
        <v>0</v>
      </c>
      <c r="AE339" s="101">
        <f t="shared" si="317"/>
        <v>0</v>
      </c>
      <c r="AF339" s="100">
        <v>0</v>
      </c>
      <c r="AG339" s="98">
        <v>0</v>
      </c>
      <c r="AH339" s="99">
        <f t="shared" si="318"/>
        <v>0</v>
      </c>
      <c r="AI339" s="101">
        <v>1</v>
      </c>
      <c r="AJ339" s="106"/>
    </row>
    <row r="340" spans="2:36" s="126" customFormat="1" ht="17.100000000000001" customHeight="1">
      <c r="B340" s="118"/>
      <c r="C340" s="119"/>
      <c r="D340" s="120"/>
      <c r="E340" s="121"/>
      <c r="F340" s="122"/>
      <c r="G340" s="123"/>
      <c r="H340" s="183">
        <v>1</v>
      </c>
      <c r="I340" s="363" t="s">
        <v>201</v>
      </c>
      <c r="J340" s="363"/>
      <c r="K340" s="124">
        <f>SUM(K333:K339)</f>
        <v>0</v>
      </c>
      <c r="L340" s="341" t="s">
        <v>201</v>
      </c>
      <c r="M340" s="342"/>
      <c r="N340" s="124">
        <f>SUM(N333:N339)</f>
        <v>0</v>
      </c>
      <c r="O340" s="341" t="s">
        <v>201</v>
      </c>
      <c r="P340" s="342"/>
      <c r="Q340" s="124">
        <f>SUM(Q333:Q339)</f>
        <v>0</v>
      </c>
      <c r="R340" s="341" t="s">
        <v>201</v>
      </c>
      <c r="S340" s="342"/>
      <c r="T340" s="124">
        <f>SUM(T333:T339)</f>
        <v>0</v>
      </c>
      <c r="U340" s="183">
        <v>1</v>
      </c>
      <c r="V340" s="99">
        <v>1</v>
      </c>
      <c r="W340" s="363" t="s">
        <v>201</v>
      </c>
      <c r="X340" s="363"/>
      <c r="Y340" s="124">
        <f>SUM(Y333:Y339)</f>
        <v>210</v>
      </c>
      <c r="Z340" s="101">
        <v>1</v>
      </c>
      <c r="AA340" s="183">
        <v>0</v>
      </c>
      <c r="AB340" s="99">
        <v>1</v>
      </c>
      <c r="AC340" s="363" t="s">
        <v>201</v>
      </c>
      <c r="AD340" s="363"/>
      <c r="AE340" s="124">
        <f>SUM(AE333:AE339)</f>
        <v>0</v>
      </c>
      <c r="AF340" s="364" t="s">
        <v>201</v>
      </c>
      <c r="AG340" s="363"/>
      <c r="AH340" s="143">
        <f>SUM(AH333:AH339)</f>
        <v>0</v>
      </c>
      <c r="AI340" s="101">
        <v>1</v>
      </c>
      <c r="AJ340" s="125"/>
    </row>
    <row r="341" spans="2:36" s="35" customFormat="1" ht="16.95" customHeight="1">
      <c r="B341" s="105"/>
      <c r="C341" s="54">
        <f>'3. Rekap Back Up Non Aspal '!C63</f>
        <v>6700</v>
      </c>
      <c r="D341" s="96">
        <f>'3. Rekap Back Up Non Aspal '!D63</f>
        <v>6800</v>
      </c>
      <c r="E341" s="111">
        <f>'3. Rekap Back Up Non Aspal '!E63</f>
        <v>3</v>
      </c>
      <c r="F341" s="112">
        <f>(100/((D341-C341)*E341))*((K348*0.05)+(N348*0.05)+(Q348*0.05)+(T348)+(Y348)+(AE348*1.5)+(AH348*1))</f>
        <v>100</v>
      </c>
      <c r="G341" s="113" t="str">
        <f>IF(F341&lt;=25,"RB",IF(F341&lt;=75,"RB",IF(F341&lt;=100,"RB","RB")))</f>
        <v>RB</v>
      </c>
      <c r="H341" s="183">
        <v>1</v>
      </c>
      <c r="I341" s="98">
        <v>0</v>
      </c>
      <c r="J341" s="98">
        <v>0</v>
      </c>
      <c r="K341" s="101">
        <f t="shared" ref="K341:K347" si="320">I341*J341</f>
        <v>0</v>
      </c>
      <c r="L341" s="98">
        <v>0</v>
      </c>
      <c r="M341" s="98">
        <v>0</v>
      </c>
      <c r="N341" s="101">
        <f t="shared" ref="N341:N347" si="321">L341*M341</f>
        <v>0</v>
      </c>
      <c r="O341" s="98">
        <v>0</v>
      </c>
      <c r="P341" s="98">
        <v>0</v>
      </c>
      <c r="Q341" s="101">
        <f t="shared" ref="Q341:Q347" si="322">O341*P341</f>
        <v>0</v>
      </c>
      <c r="R341" s="98">
        <v>0</v>
      </c>
      <c r="S341" s="98">
        <v>0</v>
      </c>
      <c r="T341" s="101">
        <f t="shared" ref="T341:T347" si="323">R341*S341</f>
        <v>0</v>
      </c>
      <c r="U341" s="183">
        <v>2</v>
      </c>
      <c r="V341" s="99">
        <v>2</v>
      </c>
      <c r="W341" s="98">
        <v>100</v>
      </c>
      <c r="X341" s="98">
        <v>3</v>
      </c>
      <c r="Y341" s="101">
        <f>W341*X341</f>
        <v>300</v>
      </c>
      <c r="Z341" s="101">
        <v>1</v>
      </c>
      <c r="AA341" s="183">
        <v>0</v>
      </c>
      <c r="AB341" s="99">
        <v>1</v>
      </c>
      <c r="AC341" s="98">
        <v>0</v>
      </c>
      <c r="AD341" s="98">
        <v>0</v>
      </c>
      <c r="AE341" s="101">
        <f t="shared" ref="AE341:AE347" si="324">AC341*AD341</f>
        <v>0</v>
      </c>
      <c r="AF341" s="98">
        <v>0</v>
      </c>
      <c r="AG341" s="98">
        <v>3</v>
      </c>
      <c r="AH341" s="99">
        <f t="shared" ref="AH341:AH347" si="325">AF341*AG341</f>
        <v>0</v>
      </c>
      <c r="AI341" s="101">
        <v>1</v>
      </c>
      <c r="AJ341" s="106"/>
    </row>
    <row r="342" spans="2:36" s="35" customFormat="1" ht="17.100000000000001" customHeight="1">
      <c r="B342" s="105"/>
      <c r="C342" s="54"/>
      <c r="D342" s="96"/>
      <c r="E342" s="111"/>
      <c r="F342" s="112"/>
      <c r="G342" s="113"/>
      <c r="H342" s="183">
        <v>1</v>
      </c>
      <c r="I342" s="98">
        <v>0</v>
      </c>
      <c r="J342" s="98">
        <v>0</v>
      </c>
      <c r="K342" s="101">
        <f t="shared" si="320"/>
        <v>0</v>
      </c>
      <c r="L342" s="100">
        <v>0</v>
      </c>
      <c r="M342" s="98">
        <v>0</v>
      </c>
      <c r="N342" s="101">
        <f t="shared" si="321"/>
        <v>0</v>
      </c>
      <c r="O342" s="100">
        <v>0</v>
      </c>
      <c r="P342" s="98">
        <v>0</v>
      </c>
      <c r="Q342" s="101">
        <f t="shared" si="322"/>
        <v>0</v>
      </c>
      <c r="R342" s="100">
        <v>0</v>
      </c>
      <c r="S342" s="98">
        <v>0</v>
      </c>
      <c r="T342" s="101">
        <f t="shared" si="323"/>
        <v>0</v>
      </c>
      <c r="U342" s="183">
        <v>1</v>
      </c>
      <c r="V342" s="99">
        <v>1</v>
      </c>
      <c r="W342" s="98">
        <v>0</v>
      </c>
      <c r="X342" s="98">
        <v>0</v>
      </c>
      <c r="Y342" s="101">
        <f t="shared" ref="Y342:Y347" si="326">W342*X342</f>
        <v>0</v>
      </c>
      <c r="Z342" s="101">
        <v>1</v>
      </c>
      <c r="AA342" s="183">
        <v>0</v>
      </c>
      <c r="AB342" s="99">
        <v>1</v>
      </c>
      <c r="AC342" s="98">
        <v>0</v>
      </c>
      <c r="AD342" s="98">
        <v>0</v>
      </c>
      <c r="AE342" s="101">
        <f t="shared" si="324"/>
        <v>0</v>
      </c>
      <c r="AF342" s="100">
        <v>0</v>
      </c>
      <c r="AG342" s="98">
        <v>0</v>
      </c>
      <c r="AH342" s="99">
        <f t="shared" si="325"/>
        <v>0</v>
      </c>
      <c r="AI342" s="101">
        <v>1</v>
      </c>
      <c r="AJ342" s="106"/>
    </row>
    <row r="343" spans="2:36" s="35" customFormat="1" ht="17.100000000000001" customHeight="1">
      <c r="B343" s="105"/>
      <c r="C343" s="54"/>
      <c r="D343" s="96"/>
      <c r="E343" s="111"/>
      <c r="F343" s="112"/>
      <c r="G343" s="113"/>
      <c r="H343" s="183">
        <v>1</v>
      </c>
      <c r="I343" s="98">
        <v>0</v>
      </c>
      <c r="J343" s="98">
        <v>0</v>
      </c>
      <c r="K343" s="101">
        <f t="shared" si="320"/>
        <v>0</v>
      </c>
      <c r="L343" s="100">
        <v>0</v>
      </c>
      <c r="M343" s="98">
        <v>0</v>
      </c>
      <c r="N343" s="101">
        <f t="shared" si="321"/>
        <v>0</v>
      </c>
      <c r="O343" s="100">
        <v>0</v>
      </c>
      <c r="P343" s="98">
        <v>0</v>
      </c>
      <c r="Q343" s="101">
        <f t="shared" si="322"/>
        <v>0</v>
      </c>
      <c r="R343" s="100">
        <v>0</v>
      </c>
      <c r="S343" s="98">
        <v>0</v>
      </c>
      <c r="T343" s="101">
        <f t="shared" si="323"/>
        <v>0</v>
      </c>
      <c r="U343" s="183">
        <v>1</v>
      </c>
      <c r="V343" s="99">
        <v>1</v>
      </c>
      <c r="W343" s="98">
        <v>0</v>
      </c>
      <c r="X343" s="98">
        <v>0</v>
      </c>
      <c r="Y343" s="101">
        <f t="shared" si="326"/>
        <v>0</v>
      </c>
      <c r="Z343" s="101">
        <v>1</v>
      </c>
      <c r="AA343" s="183">
        <v>0</v>
      </c>
      <c r="AB343" s="99">
        <v>1</v>
      </c>
      <c r="AC343" s="98">
        <v>0</v>
      </c>
      <c r="AD343" s="98">
        <v>0</v>
      </c>
      <c r="AE343" s="101">
        <f t="shared" si="324"/>
        <v>0</v>
      </c>
      <c r="AF343" s="100">
        <v>0</v>
      </c>
      <c r="AG343" s="98">
        <v>0</v>
      </c>
      <c r="AH343" s="99">
        <f t="shared" si="325"/>
        <v>0</v>
      </c>
      <c r="AI343" s="101">
        <v>1</v>
      </c>
      <c r="AJ343" s="106"/>
    </row>
    <row r="344" spans="2:36" s="35" customFormat="1" ht="17.100000000000001" customHeight="1">
      <c r="B344" s="105"/>
      <c r="C344" s="54"/>
      <c r="D344" s="96"/>
      <c r="E344" s="111"/>
      <c r="F344" s="112"/>
      <c r="G344" s="113"/>
      <c r="H344" s="183">
        <v>1</v>
      </c>
      <c r="I344" s="98">
        <v>0</v>
      </c>
      <c r="J344" s="98">
        <v>0</v>
      </c>
      <c r="K344" s="101">
        <f t="shared" si="320"/>
        <v>0</v>
      </c>
      <c r="L344" s="100">
        <v>0</v>
      </c>
      <c r="M344" s="98">
        <v>0</v>
      </c>
      <c r="N344" s="101">
        <f t="shared" si="321"/>
        <v>0</v>
      </c>
      <c r="O344" s="100">
        <v>0</v>
      </c>
      <c r="P344" s="98">
        <v>0</v>
      </c>
      <c r="Q344" s="101">
        <f t="shared" si="322"/>
        <v>0</v>
      </c>
      <c r="R344" s="100">
        <v>0</v>
      </c>
      <c r="S344" s="98">
        <v>0</v>
      </c>
      <c r="T344" s="101">
        <f t="shared" si="323"/>
        <v>0</v>
      </c>
      <c r="U344" s="183">
        <v>1</v>
      </c>
      <c r="V344" s="99">
        <v>1</v>
      </c>
      <c r="W344" s="98">
        <v>0</v>
      </c>
      <c r="X344" s="98">
        <v>0</v>
      </c>
      <c r="Y344" s="101">
        <f t="shared" si="326"/>
        <v>0</v>
      </c>
      <c r="Z344" s="101">
        <v>1</v>
      </c>
      <c r="AA344" s="183">
        <v>0</v>
      </c>
      <c r="AB344" s="99">
        <v>1</v>
      </c>
      <c r="AC344" s="98">
        <v>0</v>
      </c>
      <c r="AD344" s="98">
        <v>0</v>
      </c>
      <c r="AE344" s="101">
        <f t="shared" si="324"/>
        <v>0</v>
      </c>
      <c r="AF344" s="100">
        <v>0</v>
      </c>
      <c r="AG344" s="98">
        <v>0</v>
      </c>
      <c r="AH344" s="99">
        <f t="shared" si="325"/>
        <v>0</v>
      </c>
      <c r="AI344" s="101">
        <v>1</v>
      </c>
      <c r="AJ344" s="106"/>
    </row>
    <row r="345" spans="2:36" s="35" customFormat="1" ht="17.100000000000001" customHeight="1">
      <c r="B345" s="105"/>
      <c r="C345" s="54"/>
      <c r="D345" s="96"/>
      <c r="E345" s="111"/>
      <c r="F345" s="112"/>
      <c r="G345" s="113"/>
      <c r="H345" s="183">
        <v>1</v>
      </c>
      <c r="I345" s="98">
        <v>0</v>
      </c>
      <c r="J345" s="98">
        <v>0</v>
      </c>
      <c r="K345" s="101">
        <f t="shared" si="320"/>
        <v>0</v>
      </c>
      <c r="L345" s="100">
        <v>0</v>
      </c>
      <c r="M345" s="98">
        <v>0</v>
      </c>
      <c r="N345" s="101">
        <f t="shared" si="321"/>
        <v>0</v>
      </c>
      <c r="O345" s="100">
        <v>0</v>
      </c>
      <c r="P345" s="98">
        <v>0</v>
      </c>
      <c r="Q345" s="101">
        <f t="shared" si="322"/>
        <v>0</v>
      </c>
      <c r="R345" s="100">
        <v>0</v>
      </c>
      <c r="S345" s="98">
        <v>0</v>
      </c>
      <c r="T345" s="101">
        <f t="shared" si="323"/>
        <v>0</v>
      </c>
      <c r="U345" s="183">
        <v>1</v>
      </c>
      <c r="V345" s="99">
        <v>1</v>
      </c>
      <c r="W345" s="98">
        <v>0</v>
      </c>
      <c r="X345" s="98">
        <v>0</v>
      </c>
      <c r="Y345" s="101">
        <f t="shared" si="326"/>
        <v>0</v>
      </c>
      <c r="Z345" s="101">
        <v>1</v>
      </c>
      <c r="AA345" s="183">
        <v>0</v>
      </c>
      <c r="AB345" s="99">
        <v>1</v>
      </c>
      <c r="AC345" s="98">
        <v>0</v>
      </c>
      <c r="AD345" s="98">
        <v>0</v>
      </c>
      <c r="AE345" s="101">
        <f t="shared" si="324"/>
        <v>0</v>
      </c>
      <c r="AF345" s="100">
        <v>0</v>
      </c>
      <c r="AG345" s="98">
        <v>0</v>
      </c>
      <c r="AH345" s="99">
        <f t="shared" si="325"/>
        <v>0</v>
      </c>
      <c r="AI345" s="101">
        <v>1</v>
      </c>
      <c r="AJ345" s="106"/>
    </row>
    <row r="346" spans="2:36" s="35" customFormat="1" ht="17.100000000000001" customHeight="1">
      <c r="B346" s="105"/>
      <c r="C346" s="54"/>
      <c r="D346" s="96"/>
      <c r="E346" s="111"/>
      <c r="F346" s="112"/>
      <c r="G346" s="113"/>
      <c r="H346" s="183">
        <v>1</v>
      </c>
      <c r="I346" s="98">
        <v>0</v>
      </c>
      <c r="J346" s="98">
        <v>0</v>
      </c>
      <c r="K346" s="101">
        <f t="shared" si="320"/>
        <v>0</v>
      </c>
      <c r="L346" s="100">
        <v>0</v>
      </c>
      <c r="M346" s="98">
        <v>0</v>
      </c>
      <c r="N346" s="101">
        <f t="shared" si="321"/>
        <v>0</v>
      </c>
      <c r="O346" s="100">
        <v>0</v>
      </c>
      <c r="P346" s="98">
        <v>0</v>
      </c>
      <c r="Q346" s="101">
        <f t="shared" si="322"/>
        <v>0</v>
      </c>
      <c r="R346" s="100">
        <v>0</v>
      </c>
      <c r="S346" s="98">
        <v>0</v>
      </c>
      <c r="T346" s="101">
        <f t="shared" si="323"/>
        <v>0</v>
      </c>
      <c r="U346" s="183">
        <v>1</v>
      </c>
      <c r="V346" s="99">
        <v>1</v>
      </c>
      <c r="W346" s="98">
        <v>0</v>
      </c>
      <c r="X346" s="98">
        <v>0</v>
      </c>
      <c r="Y346" s="101">
        <f t="shared" si="326"/>
        <v>0</v>
      </c>
      <c r="Z346" s="101">
        <v>1</v>
      </c>
      <c r="AA346" s="183">
        <v>0</v>
      </c>
      <c r="AB346" s="99">
        <v>1</v>
      </c>
      <c r="AC346" s="98">
        <v>0</v>
      </c>
      <c r="AD346" s="98">
        <v>0</v>
      </c>
      <c r="AE346" s="101">
        <f t="shared" si="324"/>
        <v>0</v>
      </c>
      <c r="AF346" s="100">
        <v>0</v>
      </c>
      <c r="AG346" s="98">
        <v>0</v>
      </c>
      <c r="AH346" s="99">
        <f t="shared" si="325"/>
        <v>0</v>
      </c>
      <c r="AI346" s="101">
        <v>1</v>
      </c>
      <c r="AJ346" s="106"/>
    </row>
    <row r="347" spans="2:36" s="35" customFormat="1" ht="17.100000000000001" customHeight="1">
      <c r="B347" s="105"/>
      <c r="C347" s="54"/>
      <c r="D347" s="96"/>
      <c r="E347" s="111"/>
      <c r="F347" s="112"/>
      <c r="G347" s="113"/>
      <c r="H347" s="183">
        <v>1</v>
      </c>
      <c r="I347" s="98">
        <v>0</v>
      </c>
      <c r="J347" s="98">
        <v>0</v>
      </c>
      <c r="K347" s="101">
        <f t="shared" si="320"/>
        <v>0</v>
      </c>
      <c r="L347" s="100">
        <v>0</v>
      </c>
      <c r="M347" s="98">
        <v>0</v>
      </c>
      <c r="N347" s="101">
        <f t="shared" si="321"/>
        <v>0</v>
      </c>
      <c r="O347" s="100">
        <v>0</v>
      </c>
      <c r="P347" s="98">
        <v>0</v>
      </c>
      <c r="Q347" s="101">
        <f t="shared" si="322"/>
        <v>0</v>
      </c>
      <c r="R347" s="100">
        <v>0</v>
      </c>
      <c r="S347" s="98">
        <v>0</v>
      </c>
      <c r="T347" s="101">
        <f t="shared" si="323"/>
        <v>0</v>
      </c>
      <c r="U347" s="183">
        <v>1</v>
      </c>
      <c r="V347" s="99">
        <v>1</v>
      </c>
      <c r="W347" s="98">
        <v>0</v>
      </c>
      <c r="X347" s="98">
        <v>0</v>
      </c>
      <c r="Y347" s="101">
        <f t="shared" si="326"/>
        <v>0</v>
      </c>
      <c r="Z347" s="101">
        <v>1</v>
      </c>
      <c r="AA347" s="183">
        <v>0</v>
      </c>
      <c r="AB347" s="99">
        <v>1</v>
      </c>
      <c r="AC347" s="98">
        <v>0</v>
      </c>
      <c r="AD347" s="98">
        <v>0</v>
      </c>
      <c r="AE347" s="101">
        <f t="shared" si="324"/>
        <v>0</v>
      </c>
      <c r="AF347" s="100">
        <v>0</v>
      </c>
      <c r="AG347" s="98">
        <v>0</v>
      </c>
      <c r="AH347" s="99">
        <f t="shared" si="325"/>
        <v>0</v>
      </c>
      <c r="AI347" s="101">
        <v>1</v>
      </c>
      <c r="AJ347" s="106"/>
    </row>
    <row r="348" spans="2:36" s="126" customFormat="1" ht="17.100000000000001" customHeight="1">
      <c r="B348" s="118"/>
      <c r="C348" s="119"/>
      <c r="D348" s="120"/>
      <c r="E348" s="121"/>
      <c r="F348" s="122"/>
      <c r="G348" s="123"/>
      <c r="H348" s="183">
        <v>1</v>
      </c>
      <c r="I348" s="363" t="s">
        <v>201</v>
      </c>
      <c r="J348" s="363"/>
      <c r="K348" s="124">
        <f>SUM(K341:K347)</f>
        <v>0</v>
      </c>
      <c r="L348" s="341" t="s">
        <v>201</v>
      </c>
      <c r="M348" s="342"/>
      <c r="N348" s="124">
        <f>SUM(N341:N347)</f>
        <v>0</v>
      </c>
      <c r="O348" s="341" t="s">
        <v>201</v>
      </c>
      <c r="P348" s="342"/>
      <c r="Q348" s="124">
        <f>SUM(Q341:Q347)</f>
        <v>0</v>
      </c>
      <c r="R348" s="341" t="s">
        <v>201</v>
      </c>
      <c r="S348" s="342"/>
      <c r="T348" s="124">
        <f>SUM(T341:T347)</f>
        <v>0</v>
      </c>
      <c r="U348" s="183">
        <v>1</v>
      </c>
      <c r="V348" s="99">
        <v>1</v>
      </c>
      <c r="W348" s="363" t="s">
        <v>201</v>
      </c>
      <c r="X348" s="363"/>
      <c r="Y348" s="124">
        <f>SUM(Y341:Y347)</f>
        <v>300</v>
      </c>
      <c r="Z348" s="101">
        <v>1</v>
      </c>
      <c r="AA348" s="183">
        <v>0</v>
      </c>
      <c r="AB348" s="99">
        <v>1</v>
      </c>
      <c r="AC348" s="363" t="s">
        <v>201</v>
      </c>
      <c r="AD348" s="363"/>
      <c r="AE348" s="124">
        <f>SUM(AE341:AE347)</f>
        <v>0</v>
      </c>
      <c r="AF348" s="364" t="s">
        <v>201</v>
      </c>
      <c r="AG348" s="363"/>
      <c r="AH348" s="143">
        <f>SUM(AH341:AH347)</f>
        <v>0</v>
      </c>
      <c r="AI348" s="101">
        <v>1</v>
      </c>
      <c r="AJ348" s="125"/>
    </row>
    <row r="349" spans="2:36" s="35" customFormat="1" ht="16.95" customHeight="1">
      <c r="B349" s="105"/>
      <c r="C349" s="54">
        <f>'3. Rekap Back Up Non Aspal '!C64</f>
        <v>6800</v>
      </c>
      <c r="D349" s="96">
        <f>'3. Rekap Back Up Non Aspal '!D64</f>
        <v>6900</v>
      </c>
      <c r="E349" s="111">
        <f>'3. Rekap Back Up Non Aspal '!E64</f>
        <v>3</v>
      </c>
      <c r="F349" s="112">
        <f>(100/((D349-C349)*E349))*((K356*0.05)+(N356*0.05)+(Q356*0.05)+(T356)+(Y356)+(AE356*1.5)+(AH356*1))</f>
        <v>100</v>
      </c>
      <c r="G349" s="113" t="str">
        <f>IF(F349&lt;=25,"RB",IF(F349&lt;=75,"RB",IF(F349&lt;=100,"RB","RB")))</f>
        <v>RB</v>
      </c>
      <c r="H349" s="183">
        <v>1</v>
      </c>
      <c r="I349" s="98">
        <v>0</v>
      </c>
      <c r="J349" s="98">
        <v>0</v>
      </c>
      <c r="K349" s="101">
        <f t="shared" ref="K349:K355" si="327">I349*J349</f>
        <v>0</v>
      </c>
      <c r="L349" s="98">
        <v>0</v>
      </c>
      <c r="M349" s="98">
        <v>0</v>
      </c>
      <c r="N349" s="101">
        <f t="shared" ref="N349:N355" si="328">L349*M349</f>
        <v>0</v>
      </c>
      <c r="O349" s="98">
        <v>0</v>
      </c>
      <c r="P349" s="98">
        <v>0</v>
      </c>
      <c r="Q349" s="101">
        <f t="shared" ref="Q349:Q355" si="329">O349*P349</f>
        <v>0</v>
      </c>
      <c r="R349" s="98">
        <v>0</v>
      </c>
      <c r="S349" s="98">
        <v>0</v>
      </c>
      <c r="T349" s="101">
        <f t="shared" ref="T349:T355" si="330">R349*S349</f>
        <v>0</v>
      </c>
      <c r="U349" s="183">
        <v>3</v>
      </c>
      <c r="V349" s="99">
        <v>2</v>
      </c>
      <c r="W349" s="98">
        <v>100</v>
      </c>
      <c r="X349" s="98">
        <v>3</v>
      </c>
      <c r="Y349" s="101">
        <f>W349*X349</f>
        <v>300</v>
      </c>
      <c r="Z349" s="101">
        <v>1</v>
      </c>
      <c r="AA349" s="183">
        <v>0</v>
      </c>
      <c r="AB349" s="99">
        <v>1</v>
      </c>
      <c r="AC349" s="98">
        <v>0</v>
      </c>
      <c r="AD349" s="98">
        <v>0</v>
      </c>
      <c r="AE349" s="101">
        <f t="shared" ref="AE349:AE355" si="331">AC349*AD349</f>
        <v>0</v>
      </c>
      <c r="AF349" s="98">
        <v>0</v>
      </c>
      <c r="AG349" s="98">
        <v>3</v>
      </c>
      <c r="AH349" s="99">
        <f t="shared" ref="AH349:AH355" si="332">AF349*AG349</f>
        <v>0</v>
      </c>
      <c r="AI349" s="101">
        <v>1</v>
      </c>
      <c r="AJ349" s="106"/>
    </row>
    <row r="350" spans="2:36" s="35" customFormat="1" ht="17.100000000000001" customHeight="1">
      <c r="B350" s="105"/>
      <c r="C350" s="54"/>
      <c r="D350" s="96"/>
      <c r="E350" s="111"/>
      <c r="F350" s="112"/>
      <c r="G350" s="113"/>
      <c r="H350" s="183">
        <v>1</v>
      </c>
      <c r="I350" s="98">
        <v>0</v>
      </c>
      <c r="J350" s="98">
        <v>0</v>
      </c>
      <c r="K350" s="101">
        <f t="shared" si="327"/>
        <v>0</v>
      </c>
      <c r="L350" s="100">
        <v>0</v>
      </c>
      <c r="M350" s="98">
        <v>0</v>
      </c>
      <c r="N350" s="101">
        <f t="shared" si="328"/>
        <v>0</v>
      </c>
      <c r="O350" s="100">
        <v>0</v>
      </c>
      <c r="P350" s="98">
        <v>0</v>
      </c>
      <c r="Q350" s="101">
        <f t="shared" si="329"/>
        <v>0</v>
      </c>
      <c r="R350" s="100">
        <v>0</v>
      </c>
      <c r="S350" s="98">
        <v>0</v>
      </c>
      <c r="T350" s="101">
        <f t="shared" si="330"/>
        <v>0</v>
      </c>
      <c r="U350" s="183">
        <v>1</v>
      </c>
      <c r="V350" s="99">
        <v>1</v>
      </c>
      <c r="W350" s="98">
        <v>0</v>
      </c>
      <c r="X350" s="98">
        <v>0</v>
      </c>
      <c r="Y350" s="101">
        <f t="shared" ref="Y350:Y355" si="333">W350*X350</f>
        <v>0</v>
      </c>
      <c r="Z350" s="101">
        <v>1</v>
      </c>
      <c r="AA350" s="183">
        <v>0</v>
      </c>
      <c r="AB350" s="99">
        <v>1</v>
      </c>
      <c r="AC350" s="98">
        <v>0</v>
      </c>
      <c r="AD350" s="98">
        <v>0</v>
      </c>
      <c r="AE350" s="101">
        <f t="shared" si="331"/>
        <v>0</v>
      </c>
      <c r="AF350" s="100">
        <v>0</v>
      </c>
      <c r="AG350" s="98">
        <v>0</v>
      </c>
      <c r="AH350" s="99">
        <f t="shared" si="332"/>
        <v>0</v>
      </c>
      <c r="AI350" s="101">
        <v>1</v>
      </c>
      <c r="AJ350" s="106"/>
    </row>
    <row r="351" spans="2:36" s="35" customFormat="1" ht="17.100000000000001" customHeight="1">
      <c r="B351" s="105"/>
      <c r="C351" s="54"/>
      <c r="D351" s="96"/>
      <c r="E351" s="111"/>
      <c r="F351" s="112"/>
      <c r="G351" s="113"/>
      <c r="H351" s="183">
        <v>1</v>
      </c>
      <c r="I351" s="98">
        <v>0</v>
      </c>
      <c r="J351" s="98">
        <v>0</v>
      </c>
      <c r="K351" s="101">
        <f t="shared" si="327"/>
        <v>0</v>
      </c>
      <c r="L351" s="100">
        <v>0</v>
      </c>
      <c r="M351" s="98">
        <v>0</v>
      </c>
      <c r="N351" s="101">
        <f t="shared" si="328"/>
        <v>0</v>
      </c>
      <c r="O351" s="100">
        <v>0</v>
      </c>
      <c r="P351" s="98">
        <v>0</v>
      </c>
      <c r="Q351" s="101">
        <f t="shared" si="329"/>
        <v>0</v>
      </c>
      <c r="R351" s="100">
        <v>0</v>
      </c>
      <c r="S351" s="98">
        <v>0</v>
      </c>
      <c r="T351" s="101">
        <f t="shared" si="330"/>
        <v>0</v>
      </c>
      <c r="U351" s="183">
        <v>1</v>
      </c>
      <c r="V351" s="99">
        <v>1</v>
      </c>
      <c r="W351" s="98">
        <v>0</v>
      </c>
      <c r="X351" s="98">
        <v>0</v>
      </c>
      <c r="Y351" s="101">
        <f t="shared" si="333"/>
        <v>0</v>
      </c>
      <c r="Z351" s="101">
        <v>1</v>
      </c>
      <c r="AA351" s="183">
        <v>0</v>
      </c>
      <c r="AB351" s="99">
        <v>1</v>
      </c>
      <c r="AC351" s="98">
        <v>0</v>
      </c>
      <c r="AD351" s="98">
        <v>0</v>
      </c>
      <c r="AE351" s="101">
        <f t="shared" si="331"/>
        <v>0</v>
      </c>
      <c r="AF351" s="100">
        <v>0</v>
      </c>
      <c r="AG351" s="98">
        <v>0</v>
      </c>
      <c r="AH351" s="99">
        <f t="shared" si="332"/>
        <v>0</v>
      </c>
      <c r="AI351" s="101">
        <v>1</v>
      </c>
      <c r="AJ351" s="106"/>
    </row>
    <row r="352" spans="2:36" s="35" customFormat="1" ht="17.100000000000001" customHeight="1">
      <c r="B352" s="105"/>
      <c r="C352" s="54"/>
      <c r="D352" s="96"/>
      <c r="E352" s="111"/>
      <c r="F352" s="112"/>
      <c r="G352" s="113"/>
      <c r="H352" s="183">
        <v>1</v>
      </c>
      <c r="I352" s="98">
        <v>0</v>
      </c>
      <c r="J352" s="98">
        <v>0</v>
      </c>
      <c r="K352" s="101">
        <f t="shared" si="327"/>
        <v>0</v>
      </c>
      <c r="L352" s="100">
        <v>0</v>
      </c>
      <c r="M352" s="98">
        <v>0</v>
      </c>
      <c r="N352" s="101">
        <f t="shared" si="328"/>
        <v>0</v>
      </c>
      <c r="O352" s="100">
        <v>0</v>
      </c>
      <c r="P352" s="98">
        <v>0</v>
      </c>
      <c r="Q352" s="101">
        <f t="shared" si="329"/>
        <v>0</v>
      </c>
      <c r="R352" s="100">
        <v>0</v>
      </c>
      <c r="S352" s="98">
        <v>0</v>
      </c>
      <c r="T352" s="101">
        <f t="shared" si="330"/>
        <v>0</v>
      </c>
      <c r="U352" s="183">
        <v>1</v>
      </c>
      <c r="V352" s="99">
        <v>1</v>
      </c>
      <c r="W352" s="98">
        <v>0</v>
      </c>
      <c r="X352" s="98">
        <v>0</v>
      </c>
      <c r="Y352" s="101">
        <f t="shared" si="333"/>
        <v>0</v>
      </c>
      <c r="Z352" s="101">
        <v>1</v>
      </c>
      <c r="AA352" s="183">
        <v>0</v>
      </c>
      <c r="AB352" s="99">
        <v>1</v>
      </c>
      <c r="AC352" s="98">
        <v>0</v>
      </c>
      <c r="AD352" s="98">
        <v>0</v>
      </c>
      <c r="AE352" s="101">
        <f t="shared" si="331"/>
        <v>0</v>
      </c>
      <c r="AF352" s="100">
        <v>0</v>
      </c>
      <c r="AG352" s="98">
        <v>0</v>
      </c>
      <c r="AH352" s="99">
        <f t="shared" si="332"/>
        <v>0</v>
      </c>
      <c r="AI352" s="101">
        <v>1</v>
      </c>
      <c r="AJ352" s="106"/>
    </row>
    <row r="353" spans="2:36" s="35" customFormat="1" ht="17.100000000000001" customHeight="1">
      <c r="B353" s="105"/>
      <c r="C353" s="54"/>
      <c r="D353" s="96"/>
      <c r="E353" s="111"/>
      <c r="F353" s="112"/>
      <c r="G353" s="113"/>
      <c r="H353" s="183">
        <v>1</v>
      </c>
      <c r="I353" s="98">
        <v>0</v>
      </c>
      <c r="J353" s="98">
        <v>0</v>
      </c>
      <c r="K353" s="101">
        <f t="shared" si="327"/>
        <v>0</v>
      </c>
      <c r="L353" s="100">
        <v>0</v>
      </c>
      <c r="M353" s="98">
        <v>0</v>
      </c>
      <c r="N353" s="101">
        <f t="shared" si="328"/>
        <v>0</v>
      </c>
      <c r="O353" s="100">
        <v>0</v>
      </c>
      <c r="P353" s="98">
        <v>0</v>
      </c>
      <c r="Q353" s="101">
        <f t="shared" si="329"/>
        <v>0</v>
      </c>
      <c r="R353" s="100">
        <v>0</v>
      </c>
      <c r="S353" s="98">
        <v>0</v>
      </c>
      <c r="T353" s="101">
        <f t="shared" si="330"/>
        <v>0</v>
      </c>
      <c r="U353" s="183">
        <v>1</v>
      </c>
      <c r="V353" s="99">
        <v>1</v>
      </c>
      <c r="W353" s="98">
        <v>0</v>
      </c>
      <c r="X353" s="98">
        <v>0</v>
      </c>
      <c r="Y353" s="101">
        <f t="shared" si="333"/>
        <v>0</v>
      </c>
      <c r="Z353" s="101">
        <v>1</v>
      </c>
      <c r="AA353" s="183">
        <v>0</v>
      </c>
      <c r="AB353" s="99">
        <v>1</v>
      </c>
      <c r="AC353" s="98">
        <v>0</v>
      </c>
      <c r="AD353" s="98">
        <v>0</v>
      </c>
      <c r="AE353" s="101">
        <f t="shared" si="331"/>
        <v>0</v>
      </c>
      <c r="AF353" s="100">
        <v>0</v>
      </c>
      <c r="AG353" s="98">
        <v>0</v>
      </c>
      <c r="AH353" s="99">
        <f t="shared" si="332"/>
        <v>0</v>
      </c>
      <c r="AI353" s="101">
        <v>1</v>
      </c>
      <c r="AJ353" s="106"/>
    </row>
    <row r="354" spans="2:36" s="35" customFormat="1" ht="17.100000000000001" customHeight="1">
      <c r="B354" s="105"/>
      <c r="C354" s="54"/>
      <c r="D354" s="96"/>
      <c r="E354" s="111"/>
      <c r="F354" s="112"/>
      <c r="G354" s="113"/>
      <c r="H354" s="183">
        <v>1</v>
      </c>
      <c r="I354" s="98">
        <v>0</v>
      </c>
      <c r="J354" s="98">
        <v>0</v>
      </c>
      <c r="K354" s="101">
        <f t="shared" si="327"/>
        <v>0</v>
      </c>
      <c r="L354" s="100">
        <v>0</v>
      </c>
      <c r="M354" s="98">
        <v>0</v>
      </c>
      <c r="N354" s="101">
        <f t="shared" si="328"/>
        <v>0</v>
      </c>
      <c r="O354" s="100">
        <v>0</v>
      </c>
      <c r="P354" s="98">
        <v>0</v>
      </c>
      <c r="Q354" s="101">
        <f t="shared" si="329"/>
        <v>0</v>
      </c>
      <c r="R354" s="100">
        <v>0</v>
      </c>
      <c r="S354" s="98">
        <v>0</v>
      </c>
      <c r="T354" s="101">
        <f t="shared" si="330"/>
        <v>0</v>
      </c>
      <c r="U354" s="183">
        <v>1</v>
      </c>
      <c r="V354" s="99">
        <v>1</v>
      </c>
      <c r="W354" s="98">
        <v>0</v>
      </c>
      <c r="X354" s="98">
        <v>0</v>
      </c>
      <c r="Y354" s="101">
        <f t="shared" si="333"/>
        <v>0</v>
      </c>
      <c r="Z354" s="101">
        <v>1</v>
      </c>
      <c r="AA354" s="183">
        <v>0</v>
      </c>
      <c r="AB354" s="99">
        <v>1</v>
      </c>
      <c r="AC354" s="98">
        <v>0</v>
      </c>
      <c r="AD354" s="98">
        <v>0</v>
      </c>
      <c r="AE354" s="101">
        <f t="shared" si="331"/>
        <v>0</v>
      </c>
      <c r="AF354" s="100">
        <v>0</v>
      </c>
      <c r="AG354" s="98">
        <v>0</v>
      </c>
      <c r="AH354" s="99">
        <f t="shared" si="332"/>
        <v>0</v>
      </c>
      <c r="AI354" s="101">
        <v>1</v>
      </c>
      <c r="AJ354" s="106"/>
    </row>
    <row r="355" spans="2:36" s="35" customFormat="1" ht="17.100000000000001" customHeight="1">
      <c r="B355" s="105"/>
      <c r="C355" s="54"/>
      <c r="D355" s="96"/>
      <c r="E355" s="111"/>
      <c r="F355" s="112"/>
      <c r="G355" s="113"/>
      <c r="H355" s="183">
        <v>1</v>
      </c>
      <c r="I355" s="98">
        <v>0</v>
      </c>
      <c r="J355" s="98">
        <v>0</v>
      </c>
      <c r="K355" s="101">
        <f t="shared" si="327"/>
        <v>0</v>
      </c>
      <c r="L355" s="100">
        <v>0</v>
      </c>
      <c r="M355" s="98">
        <v>0</v>
      </c>
      <c r="N355" s="101">
        <f t="shared" si="328"/>
        <v>0</v>
      </c>
      <c r="O355" s="100">
        <v>0</v>
      </c>
      <c r="P355" s="98">
        <v>0</v>
      </c>
      <c r="Q355" s="101">
        <f t="shared" si="329"/>
        <v>0</v>
      </c>
      <c r="R355" s="100">
        <v>0</v>
      </c>
      <c r="S355" s="98">
        <v>0</v>
      </c>
      <c r="T355" s="101">
        <f t="shared" si="330"/>
        <v>0</v>
      </c>
      <c r="U355" s="183">
        <v>1</v>
      </c>
      <c r="V355" s="99">
        <v>1</v>
      </c>
      <c r="W355" s="98">
        <v>0</v>
      </c>
      <c r="X355" s="98">
        <v>0</v>
      </c>
      <c r="Y355" s="101">
        <f t="shared" si="333"/>
        <v>0</v>
      </c>
      <c r="Z355" s="101">
        <v>1</v>
      </c>
      <c r="AA355" s="183">
        <v>0</v>
      </c>
      <c r="AB355" s="99">
        <v>1</v>
      </c>
      <c r="AC355" s="98">
        <v>0</v>
      </c>
      <c r="AD355" s="98">
        <v>0</v>
      </c>
      <c r="AE355" s="101">
        <f t="shared" si="331"/>
        <v>0</v>
      </c>
      <c r="AF355" s="100">
        <v>0</v>
      </c>
      <c r="AG355" s="98">
        <v>0</v>
      </c>
      <c r="AH355" s="99">
        <f t="shared" si="332"/>
        <v>0</v>
      </c>
      <c r="AI355" s="101">
        <v>1</v>
      </c>
      <c r="AJ355" s="106"/>
    </row>
    <row r="356" spans="2:36" s="126" customFormat="1" ht="17.100000000000001" customHeight="1">
      <c r="B356" s="118"/>
      <c r="C356" s="119"/>
      <c r="D356" s="120"/>
      <c r="E356" s="121"/>
      <c r="F356" s="122"/>
      <c r="G356" s="123"/>
      <c r="H356" s="183">
        <v>1</v>
      </c>
      <c r="I356" s="363" t="s">
        <v>201</v>
      </c>
      <c r="J356" s="363"/>
      <c r="K356" s="124">
        <f>SUM(K349:K355)</f>
        <v>0</v>
      </c>
      <c r="L356" s="341" t="s">
        <v>201</v>
      </c>
      <c r="M356" s="342"/>
      <c r="N356" s="124">
        <f>SUM(N349:N355)</f>
        <v>0</v>
      </c>
      <c r="O356" s="341" t="s">
        <v>201</v>
      </c>
      <c r="P356" s="342"/>
      <c r="Q356" s="124">
        <f>SUM(Q349:Q355)</f>
        <v>0</v>
      </c>
      <c r="R356" s="341" t="s">
        <v>201</v>
      </c>
      <c r="S356" s="342"/>
      <c r="T356" s="124">
        <f>SUM(T349:T355)</f>
        <v>0</v>
      </c>
      <c r="U356" s="183">
        <v>1</v>
      </c>
      <c r="V356" s="99">
        <v>1</v>
      </c>
      <c r="W356" s="363" t="s">
        <v>201</v>
      </c>
      <c r="X356" s="363"/>
      <c r="Y356" s="124">
        <f>SUM(Y349:Y355)</f>
        <v>300</v>
      </c>
      <c r="Z356" s="101">
        <v>1</v>
      </c>
      <c r="AA356" s="183">
        <v>0</v>
      </c>
      <c r="AB356" s="99">
        <v>1</v>
      </c>
      <c r="AC356" s="363" t="s">
        <v>201</v>
      </c>
      <c r="AD356" s="363"/>
      <c r="AE356" s="124">
        <f>SUM(AE349:AE355)</f>
        <v>0</v>
      </c>
      <c r="AF356" s="364" t="s">
        <v>201</v>
      </c>
      <c r="AG356" s="363"/>
      <c r="AH356" s="143">
        <f>SUM(AH349:AH355)</f>
        <v>0</v>
      </c>
      <c r="AI356" s="101">
        <v>1</v>
      </c>
      <c r="AJ356" s="125"/>
    </row>
    <row r="357" spans="2:36" s="35" customFormat="1" ht="16.95" customHeight="1">
      <c r="B357" s="105"/>
      <c r="C357" s="54">
        <f>'3. Rekap Back Up Non Aspal '!C65</f>
        <v>6900</v>
      </c>
      <c r="D357" s="96">
        <f>'3. Rekap Back Up Non Aspal '!D65</f>
        <v>7000</v>
      </c>
      <c r="E357" s="111">
        <f>'3. Rekap Back Up Non Aspal '!E65</f>
        <v>3</v>
      </c>
      <c r="F357" s="112">
        <f>(100/((D357-C357)*E357))*((K364*0.05)+(N364*0.05)+(Q364*0.05)+(T364)+(Y364)+(AE364*1.5)+(AH364*1))</f>
        <v>100</v>
      </c>
      <c r="G357" s="113" t="str">
        <f>IF(F357&lt;=25,"RB",IF(F357&lt;=75,"RB",IF(F357&lt;=100,"RB","RB")))</f>
        <v>RB</v>
      </c>
      <c r="H357" s="183">
        <v>1</v>
      </c>
      <c r="I357" s="98">
        <v>0</v>
      </c>
      <c r="J357" s="98">
        <v>0</v>
      </c>
      <c r="K357" s="101">
        <f t="shared" ref="K357:K363" si="334">I357*J357</f>
        <v>0</v>
      </c>
      <c r="L357" s="98">
        <v>0</v>
      </c>
      <c r="M357" s="98">
        <v>0</v>
      </c>
      <c r="N357" s="101">
        <f t="shared" ref="N357:N363" si="335">L357*M357</f>
        <v>0</v>
      </c>
      <c r="O357" s="98">
        <v>0</v>
      </c>
      <c r="P357" s="98">
        <v>0</v>
      </c>
      <c r="Q357" s="101">
        <f t="shared" ref="Q357:Q363" si="336">O357*P357</f>
        <v>0</v>
      </c>
      <c r="R357" s="98">
        <v>0</v>
      </c>
      <c r="S357" s="98">
        <v>0</v>
      </c>
      <c r="T357" s="101">
        <f t="shared" ref="T357:T363" si="337">R357*S357</f>
        <v>0</v>
      </c>
      <c r="U357" s="183">
        <v>2</v>
      </c>
      <c r="V357" s="99">
        <v>3</v>
      </c>
      <c r="W357" s="98">
        <v>100</v>
      </c>
      <c r="X357" s="98">
        <v>3</v>
      </c>
      <c r="Y357" s="101">
        <f>W357*X357</f>
        <v>300</v>
      </c>
      <c r="Z357" s="101">
        <v>1</v>
      </c>
      <c r="AA357" s="183">
        <v>0</v>
      </c>
      <c r="AB357" s="99">
        <v>1</v>
      </c>
      <c r="AC357" s="98">
        <v>0</v>
      </c>
      <c r="AD357" s="98">
        <v>0</v>
      </c>
      <c r="AE357" s="101">
        <f t="shared" ref="AE357:AE363" si="338">AC357*AD357</f>
        <v>0</v>
      </c>
      <c r="AF357" s="98">
        <v>0</v>
      </c>
      <c r="AG357" s="98">
        <v>3</v>
      </c>
      <c r="AH357" s="99">
        <f t="shared" ref="AH357:AH363" si="339">AF357*AG357</f>
        <v>0</v>
      </c>
      <c r="AI357" s="101">
        <v>1</v>
      </c>
      <c r="AJ357" s="106"/>
    </row>
    <row r="358" spans="2:36" s="35" customFormat="1" ht="17.100000000000001" customHeight="1">
      <c r="B358" s="105"/>
      <c r="C358" s="54"/>
      <c r="D358" s="96"/>
      <c r="E358" s="111"/>
      <c r="F358" s="112"/>
      <c r="G358" s="113"/>
      <c r="H358" s="183">
        <v>1</v>
      </c>
      <c r="I358" s="98">
        <v>0</v>
      </c>
      <c r="J358" s="98">
        <v>0</v>
      </c>
      <c r="K358" s="101">
        <f t="shared" si="334"/>
        <v>0</v>
      </c>
      <c r="L358" s="100">
        <v>0</v>
      </c>
      <c r="M358" s="98">
        <v>0</v>
      </c>
      <c r="N358" s="101">
        <f t="shared" si="335"/>
        <v>0</v>
      </c>
      <c r="O358" s="100">
        <v>0</v>
      </c>
      <c r="P358" s="98">
        <v>0</v>
      </c>
      <c r="Q358" s="101">
        <f t="shared" si="336"/>
        <v>0</v>
      </c>
      <c r="R358" s="100">
        <v>0</v>
      </c>
      <c r="S358" s="98">
        <v>0</v>
      </c>
      <c r="T358" s="101">
        <f t="shared" si="337"/>
        <v>0</v>
      </c>
      <c r="U358" s="183">
        <v>1</v>
      </c>
      <c r="V358" s="99">
        <v>1</v>
      </c>
      <c r="W358" s="98">
        <v>0</v>
      </c>
      <c r="X358" s="98">
        <v>0</v>
      </c>
      <c r="Y358" s="101">
        <f t="shared" ref="Y358:Y363" si="340">W358*X358</f>
        <v>0</v>
      </c>
      <c r="Z358" s="101">
        <v>1</v>
      </c>
      <c r="AA358" s="183">
        <v>0</v>
      </c>
      <c r="AB358" s="99">
        <v>1</v>
      </c>
      <c r="AC358" s="98">
        <v>0</v>
      </c>
      <c r="AD358" s="98">
        <v>0</v>
      </c>
      <c r="AE358" s="101">
        <f t="shared" si="338"/>
        <v>0</v>
      </c>
      <c r="AF358" s="100">
        <v>0</v>
      </c>
      <c r="AG358" s="98">
        <v>0</v>
      </c>
      <c r="AH358" s="99">
        <f t="shared" si="339"/>
        <v>0</v>
      </c>
      <c r="AI358" s="101">
        <v>1</v>
      </c>
      <c r="AJ358" s="106"/>
    </row>
    <row r="359" spans="2:36" s="35" customFormat="1" ht="17.100000000000001" customHeight="1">
      <c r="B359" s="105"/>
      <c r="C359" s="54"/>
      <c r="D359" s="96"/>
      <c r="E359" s="111"/>
      <c r="F359" s="112"/>
      <c r="G359" s="113"/>
      <c r="H359" s="183">
        <v>1</v>
      </c>
      <c r="I359" s="98">
        <v>0</v>
      </c>
      <c r="J359" s="98">
        <v>0</v>
      </c>
      <c r="K359" s="101">
        <f t="shared" si="334"/>
        <v>0</v>
      </c>
      <c r="L359" s="100">
        <v>0</v>
      </c>
      <c r="M359" s="98">
        <v>0</v>
      </c>
      <c r="N359" s="101">
        <f t="shared" si="335"/>
        <v>0</v>
      </c>
      <c r="O359" s="100">
        <v>0</v>
      </c>
      <c r="P359" s="98">
        <v>0</v>
      </c>
      <c r="Q359" s="101">
        <f t="shared" si="336"/>
        <v>0</v>
      </c>
      <c r="R359" s="100">
        <v>0</v>
      </c>
      <c r="S359" s="98">
        <v>0</v>
      </c>
      <c r="T359" s="101">
        <f t="shared" si="337"/>
        <v>0</v>
      </c>
      <c r="U359" s="183">
        <v>1</v>
      </c>
      <c r="V359" s="99">
        <v>1</v>
      </c>
      <c r="W359" s="98">
        <v>0</v>
      </c>
      <c r="X359" s="98">
        <v>0</v>
      </c>
      <c r="Y359" s="101">
        <f t="shared" si="340"/>
        <v>0</v>
      </c>
      <c r="Z359" s="101">
        <v>1</v>
      </c>
      <c r="AA359" s="183">
        <v>0</v>
      </c>
      <c r="AB359" s="99">
        <v>1</v>
      </c>
      <c r="AC359" s="98">
        <v>0</v>
      </c>
      <c r="AD359" s="98">
        <v>0</v>
      </c>
      <c r="AE359" s="101">
        <f t="shared" si="338"/>
        <v>0</v>
      </c>
      <c r="AF359" s="100">
        <v>0</v>
      </c>
      <c r="AG359" s="98">
        <v>0</v>
      </c>
      <c r="AH359" s="99">
        <f t="shared" si="339"/>
        <v>0</v>
      </c>
      <c r="AI359" s="101">
        <v>1</v>
      </c>
      <c r="AJ359" s="106"/>
    </row>
    <row r="360" spans="2:36" s="35" customFormat="1" ht="17.100000000000001" customHeight="1">
      <c r="B360" s="105"/>
      <c r="C360" s="54"/>
      <c r="D360" s="96"/>
      <c r="E360" s="111"/>
      <c r="F360" s="112"/>
      <c r="G360" s="113"/>
      <c r="H360" s="183">
        <v>1</v>
      </c>
      <c r="I360" s="98">
        <v>0</v>
      </c>
      <c r="J360" s="98">
        <v>0</v>
      </c>
      <c r="K360" s="101">
        <f t="shared" si="334"/>
        <v>0</v>
      </c>
      <c r="L360" s="100">
        <v>0</v>
      </c>
      <c r="M360" s="98">
        <v>0</v>
      </c>
      <c r="N360" s="101">
        <f t="shared" si="335"/>
        <v>0</v>
      </c>
      <c r="O360" s="100">
        <v>0</v>
      </c>
      <c r="P360" s="98">
        <v>0</v>
      </c>
      <c r="Q360" s="101">
        <f t="shared" si="336"/>
        <v>0</v>
      </c>
      <c r="R360" s="100">
        <v>0</v>
      </c>
      <c r="S360" s="98">
        <v>0</v>
      </c>
      <c r="T360" s="101">
        <f t="shared" si="337"/>
        <v>0</v>
      </c>
      <c r="U360" s="183">
        <v>1</v>
      </c>
      <c r="V360" s="99">
        <v>1</v>
      </c>
      <c r="W360" s="98">
        <v>0</v>
      </c>
      <c r="X360" s="98">
        <v>0</v>
      </c>
      <c r="Y360" s="101">
        <f t="shared" si="340"/>
        <v>0</v>
      </c>
      <c r="Z360" s="101">
        <v>1</v>
      </c>
      <c r="AA360" s="183">
        <v>0</v>
      </c>
      <c r="AB360" s="99">
        <v>1</v>
      </c>
      <c r="AC360" s="98">
        <v>0</v>
      </c>
      <c r="AD360" s="98">
        <v>0</v>
      </c>
      <c r="AE360" s="101">
        <f t="shared" si="338"/>
        <v>0</v>
      </c>
      <c r="AF360" s="100">
        <v>0</v>
      </c>
      <c r="AG360" s="98">
        <v>0</v>
      </c>
      <c r="AH360" s="99">
        <f t="shared" si="339"/>
        <v>0</v>
      </c>
      <c r="AI360" s="101">
        <v>1</v>
      </c>
      <c r="AJ360" s="106"/>
    </row>
    <row r="361" spans="2:36" s="35" customFormat="1" ht="17.100000000000001" customHeight="1">
      <c r="B361" s="105"/>
      <c r="C361" s="54"/>
      <c r="D361" s="96"/>
      <c r="E361" s="111"/>
      <c r="F361" s="112"/>
      <c r="G361" s="113"/>
      <c r="H361" s="183">
        <v>1</v>
      </c>
      <c r="I361" s="98">
        <v>0</v>
      </c>
      <c r="J361" s="98">
        <v>0</v>
      </c>
      <c r="K361" s="101">
        <f t="shared" si="334"/>
        <v>0</v>
      </c>
      <c r="L361" s="100">
        <v>0</v>
      </c>
      <c r="M361" s="98">
        <v>0</v>
      </c>
      <c r="N361" s="101">
        <f t="shared" si="335"/>
        <v>0</v>
      </c>
      <c r="O361" s="100">
        <v>0</v>
      </c>
      <c r="P361" s="98">
        <v>0</v>
      </c>
      <c r="Q361" s="101">
        <f t="shared" si="336"/>
        <v>0</v>
      </c>
      <c r="R361" s="100">
        <v>0</v>
      </c>
      <c r="S361" s="98">
        <v>0</v>
      </c>
      <c r="T361" s="101">
        <f t="shared" si="337"/>
        <v>0</v>
      </c>
      <c r="U361" s="183">
        <v>1</v>
      </c>
      <c r="V361" s="99">
        <v>1</v>
      </c>
      <c r="W361" s="98">
        <v>0</v>
      </c>
      <c r="X361" s="98">
        <v>0</v>
      </c>
      <c r="Y361" s="101">
        <f t="shared" si="340"/>
        <v>0</v>
      </c>
      <c r="Z361" s="101">
        <v>1</v>
      </c>
      <c r="AA361" s="183">
        <v>0</v>
      </c>
      <c r="AB361" s="99">
        <v>1</v>
      </c>
      <c r="AC361" s="98">
        <v>0</v>
      </c>
      <c r="AD361" s="98">
        <v>0</v>
      </c>
      <c r="AE361" s="101">
        <f t="shared" si="338"/>
        <v>0</v>
      </c>
      <c r="AF361" s="100">
        <v>0</v>
      </c>
      <c r="AG361" s="98">
        <v>0</v>
      </c>
      <c r="AH361" s="99">
        <f t="shared" si="339"/>
        <v>0</v>
      </c>
      <c r="AI361" s="101">
        <v>1</v>
      </c>
      <c r="AJ361" s="106"/>
    </row>
    <row r="362" spans="2:36" s="35" customFormat="1" ht="17.100000000000001" customHeight="1">
      <c r="B362" s="105"/>
      <c r="C362" s="54"/>
      <c r="D362" s="96"/>
      <c r="E362" s="111"/>
      <c r="F362" s="112"/>
      <c r="G362" s="113"/>
      <c r="H362" s="183">
        <v>1</v>
      </c>
      <c r="I362" s="98">
        <v>0</v>
      </c>
      <c r="J362" s="98">
        <v>0</v>
      </c>
      <c r="K362" s="101">
        <f t="shared" si="334"/>
        <v>0</v>
      </c>
      <c r="L362" s="100">
        <v>0</v>
      </c>
      <c r="M362" s="98">
        <v>0</v>
      </c>
      <c r="N362" s="101">
        <f t="shared" si="335"/>
        <v>0</v>
      </c>
      <c r="O362" s="100">
        <v>0</v>
      </c>
      <c r="P362" s="98">
        <v>0</v>
      </c>
      <c r="Q362" s="101">
        <f t="shared" si="336"/>
        <v>0</v>
      </c>
      <c r="R362" s="100">
        <v>0</v>
      </c>
      <c r="S362" s="98">
        <v>0</v>
      </c>
      <c r="T362" s="101">
        <f t="shared" si="337"/>
        <v>0</v>
      </c>
      <c r="U362" s="183">
        <v>1</v>
      </c>
      <c r="V362" s="99">
        <v>1</v>
      </c>
      <c r="W362" s="98">
        <v>0</v>
      </c>
      <c r="X362" s="98">
        <v>0</v>
      </c>
      <c r="Y362" s="101">
        <f t="shared" si="340"/>
        <v>0</v>
      </c>
      <c r="Z362" s="101">
        <v>1</v>
      </c>
      <c r="AA362" s="183">
        <v>0</v>
      </c>
      <c r="AB362" s="99">
        <v>1</v>
      </c>
      <c r="AC362" s="98">
        <v>0</v>
      </c>
      <c r="AD362" s="98">
        <v>0</v>
      </c>
      <c r="AE362" s="101">
        <f t="shared" si="338"/>
        <v>0</v>
      </c>
      <c r="AF362" s="100">
        <v>0</v>
      </c>
      <c r="AG362" s="98">
        <v>0</v>
      </c>
      <c r="AH362" s="99">
        <f t="shared" si="339"/>
        <v>0</v>
      </c>
      <c r="AI362" s="101">
        <v>1</v>
      </c>
      <c r="AJ362" s="106"/>
    </row>
    <row r="363" spans="2:36" s="35" customFormat="1" ht="17.100000000000001" customHeight="1">
      <c r="B363" s="105"/>
      <c r="C363" s="54"/>
      <c r="D363" s="96"/>
      <c r="E363" s="111"/>
      <c r="F363" s="112"/>
      <c r="G363" s="113"/>
      <c r="H363" s="183">
        <v>1</v>
      </c>
      <c r="I363" s="98">
        <v>0</v>
      </c>
      <c r="J363" s="98">
        <v>0</v>
      </c>
      <c r="K363" s="101">
        <f t="shared" si="334"/>
        <v>0</v>
      </c>
      <c r="L363" s="100">
        <v>0</v>
      </c>
      <c r="M363" s="98">
        <v>0</v>
      </c>
      <c r="N363" s="101">
        <f t="shared" si="335"/>
        <v>0</v>
      </c>
      <c r="O363" s="100">
        <v>0</v>
      </c>
      <c r="P363" s="98">
        <v>0</v>
      </c>
      <c r="Q363" s="101">
        <f t="shared" si="336"/>
        <v>0</v>
      </c>
      <c r="R363" s="100">
        <v>0</v>
      </c>
      <c r="S363" s="98">
        <v>0</v>
      </c>
      <c r="T363" s="101">
        <f t="shared" si="337"/>
        <v>0</v>
      </c>
      <c r="U363" s="183">
        <v>1</v>
      </c>
      <c r="V363" s="99">
        <v>1</v>
      </c>
      <c r="W363" s="98">
        <v>0</v>
      </c>
      <c r="X363" s="98">
        <v>0</v>
      </c>
      <c r="Y363" s="101">
        <f t="shared" si="340"/>
        <v>0</v>
      </c>
      <c r="Z363" s="101">
        <v>1</v>
      </c>
      <c r="AA363" s="183">
        <v>0</v>
      </c>
      <c r="AB363" s="99">
        <v>1</v>
      </c>
      <c r="AC363" s="98">
        <v>0</v>
      </c>
      <c r="AD363" s="98">
        <v>0</v>
      </c>
      <c r="AE363" s="101">
        <f t="shared" si="338"/>
        <v>0</v>
      </c>
      <c r="AF363" s="100">
        <v>0</v>
      </c>
      <c r="AG363" s="98">
        <v>0</v>
      </c>
      <c r="AH363" s="99">
        <f t="shared" si="339"/>
        <v>0</v>
      </c>
      <c r="AI363" s="101">
        <v>1</v>
      </c>
      <c r="AJ363" s="106"/>
    </row>
    <row r="364" spans="2:36" s="126" customFormat="1" ht="17.100000000000001" customHeight="1">
      <c r="B364" s="118"/>
      <c r="C364" s="119"/>
      <c r="D364" s="120"/>
      <c r="E364" s="121"/>
      <c r="F364" s="122"/>
      <c r="G364" s="123"/>
      <c r="H364" s="183">
        <v>1</v>
      </c>
      <c r="I364" s="363" t="s">
        <v>201</v>
      </c>
      <c r="J364" s="363"/>
      <c r="K364" s="124">
        <f>SUM(K357:K363)</f>
        <v>0</v>
      </c>
      <c r="L364" s="341" t="s">
        <v>201</v>
      </c>
      <c r="M364" s="342"/>
      <c r="N364" s="124">
        <f>SUM(N357:N363)</f>
        <v>0</v>
      </c>
      <c r="O364" s="341" t="s">
        <v>201</v>
      </c>
      <c r="P364" s="342"/>
      <c r="Q364" s="124">
        <f>SUM(Q357:Q363)</f>
        <v>0</v>
      </c>
      <c r="R364" s="341" t="s">
        <v>201</v>
      </c>
      <c r="S364" s="342"/>
      <c r="T364" s="124">
        <f>SUM(T357:T363)</f>
        <v>0</v>
      </c>
      <c r="U364" s="183">
        <v>1</v>
      </c>
      <c r="V364" s="99">
        <v>1</v>
      </c>
      <c r="W364" s="363" t="s">
        <v>201</v>
      </c>
      <c r="X364" s="363"/>
      <c r="Y364" s="124">
        <f>SUM(Y357:Y363)</f>
        <v>300</v>
      </c>
      <c r="Z364" s="101">
        <v>1</v>
      </c>
      <c r="AA364" s="183">
        <v>0</v>
      </c>
      <c r="AB364" s="99">
        <v>1</v>
      </c>
      <c r="AC364" s="363" t="s">
        <v>201</v>
      </c>
      <c r="AD364" s="363"/>
      <c r="AE364" s="124">
        <f>SUM(AE357:AE363)</f>
        <v>0</v>
      </c>
      <c r="AF364" s="364" t="s">
        <v>201</v>
      </c>
      <c r="AG364" s="363"/>
      <c r="AH364" s="143">
        <f>SUM(AH357:AH363)</f>
        <v>0</v>
      </c>
      <c r="AI364" s="101">
        <v>1</v>
      </c>
      <c r="AJ364" s="125"/>
    </row>
    <row r="365" spans="2:36" s="35" customFormat="1" ht="16.95" customHeight="1">
      <c r="B365" s="105"/>
      <c r="C365" s="54">
        <f>'3. Rekap Back Up Non Aspal '!C66</f>
        <v>7000</v>
      </c>
      <c r="D365" s="96">
        <f>'3. Rekap Back Up Non Aspal '!D66</f>
        <v>7100</v>
      </c>
      <c r="E365" s="111">
        <f>'3. Rekap Back Up Non Aspal '!E66</f>
        <v>4</v>
      </c>
      <c r="F365" s="112">
        <f>(100/((D365-C365)*E365))*((K372*0.05)+(N372*0.05)+(Q372*0.05)+(T372)+(Y372)+(AE372*1.5)+(AH372*1))</f>
        <v>45</v>
      </c>
      <c r="G365" s="113" t="str">
        <f>IF(F365&lt;=25,"RB",IF(F365&lt;=75,"RB",IF(F365&lt;=100,"RB","RB")))</f>
        <v>RB</v>
      </c>
      <c r="H365" s="183">
        <v>1</v>
      </c>
      <c r="I365" s="98">
        <v>0</v>
      </c>
      <c r="J365" s="98">
        <v>0</v>
      </c>
      <c r="K365" s="101">
        <f t="shared" ref="K365:K371" si="341">I365*J365</f>
        <v>0</v>
      </c>
      <c r="L365" s="98">
        <v>0</v>
      </c>
      <c r="M365" s="98">
        <v>0</v>
      </c>
      <c r="N365" s="101">
        <f t="shared" ref="N365:N371" si="342">L365*M365</f>
        <v>0</v>
      </c>
      <c r="O365" s="98">
        <v>0</v>
      </c>
      <c r="P365" s="98">
        <v>0</v>
      </c>
      <c r="Q365" s="101">
        <f t="shared" ref="Q365:Q371" si="343">O365*P365</f>
        <v>0</v>
      </c>
      <c r="R365" s="98">
        <v>0</v>
      </c>
      <c r="S365" s="98">
        <v>0</v>
      </c>
      <c r="T365" s="101">
        <f t="shared" ref="T365:T371" si="344">R365*S365</f>
        <v>0</v>
      </c>
      <c r="U365" s="183">
        <v>2</v>
      </c>
      <c r="V365" s="99">
        <v>2</v>
      </c>
      <c r="W365" s="98">
        <v>60</v>
      </c>
      <c r="X365" s="98">
        <v>3</v>
      </c>
      <c r="Y365" s="101">
        <f>W365*X365</f>
        <v>180</v>
      </c>
      <c r="Z365" s="101">
        <v>1</v>
      </c>
      <c r="AA365" s="183">
        <v>0</v>
      </c>
      <c r="AB365" s="99">
        <v>1</v>
      </c>
      <c r="AC365" s="98">
        <v>0</v>
      </c>
      <c r="AD365" s="98">
        <v>0</v>
      </c>
      <c r="AE365" s="101">
        <f t="shared" ref="AE365:AE371" si="345">AC365*AD365</f>
        <v>0</v>
      </c>
      <c r="AF365" s="98">
        <v>0</v>
      </c>
      <c r="AG365" s="98">
        <v>3</v>
      </c>
      <c r="AH365" s="99">
        <f t="shared" ref="AH365:AH371" si="346">AF365*AG365</f>
        <v>0</v>
      </c>
      <c r="AI365" s="101">
        <v>1</v>
      </c>
      <c r="AJ365" s="106"/>
    </row>
    <row r="366" spans="2:36" s="35" customFormat="1" ht="17.100000000000001" customHeight="1">
      <c r="B366" s="105"/>
      <c r="C366" s="54"/>
      <c r="D366" s="96"/>
      <c r="E366" s="111"/>
      <c r="F366" s="112"/>
      <c r="G366" s="113"/>
      <c r="H366" s="183">
        <v>1</v>
      </c>
      <c r="I366" s="98">
        <v>0</v>
      </c>
      <c r="J366" s="98">
        <v>0</v>
      </c>
      <c r="K366" s="101">
        <f t="shared" si="341"/>
        <v>0</v>
      </c>
      <c r="L366" s="100">
        <v>0</v>
      </c>
      <c r="M366" s="98">
        <v>0</v>
      </c>
      <c r="N366" s="101">
        <f t="shared" si="342"/>
        <v>0</v>
      </c>
      <c r="O366" s="100">
        <v>0</v>
      </c>
      <c r="P366" s="98">
        <v>0</v>
      </c>
      <c r="Q366" s="101">
        <f t="shared" si="343"/>
        <v>0</v>
      </c>
      <c r="R366" s="100">
        <v>0</v>
      </c>
      <c r="S366" s="98">
        <v>0</v>
      </c>
      <c r="T366" s="101">
        <f t="shared" si="344"/>
        <v>0</v>
      </c>
      <c r="U366" s="183">
        <v>1</v>
      </c>
      <c r="V366" s="99">
        <v>1</v>
      </c>
      <c r="W366" s="98">
        <v>0</v>
      </c>
      <c r="X366" s="98">
        <v>0</v>
      </c>
      <c r="Y366" s="101">
        <f t="shared" ref="Y366:Y371" si="347">W366*X366</f>
        <v>0</v>
      </c>
      <c r="Z366" s="101">
        <v>1</v>
      </c>
      <c r="AA366" s="183">
        <v>0</v>
      </c>
      <c r="AB366" s="99">
        <v>1</v>
      </c>
      <c r="AC366" s="98">
        <v>0</v>
      </c>
      <c r="AD366" s="98">
        <v>0</v>
      </c>
      <c r="AE366" s="101">
        <f t="shared" si="345"/>
        <v>0</v>
      </c>
      <c r="AF366" s="100">
        <v>0</v>
      </c>
      <c r="AG366" s="98">
        <v>0</v>
      </c>
      <c r="AH366" s="99">
        <f t="shared" si="346"/>
        <v>0</v>
      </c>
      <c r="AI366" s="101">
        <v>1</v>
      </c>
      <c r="AJ366" s="106"/>
    </row>
    <row r="367" spans="2:36" s="35" customFormat="1" ht="17.100000000000001" customHeight="1">
      <c r="B367" s="105"/>
      <c r="C367" s="54"/>
      <c r="D367" s="96"/>
      <c r="E367" s="111"/>
      <c r="F367" s="112"/>
      <c r="G367" s="113"/>
      <c r="H367" s="183">
        <v>1</v>
      </c>
      <c r="I367" s="98">
        <v>0</v>
      </c>
      <c r="J367" s="98">
        <v>0</v>
      </c>
      <c r="K367" s="101">
        <f t="shared" si="341"/>
        <v>0</v>
      </c>
      <c r="L367" s="100">
        <v>0</v>
      </c>
      <c r="M367" s="98">
        <v>0</v>
      </c>
      <c r="N367" s="101">
        <f t="shared" si="342"/>
        <v>0</v>
      </c>
      <c r="O367" s="100">
        <v>0</v>
      </c>
      <c r="P367" s="98">
        <v>0</v>
      </c>
      <c r="Q367" s="101">
        <f t="shared" si="343"/>
        <v>0</v>
      </c>
      <c r="R367" s="100">
        <v>0</v>
      </c>
      <c r="S367" s="98">
        <v>0</v>
      </c>
      <c r="T367" s="101">
        <f t="shared" si="344"/>
        <v>0</v>
      </c>
      <c r="U367" s="183">
        <v>1</v>
      </c>
      <c r="V367" s="99">
        <v>1</v>
      </c>
      <c r="W367" s="98">
        <v>0</v>
      </c>
      <c r="X367" s="98">
        <v>0</v>
      </c>
      <c r="Y367" s="101">
        <f t="shared" si="347"/>
        <v>0</v>
      </c>
      <c r="Z367" s="101">
        <v>1</v>
      </c>
      <c r="AA367" s="183">
        <v>0</v>
      </c>
      <c r="AB367" s="99">
        <v>1</v>
      </c>
      <c r="AC367" s="98">
        <v>0</v>
      </c>
      <c r="AD367" s="98">
        <v>0</v>
      </c>
      <c r="AE367" s="101">
        <f t="shared" si="345"/>
        <v>0</v>
      </c>
      <c r="AF367" s="100">
        <v>0</v>
      </c>
      <c r="AG367" s="98">
        <v>0</v>
      </c>
      <c r="AH367" s="99">
        <f t="shared" si="346"/>
        <v>0</v>
      </c>
      <c r="AI367" s="101">
        <v>1</v>
      </c>
      <c r="AJ367" s="106"/>
    </row>
    <row r="368" spans="2:36" s="35" customFormat="1" ht="17.100000000000001" customHeight="1">
      <c r="B368" s="105"/>
      <c r="C368" s="54"/>
      <c r="D368" s="96"/>
      <c r="E368" s="111"/>
      <c r="F368" s="112"/>
      <c r="G368" s="113"/>
      <c r="H368" s="183">
        <v>1</v>
      </c>
      <c r="I368" s="98">
        <v>0</v>
      </c>
      <c r="J368" s="98">
        <v>0</v>
      </c>
      <c r="K368" s="101">
        <f t="shared" si="341"/>
        <v>0</v>
      </c>
      <c r="L368" s="100">
        <v>0</v>
      </c>
      <c r="M368" s="98">
        <v>0</v>
      </c>
      <c r="N368" s="101">
        <f t="shared" si="342"/>
        <v>0</v>
      </c>
      <c r="O368" s="100">
        <v>0</v>
      </c>
      <c r="P368" s="98">
        <v>0</v>
      </c>
      <c r="Q368" s="101">
        <f t="shared" si="343"/>
        <v>0</v>
      </c>
      <c r="R368" s="100">
        <v>0</v>
      </c>
      <c r="S368" s="98">
        <v>0</v>
      </c>
      <c r="T368" s="101">
        <f t="shared" si="344"/>
        <v>0</v>
      </c>
      <c r="U368" s="183">
        <v>1</v>
      </c>
      <c r="V368" s="99">
        <v>1</v>
      </c>
      <c r="W368" s="98">
        <v>0</v>
      </c>
      <c r="X368" s="98">
        <v>0</v>
      </c>
      <c r="Y368" s="101">
        <f t="shared" si="347"/>
        <v>0</v>
      </c>
      <c r="Z368" s="101">
        <v>1</v>
      </c>
      <c r="AA368" s="183">
        <v>0</v>
      </c>
      <c r="AB368" s="99">
        <v>1</v>
      </c>
      <c r="AC368" s="98">
        <v>0</v>
      </c>
      <c r="AD368" s="98">
        <v>0</v>
      </c>
      <c r="AE368" s="101">
        <f t="shared" si="345"/>
        <v>0</v>
      </c>
      <c r="AF368" s="100">
        <v>0</v>
      </c>
      <c r="AG368" s="98">
        <v>0</v>
      </c>
      <c r="AH368" s="99">
        <f t="shared" si="346"/>
        <v>0</v>
      </c>
      <c r="AI368" s="101">
        <v>1</v>
      </c>
      <c r="AJ368" s="106"/>
    </row>
    <row r="369" spans="2:36" s="35" customFormat="1" ht="17.100000000000001" customHeight="1">
      <c r="B369" s="105"/>
      <c r="C369" s="54"/>
      <c r="D369" s="96"/>
      <c r="E369" s="111"/>
      <c r="F369" s="112"/>
      <c r="G369" s="113"/>
      <c r="H369" s="183">
        <v>1</v>
      </c>
      <c r="I369" s="98">
        <v>0</v>
      </c>
      <c r="J369" s="98">
        <v>0</v>
      </c>
      <c r="K369" s="101">
        <f t="shared" si="341"/>
        <v>0</v>
      </c>
      <c r="L369" s="100">
        <v>0</v>
      </c>
      <c r="M369" s="98">
        <v>0</v>
      </c>
      <c r="N369" s="101">
        <f t="shared" si="342"/>
        <v>0</v>
      </c>
      <c r="O369" s="100">
        <v>0</v>
      </c>
      <c r="P369" s="98">
        <v>0</v>
      </c>
      <c r="Q369" s="101">
        <f t="shared" si="343"/>
        <v>0</v>
      </c>
      <c r="R369" s="100">
        <v>0</v>
      </c>
      <c r="S369" s="98">
        <v>0</v>
      </c>
      <c r="T369" s="101">
        <f t="shared" si="344"/>
        <v>0</v>
      </c>
      <c r="U369" s="183">
        <v>1</v>
      </c>
      <c r="V369" s="99">
        <v>1</v>
      </c>
      <c r="W369" s="98">
        <v>0</v>
      </c>
      <c r="X369" s="98">
        <v>0</v>
      </c>
      <c r="Y369" s="101">
        <f t="shared" si="347"/>
        <v>0</v>
      </c>
      <c r="Z369" s="101">
        <v>1</v>
      </c>
      <c r="AA369" s="183">
        <v>0</v>
      </c>
      <c r="AB369" s="99">
        <v>1</v>
      </c>
      <c r="AC369" s="98">
        <v>0</v>
      </c>
      <c r="AD369" s="98">
        <v>0</v>
      </c>
      <c r="AE369" s="101">
        <f t="shared" si="345"/>
        <v>0</v>
      </c>
      <c r="AF369" s="100">
        <v>0</v>
      </c>
      <c r="AG369" s="98">
        <v>0</v>
      </c>
      <c r="AH369" s="99">
        <f t="shared" si="346"/>
        <v>0</v>
      </c>
      <c r="AI369" s="101">
        <v>1</v>
      </c>
      <c r="AJ369" s="106"/>
    </row>
    <row r="370" spans="2:36" s="35" customFormat="1" ht="17.100000000000001" customHeight="1">
      <c r="B370" s="105"/>
      <c r="C370" s="54"/>
      <c r="D370" s="96"/>
      <c r="E370" s="111"/>
      <c r="F370" s="112"/>
      <c r="G370" s="113"/>
      <c r="H370" s="183">
        <v>1</v>
      </c>
      <c r="I370" s="98">
        <v>0</v>
      </c>
      <c r="J370" s="98">
        <v>0</v>
      </c>
      <c r="K370" s="101">
        <f t="shared" si="341"/>
        <v>0</v>
      </c>
      <c r="L370" s="100">
        <v>0</v>
      </c>
      <c r="M370" s="98">
        <v>0</v>
      </c>
      <c r="N370" s="101">
        <f t="shared" si="342"/>
        <v>0</v>
      </c>
      <c r="O370" s="100">
        <v>0</v>
      </c>
      <c r="P370" s="98">
        <v>0</v>
      </c>
      <c r="Q370" s="101">
        <f t="shared" si="343"/>
        <v>0</v>
      </c>
      <c r="R370" s="100">
        <v>0</v>
      </c>
      <c r="S370" s="98">
        <v>0</v>
      </c>
      <c r="T370" s="101">
        <f t="shared" si="344"/>
        <v>0</v>
      </c>
      <c r="U370" s="183">
        <v>1</v>
      </c>
      <c r="V370" s="99">
        <v>1</v>
      </c>
      <c r="W370" s="98">
        <v>0</v>
      </c>
      <c r="X370" s="98">
        <v>0</v>
      </c>
      <c r="Y370" s="101">
        <f t="shared" si="347"/>
        <v>0</v>
      </c>
      <c r="Z370" s="101">
        <v>1</v>
      </c>
      <c r="AA370" s="183">
        <v>0</v>
      </c>
      <c r="AB370" s="99">
        <v>1</v>
      </c>
      <c r="AC370" s="98">
        <v>0</v>
      </c>
      <c r="AD370" s="98">
        <v>0</v>
      </c>
      <c r="AE370" s="101">
        <f t="shared" si="345"/>
        <v>0</v>
      </c>
      <c r="AF370" s="100">
        <v>0</v>
      </c>
      <c r="AG370" s="98">
        <v>0</v>
      </c>
      <c r="AH370" s="99">
        <f t="shared" si="346"/>
        <v>0</v>
      </c>
      <c r="AI370" s="101">
        <v>1</v>
      </c>
      <c r="AJ370" s="106"/>
    </row>
    <row r="371" spans="2:36" s="35" customFormat="1" ht="17.100000000000001" customHeight="1">
      <c r="B371" s="105"/>
      <c r="C371" s="54"/>
      <c r="D371" s="96"/>
      <c r="E371" s="111"/>
      <c r="F371" s="112"/>
      <c r="G371" s="113"/>
      <c r="H371" s="183">
        <v>1</v>
      </c>
      <c r="I371" s="98">
        <v>0</v>
      </c>
      <c r="J371" s="98">
        <v>0</v>
      </c>
      <c r="K371" s="101">
        <f t="shared" si="341"/>
        <v>0</v>
      </c>
      <c r="L371" s="100">
        <v>0</v>
      </c>
      <c r="M371" s="98">
        <v>0</v>
      </c>
      <c r="N371" s="101">
        <f t="shared" si="342"/>
        <v>0</v>
      </c>
      <c r="O371" s="100">
        <v>0</v>
      </c>
      <c r="P371" s="98">
        <v>0</v>
      </c>
      <c r="Q371" s="101">
        <f t="shared" si="343"/>
        <v>0</v>
      </c>
      <c r="R371" s="100">
        <v>0</v>
      </c>
      <c r="S371" s="98">
        <v>0</v>
      </c>
      <c r="T371" s="101">
        <f t="shared" si="344"/>
        <v>0</v>
      </c>
      <c r="U371" s="183">
        <v>1</v>
      </c>
      <c r="V371" s="99">
        <v>1</v>
      </c>
      <c r="W371" s="98">
        <v>0</v>
      </c>
      <c r="X371" s="98">
        <v>0</v>
      </c>
      <c r="Y371" s="101">
        <f t="shared" si="347"/>
        <v>0</v>
      </c>
      <c r="Z371" s="101">
        <v>1</v>
      </c>
      <c r="AA371" s="183">
        <v>0</v>
      </c>
      <c r="AB371" s="99">
        <v>1</v>
      </c>
      <c r="AC371" s="98">
        <v>0</v>
      </c>
      <c r="AD371" s="98">
        <v>0</v>
      </c>
      <c r="AE371" s="101">
        <f t="shared" si="345"/>
        <v>0</v>
      </c>
      <c r="AF371" s="100">
        <v>0</v>
      </c>
      <c r="AG371" s="98">
        <v>0</v>
      </c>
      <c r="AH371" s="99">
        <f t="shared" si="346"/>
        <v>0</v>
      </c>
      <c r="AI371" s="101">
        <v>1</v>
      </c>
      <c r="AJ371" s="106"/>
    </row>
    <row r="372" spans="2:36" s="126" customFormat="1" ht="17.100000000000001" customHeight="1">
      <c r="B372" s="118"/>
      <c r="C372" s="119"/>
      <c r="D372" s="120"/>
      <c r="E372" s="121"/>
      <c r="F372" s="122"/>
      <c r="G372" s="123"/>
      <c r="H372" s="183">
        <v>1</v>
      </c>
      <c r="I372" s="363" t="s">
        <v>201</v>
      </c>
      <c r="J372" s="363"/>
      <c r="K372" s="124">
        <f>SUM(K365:K371)</f>
        <v>0</v>
      </c>
      <c r="L372" s="341" t="s">
        <v>201</v>
      </c>
      <c r="M372" s="342"/>
      <c r="N372" s="124">
        <f>SUM(N365:N371)</f>
        <v>0</v>
      </c>
      <c r="O372" s="341" t="s">
        <v>201</v>
      </c>
      <c r="P372" s="342"/>
      <c r="Q372" s="124">
        <f>SUM(Q365:Q371)</f>
        <v>0</v>
      </c>
      <c r="R372" s="341" t="s">
        <v>201</v>
      </c>
      <c r="S372" s="342"/>
      <c r="T372" s="124">
        <f>SUM(T365:T371)</f>
        <v>0</v>
      </c>
      <c r="U372" s="183">
        <v>1</v>
      </c>
      <c r="V372" s="99">
        <v>1</v>
      </c>
      <c r="W372" s="363" t="s">
        <v>201</v>
      </c>
      <c r="X372" s="363"/>
      <c r="Y372" s="124">
        <f>SUM(Y365:Y371)</f>
        <v>180</v>
      </c>
      <c r="Z372" s="101">
        <v>1</v>
      </c>
      <c r="AA372" s="183">
        <v>0</v>
      </c>
      <c r="AB372" s="99">
        <v>1</v>
      </c>
      <c r="AC372" s="363" t="s">
        <v>201</v>
      </c>
      <c r="AD372" s="363"/>
      <c r="AE372" s="124">
        <f>SUM(AE365:AE371)</f>
        <v>0</v>
      </c>
      <c r="AF372" s="364" t="s">
        <v>201</v>
      </c>
      <c r="AG372" s="363"/>
      <c r="AH372" s="143">
        <f>SUM(AH365:AH371)</f>
        <v>0</v>
      </c>
      <c r="AI372" s="101">
        <v>1</v>
      </c>
      <c r="AJ372" s="125"/>
    </row>
    <row r="373" spans="2:36" s="35" customFormat="1" ht="16.95" customHeight="1">
      <c r="B373" s="105"/>
      <c r="C373" s="54">
        <f>'3. Rekap Back Up Non Aspal '!C67</f>
        <v>7100</v>
      </c>
      <c r="D373" s="96">
        <f>'3. Rekap Back Up Non Aspal '!D67</f>
        <v>7200</v>
      </c>
      <c r="E373" s="111">
        <f>'3. Rekap Back Up Non Aspal '!E67</f>
        <v>4</v>
      </c>
      <c r="F373" s="112">
        <f>(100/((D373-C373)*E373))*((K380*0.05)+(N380*0.05)+(Q380*0.05)+(T380)+(Y380)+(AE380*1.5)+(AH380*1))</f>
        <v>75</v>
      </c>
      <c r="G373" s="113" t="str">
        <f>IF(F373&lt;=25,"RB",IF(F373&lt;=75,"RB",IF(F373&lt;=100,"RB","RB")))</f>
        <v>RB</v>
      </c>
      <c r="H373" s="183">
        <v>1</v>
      </c>
      <c r="I373" s="98">
        <v>0</v>
      </c>
      <c r="J373" s="98">
        <v>0</v>
      </c>
      <c r="K373" s="101">
        <f t="shared" ref="K373:K379" si="348">I373*J373</f>
        <v>0</v>
      </c>
      <c r="L373" s="98">
        <v>0</v>
      </c>
      <c r="M373" s="98">
        <v>0</v>
      </c>
      <c r="N373" s="101">
        <f t="shared" ref="N373:N379" si="349">L373*M373</f>
        <v>0</v>
      </c>
      <c r="O373" s="98">
        <v>0</v>
      </c>
      <c r="P373" s="98">
        <v>0</v>
      </c>
      <c r="Q373" s="101">
        <f t="shared" ref="Q373:Q379" si="350">O373*P373</f>
        <v>0</v>
      </c>
      <c r="R373" s="98">
        <v>0</v>
      </c>
      <c r="S373" s="98">
        <v>0</v>
      </c>
      <c r="T373" s="101">
        <f t="shared" ref="T373:T379" si="351">R373*S373</f>
        <v>0</v>
      </c>
      <c r="U373" s="183">
        <v>3</v>
      </c>
      <c r="V373" s="99">
        <v>2</v>
      </c>
      <c r="W373" s="98">
        <v>100</v>
      </c>
      <c r="X373" s="98">
        <v>3</v>
      </c>
      <c r="Y373" s="101">
        <f>W373*X373</f>
        <v>300</v>
      </c>
      <c r="Z373" s="101">
        <v>1</v>
      </c>
      <c r="AA373" s="183">
        <v>0</v>
      </c>
      <c r="AB373" s="99">
        <v>1</v>
      </c>
      <c r="AC373" s="98">
        <v>0</v>
      </c>
      <c r="AD373" s="98">
        <v>0</v>
      </c>
      <c r="AE373" s="101">
        <f t="shared" ref="AE373:AE379" si="352">AC373*AD373</f>
        <v>0</v>
      </c>
      <c r="AF373" s="98">
        <v>0</v>
      </c>
      <c r="AG373" s="98">
        <v>3</v>
      </c>
      <c r="AH373" s="99">
        <f t="shared" ref="AH373:AH379" si="353">AF373*AG373</f>
        <v>0</v>
      </c>
      <c r="AI373" s="101">
        <v>1</v>
      </c>
      <c r="AJ373" s="106"/>
    </row>
    <row r="374" spans="2:36" s="35" customFormat="1" ht="17.100000000000001" customHeight="1">
      <c r="B374" s="105"/>
      <c r="C374" s="54"/>
      <c r="D374" s="96"/>
      <c r="E374" s="111"/>
      <c r="F374" s="112"/>
      <c r="G374" s="113"/>
      <c r="H374" s="183">
        <v>1</v>
      </c>
      <c r="I374" s="98">
        <v>0</v>
      </c>
      <c r="J374" s="98">
        <v>0</v>
      </c>
      <c r="K374" s="101">
        <f t="shared" si="348"/>
        <v>0</v>
      </c>
      <c r="L374" s="100">
        <v>0</v>
      </c>
      <c r="M374" s="98">
        <v>0</v>
      </c>
      <c r="N374" s="101">
        <f t="shared" si="349"/>
        <v>0</v>
      </c>
      <c r="O374" s="100">
        <v>0</v>
      </c>
      <c r="P374" s="98">
        <v>0</v>
      </c>
      <c r="Q374" s="101">
        <f t="shared" si="350"/>
        <v>0</v>
      </c>
      <c r="R374" s="100">
        <v>0</v>
      </c>
      <c r="S374" s="98">
        <v>0</v>
      </c>
      <c r="T374" s="101">
        <f t="shared" si="351"/>
        <v>0</v>
      </c>
      <c r="U374" s="183">
        <v>1</v>
      </c>
      <c r="V374" s="99">
        <v>1</v>
      </c>
      <c r="W374" s="98">
        <v>0</v>
      </c>
      <c r="X374" s="98">
        <v>0</v>
      </c>
      <c r="Y374" s="101">
        <f t="shared" ref="Y374:Y379" si="354">W374*X374</f>
        <v>0</v>
      </c>
      <c r="Z374" s="101">
        <v>1</v>
      </c>
      <c r="AA374" s="183">
        <v>0</v>
      </c>
      <c r="AB374" s="99">
        <v>1</v>
      </c>
      <c r="AC374" s="98">
        <v>0</v>
      </c>
      <c r="AD374" s="98">
        <v>0</v>
      </c>
      <c r="AE374" s="101">
        <f t="shared" si="352"/>
        <v>0</v>
      </c>
      <c r="AF374" s="100">
        <v>0</v>
      </c>
      <c r="AG374" s="98">
        <v>0</v>
      </c>
      <c r="AH374" s="99">
        <f t="shared" si="353"/>
        <v>0</v>
      </c>
      <c r="AI374" s="101">
        <v>1</v>
      </c>
      <c r="AJ374" s="106"/>
    </row>
    <row r="375" spans="2:36" s="35" customFormat="1" ht="17.100000000000001" customHeight="1">
      <c r="B375" s="105"/>
      <c r="C375" s="54"/>
      <c r="D375" s="96"/>
      <c r="E375" s="111"/>
      <c r="F375" s="112"/>
      <c r="G375" s="113"/>
      <c r="H375" s="183">
        <v>1</v>
      </c>
      <c r="I375" s="98">
        <v>0</v>
      </c>
      <c r="J375" s="98">
        <v>0</v>
      </c>
      <c r="K375" s="101">
        <f t="shared" si="348"/>
        <v>0</v>
      </c>
      <c r="L375" s="100">
        <v>0</v>
      </c>
      <c r="M375" s="98">
        <v>0</v>
      </c>
      <c r="N375" s="101">
        <f t="shared" si="349"/>
        <v>0</v>
      </c>
      <c r="O375" s="100">
        <v>0</v>
      </c>
      <c r="P375" s="98">
        <v>0</v>
      </c>
      <c r="Q375" s="101">
        <f t="shared" si="350"/>
        <v>0</v>
      </c>
      <c r="R375" s="100">
        <v>0</v>
      </c>
      <c r="S375" s="98">
        <v>0</v>
      </c>
      <c r="T375" s="101">
        <f t="shared" si="351"/>
        <v>0</v>
      </c>
      <c r="U375" s="183">
        <v>1</v>
      </c>
      <c r="V375" s="99">
        <v>1</v>
      </c>
      <c r="W375" s="98">
        <v>0</v>
      </c>
      <c r="X375" s="98">
        <v>0</v>
      </c>
      <c r="Y375" s="101">
        <f t="shared" si="354"/>
        <v>0</v>
      </c>
      <c r="Z375" s="101">
        <v>1</v>
      </c>
      <c r="AA375" s="183">
        <v>0</v>
      </c>
      <c r="AB375" s="99">
        <v>1</v>
      </c>
      <c r="AC375" s="98">
        <v>0</v>
      </c>
      <c r="AD375" s="98">
        <v>0</v>
      </c>
      <c r="AE375" s="101">
        <f t="shared" si="352"/>
        <v>0</v>
      </c>
      <c r="AF375" s="100">
        <v>0</v>
      </c>
      <c r="AG375" s="98">
        <v>0</v>
      </c>
      <c r="AH375" s="99">
        <f t="shared" si="353"/>
        <v>0</v>
      </c>
      <c r="AI375" s="101">
        <v>1</v>
      </c>
      <c r="AJ375" s="106"/>
    </row>
    <row r="376" spans="2:36" s="35" customFormat="1" ht="17.100000000000001" customHeight="1">
      <c r="B376" s="105"/>
      <c r="C376" s="54"/>
      <c r="D376" s="96"/>
      <c r="E376" s="111"/>
      <c r="F376" s="112"/>
      <c r="G376" s="113"/>
      <c r="H376" s="183">
        <v>1</v>
      </c>
      <c r="I376" s="98">
        <v>0</v>
      </c>
      <c r="J376" s="98">
        <v>0</v>
      </c>
      <c r="K376" s="101">
        <f t="shared" si="348"/>
        <v>0</v>
      </c>
      <c r="L376" s="100">
        <v>0</v>
      </c>
      <c r="M376" s="98">
        <v>0</v>
      </c>
      <c r="N376" s="101">
        <f t="shared" si="349"/>
        <v>0</v>
      </c>
      <c r="O376" s="100">
        <v>0</v>
      </c>
      <c r="P376" s="98">
        <v>0</v>
      </c>
      <c r="Q376" s="101">
        <f t="shared" si="350"/>
        <v>0</v>
      </c>
      <c r="R376" s="100">
        <v>0</v>
      </c>
      <c r="S376" s="98">
        <v>0</v>
      </c>
      <c r="T376" s="101">
        <f t="shared" si="351"/>
        <v>0</v>
      </c>
      <c r="U376" s="183">
        <v>1</v>
      </c>
      <c r="V376" s="99">
        <v>1</v>
      </c>
      <c r="W376" s="98">
        <v>0</v>
      </c>
      <c r="X376" s="98">
        <v>0</v>
      </c>
      <c r="Y376" s="101">
        <f t="shared" si="354"/>
        <v>0</v>
      </c>
      <c r="Z376" s="101">
        <v>1</v>
      </c>
      <c r="AA376" s="183">
        <v>0</v>
      </c>
      <c r="AB376" s="99">
        <v>1</v>
      </c>
      <c r="AC376" s="98">
        <v>0</v>
      </c>
      <c r="AD376" s="98">
        <v>0</v>
      </c>
      <c r="AE376" s="101">
        <f t="shared" si="352"/>
        <v>0</v>
      </c>
      <c r="AF376" s="100">
        <v>0</v>
      </c>
      <c r="AG376" s="98">
        <v>0</v>
      </c>
      <c r="AH376" s="99">
        <f t="shared" si="353"/>
        <v>0</v>
      </c>
      <c r="AI376" s="101">
        <v>1</v>
      </c>
      <c r="AJ376" s="106"/>
    </row>
    <row r="377" spans="2:36" s="35" customFormat="1" ht="17.100000000000001" customHeight="1">
      <c r="B377" s="105"/>
      <c r="C377" s="54"/>
      <c r="D377" s="96"/>
      <c r="E377" s="111"/>
      <c r="F377" s="112"/>
      <c r="G377" s="113"/>
      <c r="H377" s="183">
        <v>1</v>
      </c>
      <c r="I377" s="98">
        <v>0</v>
      </c>
      <c r="J377" s="98">
        <v>0</v>
      </c>
      <c r="K377" s="101">
        <f t="shared" si="348"/>
        <v>0</v>
      </c>
      <c r="L377" s="100">
        <v>0</v>
      </c>
      <c r="M377" s="98">
        <v>0</v>
      </c>
      <c r="N377" s="101">
        <f t="shared" si="349"/>
        <v>0</v>
      </c>
      <c r="O377" s="100">
        <v>0</v>
      </c>
      <c r="P377" s="98">
        <v>0</v>
      </c>
      <c r="Q377" s="101">
        <f t="shared" si="350"/>
        <v>0</v>
      </c>
      <c r="R377" s="100">
        <v>0</v>
      </c>
      <c r="S377" s="98">
        <v>0</v>
      </c>
      <c r="T377" s="101">
        <f t="shared" si="351"/>
        <v>0</v>
      </c>
      <c r="U377" s="183">
        <v>1</v>
      </c>
      <c r="V377" s="99">
        <v>1</v>
      </c>
      <c r="W377" s="98">
        <v>0</v>
      </c>
      <c r="X377" s="98">
        <v>0</v>
      </c>
      <c r="Y377" s="101">
        <f t="shared" si="354"/>
        <v>0</v>
      </c>
      <c r="Z377" s="101">
        <v>1</v>
      </c>
      <c r="AA377" s="183">
        <v>0</v>
      </c>
      <c r="AB377" s="99">
        <v>1</v>
      </c>
      <c r="AC377" s="98">
        <v>0</v>
      </c>
      <c r="AD377" s="98">
        <v>0</v>
      </c>
      <c r="AE377" s="101">
        <f t="shared" si="352"/>
        <v>0</v>
      </c>
      <c r="AF377" s="100">
        <v>0</v>
      </c>
      <c r="AG377" s="98">
        <v>0</v>
      </c>
      <c r="AH377" s="99">
        <f t="shared" si="353"/>
        <v>0</v>
      </c>
      <c r="AI377" s="101">
        <v>1</v>
      </c>
      <c r="AJ377" s="106"/>
    </row>
    <row r="378" spans="2:36" s="35" customFormat="1" ht="17.100000000000001" customHeight="1">
      <c r="B378" s="105"/>
      <c r="C378" s="54"/>
      <c r="D378" s="96"/>
      <c r="E378" s="111"/>
      <c r="F378" s="112"/>
      <c r="G378" s="113"/>
      <c r="H378" s="183">
        <v>1</v>
      </c>
      <c r="I378" s="98">
        <v>0</v>
      </c>
      <c r="J378" s="98">
        <v>0</v>
      </c>
      <c r="K378" s="101">
        <f t="shared" si="348"/>
        <v>0</v>
      </c>
      <c r="L378" s="100">
        <v>0</v>
      </c>
      <c r="M378" s="98">
        <v>0</v>
      </c>
      <c r="N378" s="101">
        <f t="shared" si="349"/>
        <v>0</v>
      </c>
      <c r="O378" s="100">
        <v>0</v>
      </c>
      <c r="P378" s="98">
        <v>0</v>
      </c>
      <c r="Q378" s="101">
        <f t="shared" si="350"/>
        <v>0</v>
      </c>
      <c r="R378" s="100">
        <v>0</v>
      </c>
      <c r="S378" s="98">
        <v>0</v>
      </c>
      <c r="T378" s="101">
        <f t="shared" si="351"/>
        <v>0</v>
      </c>
      <c r="U378" s="183">
        <v>1</v>
      </c>
      <c r="V378" s="99">
        <v>1</v>
      </c>
      <c r="W378" s="98">
        <v>0</v>
      </c>
      <c r="X378" s="98">
        <v>0</v>
      </c>
      <c r="Y378" s="101">
        <f t="shared" si="354"/>
        <v>0</v>
      </c>
      <c r="Z378" s="101">
        <v>1</v>
      </c>
      <c r="AA378" s="183">
        <v>0</v>
      </c>
      <c r="AB378" s="99">
        <v>1</v>
      </c>
      <c r="AC378" s="98">
        <v>0</v>
      </c>
      <c r="AD378" s="98">
        <v>0</v>
      </c>
      <c r="AE378" s="101">
        <f t="shared" si="352"/>
        <v>0</v>
      </c>
      <c r="AF378" s="100">
        <v>0</v>
      </c>
      <c r="AG378" s="98">
        <v>0</v>
      </c>
      <c r="AH378" s="99">
        <f t="shared" si="353"/>
        <v>0</v>
      </c>
      <c r="AI378" s="101">
        <v>1</v>
      </c>
      <c r="AJ378" s="106"/>
    </row>
    <row r="379" spans="2:36" s="35" customFormat="1" ht="17.100000000000001" customHeight="1">
      <c r="B379" s="105"/>
      <c r="C379" s="54"/>
      <c r="D379" s="96"/>
      <c r="E379" s="111"/>
      <c r="F379" s="112"/>
      <c r="G379" s="113"/>
      <c r="H379" s="183">
        <v>1</v>
      </c>
      <c r="I379" s="98">
        <v>0</v>
      </c>
      <c r="J379" s="98">
        <v>0</v>
      </c>
      <c r="K379" s="101">
        <f t="shared" si="348"/>
        <v>0</v>
      </c>
      <c r="L379" s="100">
        <v>0</v>
      </c>
      <c r="M379" s="98">
        <v>0</v>
      </c>
      <c r="N379" s="101">
        <f t="shared" si="349"/>
        <v>0</v>
      </c>
      <c r="O379" s="100">
        <v>0</v>
      </c>
      <c r="P379" s="98">
        <v>0</v>
      </c>
      <c r="Q379" s="101">
        <f t="shared" si="350"/>
        <v>0</v>
      </c>
      <c r="R379" s="100">
        <v>0</v>
      </c>
      <c r="S379" s="98">
        <v>0</v>
      </c>
      <c r="T379" s="101">
        <f t="shared" si="351"/>
        <v>0</v>
      </c>
      <c r="U379" s="183">
        <v>1</v>
      </c>
      <c r="V379" s="99">
        <v>1</v>
      </c>
      <c r="W379" s="98">
        <v>0</v>
      </c>
      <c r="X379" s="98">
        <v>0</v>
      </c>
      <c r="Y379" s="101">
        <f t="shared" si="354"/>
        <v>0</v>
      </c>
      <c r="Z379" s="101">
        <v>1</v>
      </c>
      <c r="AA379" s="183">
        <v>0</v>
      </c>
      <c r="AB379" s="99">
        <v>1</v>
      </c>
      <c r="AC379" s="98">
        <v>0</v>
      </c>
      <c r="AD379" s="98">
        <v>0</v>
      </c>
      <c r="AE379" s="101">
        <f t="shared" si="352"/>
        <v>0</v>
      </c>
      <c r="AF379" s="100">
        <v>0</v>
      </c>
      <c r="AG379" s="98">
        <v>0</v>
      </c>
      <c r="AH379" s="99">
        <f t="shared" si="353"/>
        <v>0</v>
      </c>
      <c r="AI379" s="101">
        <v>1</v>
      </c>
      <c r="AJ379" s="106"/>
    </row>
    <row r="380" spans="2:36" s="126" customFormat="1" ht="17.100000000000001" customHeight="1" thickBot="1">
      <c r="B380" s="128"/>
      <c r="C380" s="154"/>
      <c r="D380" s="155"/>
      <c r="E380" s="156"/>
      <c r="F380" s="129"/>
      <c r="G380" s="130"/>
      <c r="H380" s="184">
        <v>1</v>
      </c>
      <c r="I380" s="361" t="s">
        <v>201</v>
      </c>
      <c r="J380" s="361"/>
      <c r="K380" s="131">
        <f>SUM(K373:K379)</f>
        <v>0</v>
      </c>
      <c r="L380" s="344" t="s">
        <v>201</v>
      </c>
      <c r="M380" s="345"/>
      <c r="N380" s="131">
        <f>SUM(N373:N379)</f>
        <v>0</v>
      </c>
      <c r="O380" s="344" t="s">
        <v>201</v>
      </c>
      <c r="P380" s="345"/>
      <c r="Q380" s="131">
        <f>SUM(Q373:Q379)</f>
        <v>0</v>
      </c>
      <c r="R380" s="344" t="s">
        <v>201</v>
      </c>
      <c r="S380" s="345"/>
      <c r="T380" s="131">
        <f>SUM(T373:T379)</f>
        <v>0</v>
      </c>
      <c r="U380" s="184">
        <v>1</v>
      </c>
      <c r="V380" s="160">
        <v>1</v>
      </c>
      <c r="W380" s="361" t="s">
        <v>201</v>
      </c>
      <c r="X380" s="361"/>
      <c r="Y380" s="131">
        <f>SUM(Y373:Y379)</f>
        <v>300</v>
      </c>
      <c r="Z380" s="133">
        <v>1</v>
      </c>
      <c r="AA380" s="184">
        <v>0</v>
      </c>
      <c r="AB380" s="160">
        <v>1</v>
      </c>
      <c r="AC380" s="361" t="s">
        <v>201</v>
      </c>
      <c r="AD380" s="361"/>
      <c r="AE380" s="131">
        <f>SUM(AE373:AE379)</f>
        <v>0</v>
      </c>
      <c r="AF380" s="362" t="s">
        <v>201</v>
      </c>
      <c r="AG380" s="361"/>
      <c r="AH380" s="144">
        <f>SUM(AH373:AH379)</f>
        <v>0</v>
      </c>
      <c r="AI380" s="133">
        <v>1</v>
      </c>
      <c r="AJ380" s="134"/>
    </row>
    <row r="381" spans="2:36" s="35" customFormat="1" ht="16.95" customHeight="1">
      <c r="B381" s="114"/>
      <c r="C381" s="157">
        <f>'3. Rekap Back Up Non Aspal '!C68</f>
        <v>7200</v>
      </c>
      <c r="D381" s="158">
        <f>'3. Rekap Back Up Non Aspal '!D68</f>
        <v>7300</v>
      </c>
      <c r="E381" s="159">
        <f>'3. Rekap Back Up Non Aspal '!E68</f>
        <v>4</v>
      </c>
      <c r="F381" s="115">
        <f>(100/((D381-C381)*E381))*((K388*0.05)+(N388*0.05)+(Q388*0.05)+(T388)+(Y388)+(AE388*1.5)+(AH388*1))</f>
        <v>75</v>
      </c>
      <c r="G381" s="116" t="str">
        <f>IF(F381&lt;=25,"RB",IF(F381&lt;=75,"RB",IF(F381&lt;=100,"RB","RB")))</f>
        <v>RB</v>
      </c>
      <c r="H381" s="185">
        <v>1</v>
      </c>
      <c r="I381" s="136">
        <v>0</v>
      </c>
      <c r="J381" s="136">
        <v>0</v>
      </c>
      <c r="K381" s="137">
        <f t="shared" ref="K381:K387" si="355">I381*J381</f>
        <v>0</v>
      </c>
      <c r="L381" s="136">
        <v>0</v>
      </c>
      <c r="M381" s="136">
        <v>0</v>
      </c>
      <c r="N381" s="137">
        <f t="shared" ref="N381:N387" si="356">L381*M381</f>
        <v>0</v>
      </c>
      <c r="O381" s="136">
        <v>0</v>
      </c>
      <c r="P381" s="136">
        <v>3</v>
      </c>
      <c r="Q381" s="137">
        <f t="shared" ref="Q381:Q387" si="357">O381*P381</f>
        <v>0</v>
      </c>
      <c r="R381" s="136">
        <v>0</v>
      </c>
      <c r="S381" s="136">
        <v>0</v>
      </c>
      <c r="T381" s="137">
        <f t="shared" ref="T381:T387" si="358">R381*S381</f>
        <v>0</v>
      </c>
      <c r="U381" s="185">
        <v>2</v>
      </c>
      <c r="V381" s="138">
        <v>2</v>
      </c>
      <c r="W381" s="136">
        <v>100</v>
      </c>
      <c r="X381" s="136">
        <v>3</v>
      </c>
      <c r="Y381" s="137">
        <f>W381*X381</f>
        <v>300</v>
      </c>
      <c r="Z381" s="137">
        <v>1</v>
      </c>
      <c r="AA381" s="185">
        <v>0</v>
      </c>
      <c r="AB381" s="138">
        <v>1</v>
      </c>
      <c r="AC381" s="136">
        <v>0</v>
      </c>
      <c r="AD381" s="136">
        <v>0</v>
      </c>
      <c r="AE381" s="137">
        <f t="shared" ref="AE381:AE387" si="359">AC381*AD381</f>
        <v>0</v>
      </c>
      <c r="AF381" s="136">
        <v>0</v>
      </c>
      <c r="AG381" s="136">
        <v>0</v>
      </c>
      <c r="AH381" s="138">
        <f t="shared" ref="AH381:AH387" si="360">AF381*AG381</f>
        <v>0</v>
      </c>
      <c r="AI381" s="137">
        <v>1</v>
      </c>
      <c r="AJ381" s="139"/>
    </row>
    <row r="382" spans="2:36" s="35" customFormat="1" ht="17.100000000000001" customHeight="1">
      <c r="B382" s="105"/>
      <c r="C382" s="54"/>
      <c r="D382" s="96"/>
      <c r="E382" s="111"/>
      <c r="F382" s="112"/>
      <c r="G382" s="113"/>
      <c r="H382" s="183">
        <v>1</v>
      </c>
      <c r="I382" s="98">
        <v>0</v>
      </c>
      <c r="J382" s="98">
        <v>0</v>
      </c>
      <c r="K382" s="101">
        <f t="shared" si="355"/>
        <v>0</v>
      </c>
      <c r="L382" s="100">
        <v>0</v>
      </c>
      <c r="M382" s="98">
        <v>0</v>
      </c>
      <c r="N382" s="101">
        <f t="shared" si="356"/>
        <v>0</v>
      </c>
      <c r="O382" s="100">
        <v>0</v>
      </c>
      <c r="P382" s="98">
        <v>0</v>
      </c>
      <c r="Q382" s="101">
        <f t="shared" si="357"/>
        <v>0</v>
      </c>
      <c r="R382" s="100">
        <v>0</v>
      </c>
      <c r="S382" s="98">
        <v>0</v>
      </c>
      <c r="T382" s="101">
        <f t="shared" si="358"/>
        <v>0</v>
      </c>
      <c r="U382" s="183">
        <v>1</v>
      </c>
      <c r="V382" s="99">
        <v>1</v>
      </c>
      <c r="W382" s="98">
        <v>0</v>
      </c>
      <c r="X382" s="98">
        <v>0</v>
      </c>
      <c r="Y382" s="101">
        <f t="shared" ref="Y382:Y387" si="361">W382*X382</f>
        <v>0</v>
      </c>
      <c r="Z382" s="101">
        <v>1</v>
      </c>
      <c r="AA382" s="183">
        <v>0</v>
      </c>
      <c r="AB382" s="99">
        <v>1</v>
      </c>
      <c r="AC382" s="98">
        <v>0</v>
      </c>
      <c r="AD382" s="98">
        <v>0</v>
      </c>
      <c r="AE382" s="101">
        <f t="shared" si="359"/>
        <v>0</v>
      </c>
      <c r="AF382" s="100">
        <v>0</v>
      </c>
      <c r="AG382" s="98">
        <v>0</v>
      </c>
      <c r="AH382" s="99">
        <f t="shared" si="360"/>
        <v>0</v>
      </c>
      <c r="AI382" s="101">
        <v>1</v>
      </c>
      <c r="AJ382" s="106"/>
    </row>
    <row r="383" spans="2:36" s="35" customFormat="1" ht="17.100000000000001" customHeight="1">
      <c r="B383" s="105"/>
      <c r="C383" s="54"/>
      <c r="D383" s="96"/>
      <c r="E383" s="111"/>
      <c r="F383" s="112"/>
      <c r="G383" s="113"/>
      <c r="H383" s="183">
        <v>1</v>
      </c>
      <c r="I383" s="98">
        <v>0</v>
      </c>
      <c r="J383" s="98">
        <v>0</v>
      </c>
      <c r="K383" s="101">
        <f t="shared" si="355"/>
        <v>0</v>
      </c>
      <c r="L383" s="100">
        <v>0</v>
      </c>
      <c r="M383" s="98">
        <v>0</v>
      </c>
      <c r="N383" s="101">
        <f t="shared" si="356"/>
        <v>0</v>
      </c>
      <c r="O383" s="100">
        <v>0</v>
      </c>
      <c r="P383" s="98">
        <v>0</v>
      </c>
      <c r="Q383" s="101">
        <f t="shared" si="357"/>
        <v>0</v>
      </c>
      <c r="R383" s="100">
        <v>0</v>
      </c>
      <c r="S383" s="98">
        <v>0</v>
      </c>
      <c r="T383" s="101">
        <f t="shared" si="358"/>
        <v>0</v>
      </c>
      <c r="U383" s="183">
        <v>1</v>
      </c>
      <c r="V383" s="99">
        <v>1</v>
      </c>
      <c r="W383" s="98">
        <v>0</v>
      </c>
      <c r="X383" s="98">
        <v>0</v>
      </c>
      <c r="Y383" s="101">
        <f t="shared" si="361"/>
        <v>0</v>
      </c>
      <c r="Z383" s="101">
        <v>1</v>
      </c>
      <c r="AA383" s="183">
        <v>0</v>
      </c>
      <c r="AB383" s="99">
        <v>1</v>
      </c>
      <c r="AC383" s="98">
        <v>0</v>
      </c>
      <c r="AD383" s="98">
        <v>0</v>
      </c>
      <c r="AE383" s="101">
        <f t="shared" si="359"/>
        <v>0</v>
      </c>
      <c r="AF383" s="100">
        <v>0</v>
      </c>
      <c r="AG383" s="98">
        <v>0</v>
      </c>
      <c r="AH383" s="99">
        <f t="shared" si="360"/>
        <v>0</v>
      </c>
      <c r="AI383" s="101">
        <v>1</v>
      </c>
      <c r="AJ383" s="106"/>
    </row>
    <row r="384" spans="2:36" s="35" customFormat="1" ht="17.100000000000001" customHeight="1">
      <c r="B384" s="105"/>
      <c r="C384" s="54"/>
      <c r="D384" s="96"/>
      <c r="E384" s="111"/>
      <c r="F384" s="112"/>
      <c r="G384" s="113"/>
      <c r="H384" s="183">
        <v>1</v>
      </c>
      <c r="I384" s="98">
        <v>0</v>
      </c>
      <c r="J384" s="98">
        <v>0</v>
      </c>
      <c r="K384" s="101">
        <f t="shared" si="355"/>
        <v>0</v>
      </c>
      <c r="L384" s="100">
        <v>0</v>
      </c>
      <c r="M384" s="98">
        <v>0</v>
      </c>
      <c r="N384" s="101">
        <f t="shared" si="356"/>
        <v>0</v>
      </c>
      <c r="O384" s="100">
        <v>0</v>
      </c>
      <c r="P384" s="98">
        <v>0</v>
      </c>
      <c r="Q384" s="101">
        <f t="shared" si="357"/>
        <v>0</v>
      </c>
      <c r="R384" s="100">
        <v>0</v>
      </c>
      <c r="S384" s="98">
        <v>0</v>
      </c>
      <c r="T384" s="101">
        <f t="shared" si="358"/>
        <v>0</v>
      </c>
      <c r="U384" s="183">
        <v>1</v>
      </c>
      <c r="V384" s="99">
        <v>1</v>
      </c>
      <c r="W384" s="98">
        <v>0</v>
      </c>
      <c r="X384" s="98">
        <v>0</v>
      </c>
      <c r="Y384" s="101">
        <f t="shared" si="361"/>
        <v>0</v>
      </c>
      <c r="Z384" s="101">
        <v>1</v>
      </c>
      <c r="AA384" s="183">
        <v>0</v>
      </c>
      <c r="AB384" s="99">
        <v>1</v>
      </c>
      <c r="AC384" s="98">
        <v>0</v>
      </c>
      <c r="AD384" s="98">
        <v>0</v>
      </c>
      <c r="AE384" s="101">
        <f t="shared" si="359"/>
        <v>0</v>
      </c>
      <c r="AF384" s="100">
        <v>0</v>
      </c>
      <c r="AG384" s="98">
        <v>0</v>
      </c>
      <c r="AH384" s="99">
        <f t="shared" si="360"/>
        <v>0</v>
      </c>
      <c r="AI384" s="101">
        <v>1</v>
      </c>
      <c r="AJ384" s="106"/>
    </row>
    <row r="385" spans="2:36" s="35" customFormat="1" ht="17.100000000000001" customHeight="1">
      <c r="B385" s="105"/>
      <c r="C385" s="54"/>
      <c r="D385" s="96"/>
      <c r="E385" s="111"/>
      <c r="F385" s="112"/>
      <c r="G385" s="113"/>
      <c r="H385" s="183">
        <v>1</v>
      </c>
      <c r="I385" s="98">
        <v>0</v>
      </c>
      <c r="J385" s="98">
        <v>0</v>
      </c>
      <c r="K385" s="101">
        <f t="shared" si="355"/>
        <v>0</v>
      </c>
      <c r="L385" s="100">
        <v>0</v>
      </c>
      <c r="M385" s="98">
        <v>0</v>
      </c>
      <c r="N385" s="101">
        <f t="shared" si="356"/>
        <v>0</v>
      </c>
      <c r="O385" s="100">
        <v>0</v>
      </c>
      <c r="P385" s="98">
        <v>0</v>
      </c>
      <c r="Q385" s="101">
        <f t="shared" si="357"/>
        <v>0</v>
      </c>
      <c r="R385" s="100">
        <v>0</v>
      </c>
      <c r="S385" s="98">
        <v>0</v>
      </c>
      <c r="T385" s="101">
        <f t="shared" si="358"/>
        <v>0</v>
      </c>
      <c r="U385" s="183">
        <v>1</v>
      </c>
      <c r="V385" s="99">
        <v>1</v>
      </c>
      <c r="W385" s="98">
        <v>0</v>
      </c>
      <c r="X385" s="98">
        <v>0</v>
      </c>
      <c r="Y385" s="101">
        <f t="shared" si="361"/>
        <v>0</v>
      </c>
      <c r="Z385" s="101">
        <v>1</v>
      </c>
      <c r="AA385" s="183">
        <v>0</v>
      </c>
      <c r="AB385" s="99">
        <v>1</v>
      </c>
      <c r="AC385" s="98">
        <v>0</v>
      </c>
      <c r="AD385" s="98">
        <v>0</v>
      </c>
      <c r="AE385" s="101">
        <f t="shared" si="359"/>
        <v>0</v>
      </c>
      <c r="AF385" s="100">
        <v>0</v>
      </c>
      <c r="AG385" s="98">
        <v>0</v>
      </c>
      <c r="AH385" s="99">
        <f t="shared" si="360"/>
        <v>0</v>
      </c>
      <c r="AI385" s="101">
        <v>1</v>
      </c>
      <c r="AJ385" s="106"/>
    </row>
    <row r="386" spans="2:36" s="35" customFormat="1" ht="17.100000000000001" customHeight="1">
      <c r="B386" s="105"/>
      <c r="C386" s="54"/>
      <c r="D386" s="96"/>
      <c r="E386" s="111"/>
      <c r="F386" s="112"/>
      <c r="G386" s="113"/>
      <c r="H386" s="183">
        <v>1</v>
      </c>
      <c r="I386" s="98">
        <v>0</v>
      </c>
      <c r="J386" s="98">
        <v>0</v>
      </c>
      <c r="K386" s="101">
        <f t="shared" si="355"/>
        <v>0</v>
      </c>
      <c r="L386" s="100">
        <v>0</v>
      </c>
      <c r="M386" s="98">
        <v>0</v>
      </c>
      <c r="N386" s="101">
        <f t="shared" si="356"/>
        <v>0</v>
      </c>
      <c r="O386" s="100">
        <v>0</v>
      </c>
      <c r="P386" s="98">
        <v>0</v>
      </c>
      <c r="Q386" s="101">
        <f t="shared" si="357"/>
        <v>0</v>
      </c>
      <c r="R386" s="100">
        <v>0</v>
      </c>
      <c r="S386" s="98">
        <v>0</v>
      </c>
      <c r="T386" s="101">
        <f t="shared" si="358"/>
        <v>0</v>
      </c>
      <c r="U386" s="183">
        <v>1</v>
      </c>
      <c r="V386" s="99">
        <v>1</v>
      </c>
      <c r="W386" s="98">
        <v>0</v>
      </c>
      <c r="X386" s="98">
        <v>0</v>
      </c>
      <c r="Y386" s="101">
        <f t="shared" si="361"/>
        <v>0</v>
      </c>
      <c r="Z386" s="101">
        <v>1</v>
      </c>
      <c r="AA386" s="183">
        <v>0</v>
      </c>
      <c r="AB386" s="99">
        <v>1</v>
      </c>
      <c r="AC386" s="98">
        <v>0</v>
      </c>
      <c r="AD386" s="98">
        <v>0</v>
      </c>
      <c r="AE386" s="101">
        <f t="shared" si="359"/>
        <v>0</v>
      </c>
      <c r="AF386" s="100">
        <v>0</v>
      </c>
      <c r="AG386" s="98">
        <v>0</v>
      </c>
      <c r="AH386" s="99">
        <f t="shared" si="360"/>
        <v>0</v>
      </c>
      <c r="AI386" s="101">
        <v>1</v>
      </c>
      <c r="AJ386" s="106"/>
    </row>
    <row r="387" spans="2:36" s="35" customFormat="1" ht="17.100000000000001" customHeight="1">
      <c r="B387" s="105"/>
      <c r="C387" s="54"/>
      <c r="D387" s="96"/>
      <c r="E387" s="111"/>
      <c r="F387" s="112"/>
      <c r="G387" s="113"/>
      <c r="H387" s="183">
        <v>1</v>
      </c>
      <c r="I387" s="98">
        <v>0</v>
      </c>
      <c r="J387" s="98">
        <v>0</v>
      </c>
      <c r="K387" s="101">
        <f t="shared" si="355"/>
        <v>0</v>
      </c>
      <c r="L387" s="100">
        <v>0</v>
      </c>
      <c r="M387" s="98">
        <v>0</v>
      </c>
      <c r="N387" s="101">
        <f t="shared" si="356"/>
        <v>0</v>
      </c>
      <c r="O387" s="100">
        <v>0</v>
      </c>
      <c r="P387" s="98">
        <v>0</v>
      </c>
      <c r="Q387" s="101">
        <f t="shared" si="357"/>
        <v>0</v>
      </c>
      <c r="R387" s="100">
        <v>0</v>
      </c>
      <c r="S387" s="98">
        <v>0</v>
      </c>
      <c r="T387" s="101">
        <f t="shared" si="358"/>
        <v>0</v>
      </c>
      <c r="U387" s="183">
        <v>1</v>
      </c>
      <c r="V387" s="99">
        <v>1</v>
      </c>
      <c r="W387" s="98">
        <v>0</v>
      </c>
      <c r="X387" s="98">
        <v>0</v>
      </c>
      <c r="Y387" s="101">
        <f t="shared" si="361"/>
        <v>0</v>
      </c>
      <c r="Z387" s="101">
        <v>1</v>
      </c>
      <c r="AA387" s="183">
        <v>0</v>
      </c>
      <c r="AB387" s="99">
        <v>1</v>
      </c>
      <c r="AC387" s="98">
        <v>0</v>
      </c>
      <c r="AD387" s="98">
        <v>0</v>
      </c>
      <c r="AE387" s="101">
        <f t="shared" si="359"/>
        <v>0</v>
      </c>
      <c r="AF387" s="100">
        <v>0</v>
      </c>
      <c r="AG387" s="98">
        <v>0</v>
      </c>
      <c r="AH387" s="99">
        <f t="shared" si="360"/>
        <v>0</v>
      </c>
      <c r="AI387" s="101">
        <v>1</v>
      </c>
      <c r="AJ387" s="106"/>
    </row>
    <row r="388" spans="2:36" s="126" customFormat="1" ht="17.100000000000001" customHeight="1">
      <c r="B388" s="118"/>
      <c r="C388" s="119"/>
      <c r="D388" s="120"/>
      <c r="E388" s="121"/>
      <c r="F388" s="122"/>
      <c r="G388" s="123"/>
      <c r="H388" s="183">
        <v>1</v>
      </c>
      <c r="I388" s="363" t="s">
        <v>201</v>
      </c>
      <c r="J388" s="363"/>
      <c r="K388" s="124">
        <f>SUM(K381:K387)</f>
        <v>0</v>
      </c>
      <c r="L388" s="341" t="s">
        <v>201</v>
      </c>
      <c r="M388" s="342"/>
      <c r="N388" s="124">
        <f>SUM(N381:N387)</f>
        <v>0</v>
      </c>
      <c r="O388" s="341" t="s">
        <v>201</v>
      </c>
      <c r="P388" s="342"/>
      <c r="Q388" s="124">
        <f>SUM(Q381:Q387)</f>
        <v>0</v>
      </c>
      <c r="R388" s="341" t="s">
        <v>201</v>
      </c>
      <c r="S388" s="342"/>
      <c r="T388" s="124">
        <f>SUM(T381:T387)</f>
        <v>0</v>
      </c>
      <c r="U388" s="183">
        <v>1</v>
      </c>
      <c r="V388" s="99">
        <v>1</v>
      </c>
      <c r="W388" s="363" t="s">
        <v>201</v>
      </c>
      <c r="X388" s="363"/>
      <c r="Y388" s="124">
        <f>SUM(Y381:Y387)</f>
        <v>300</v>
      </c>
      <c r="Z388" s="101">
        <v>1</v>
      </c>
      <c r="AA388" s="183">
        <v>0</v>
      </c>
      <c r="AB388" s="99">
        <v>1</v>
      </c>
      <c r="AC388" s="363" t="s">
        <v>201</v>
      </c>
      <c r="AD388" s="363"/>
      <c r="AE388" s="124">
        <f>SUM(AE381:AE387)</f>
        <v>0</v>
      </c>
      <c r="AF388" s="364" t="s">
        <v>201</v>
      </c>
      <c r="AG388" s="363"/>
      <c r="AH388" s="143">
        <f>SUM(AH381:AH387)</f>
        <v>0</v>
      </c>
      <c r="AI388" s="101">
        <v>1</v>
      </c>
      <c r="AJ388" s="125"/>
    </row>
    <row r="389" spans="2:36" s="35" customFormat="1" ht="16.95" customHeight="1">
      <c r="B389" s="105"/>
      <c r="C389" s="54">
        <f>'3. Rekap Back Up Non Aspal '!C69</f>
        <v>7300</v>
      </c>
      <c r="D389" s="96">
        <f>'3. Rekap Back Up Non Aspal '!D69</f>
        <v>7400</v>
      </c>
      <c r="E389" s="111">
        <f>'3. Rekap Back Up Non Aspal '!E69</f>
        <v>4</v>
      </c>
      <c r="F389" s="112">
        <f>(100/((D389-C389)*E389))*((K396*0.05)+(N396*0.05)+(Q396*0.05)+(T396)+(Y396)+(AE396*1.5)+(AH396*1))</f>
        <v>0</v>
      </c>
      <c r="G389" s="113" t="str">
        <f>IF(F389&lt;=25,"RB",IF(F389&lt;=75,"RB",IF(F389&lt;=100,"RB","RB")))</f>
        <v>RB</v>
      </c>
      <c r="H389" s="183">
        <v>1</v>
      </c>
      <c r="I389" s="98">
        <v>0</v>
      </c>
      <c r="J389" s="98">
        <v>0</v>
      </c>
      <c r="K389" s="101">
        <f t="shared" ref="K389:K395" si="362">I389*J389</f>
        <v>0</v>
      </c>
      <c r="L389" s="98">
        <v>0</v>
      </c>
      <c r="M389" s="98">
        <v>0</v>
      </c>
      <c r="N389" s="101">
        <f t="shared" ref="N389:N395" si="363">L389*M389</f>
        <v>0</v>
      </c>
      <c r="O389" s="98">
        <v>0</v>
      </c>
      <c r="P389" s="98">
        <v>0</v>
      </c>
      <c r="Q389" s="101">
        <f t="shared" ref="Q389:Q395" si="364">O389*P389</f>
        <v>0</v>
      </c>
      <c r="R389" s="98">
        <v>0</v>
      </c>
      <c r="S389" s="98">
        <v>0</v>
      </c>
      <c r="T389" s="101">
        <f t="shared" ref="T389:T395" si="365">R389*S389</f>
        <v>0</v>
      </c>
      <c r="U389" s="183">
        <v>1</v>
      </c>
      <c r="V389" s="99">
        <v>1</v>
      </c>
      <c r="W389" s="98">
        <v>0</v>
      </c>
      <c r="X389" s="98">
        <v>0</v>
      </c>
      <c r="Y389" s="101">
        <f>W389*X389</f>
        <v>0</v>
      </c>
      <c r="Z389" s="101">
        <v>1</v>
      </c>
      <c r="AA389" s="183">
        <v>0</v>
      </c>
      <c r="AB389" s="99">
        <v>1</v>
      </c>
      <c r="AC389" s="98">
        <v>0</v>
      </c>
      <c r="AD389" s="98">
        <v>0</v>
      </c>
      <c r="AE389" s="101">
        <f t="shared" ref="AE389:AE395" si="366">AC389*AD389</f>
        <v>0</v>
      </c>
      <c r="AF389" s="98">
        <v>0</v>
      </c>
      <c r="AG389" s="98">
        <v>3</v>
      </c>
      <c r="AH389" s="99">
        <f t="shared" ref="AH389:AH395" si="367">AF389*AG389</f>
        <v>0</v>
      </c>
      <c r="AI389" s="101">
        <v>1</v>
      </c>
      <c r="AJ389" s="106"/>
    </row>
    <row r="390" spans="2:36" s="35" customFormat="1" ht="17.100000000000001" customHeight="1">
      <c r="B390" s="105"/>
      <c r="C390" s="54"/>
      <c r="D390" s="96"/>
      <c r="E390" s="111"/>
      <c r="F390" s="112"/>
      <c r="G390" s="113"/>
      <c r="H390" s="183">
        <v>1</v>
      </c>
      <c r="I390" s="98">
        <v>0</v>
      </c>
      <c r="J390" s="98">
        <v>0</v>
      </c>
      <c r="K390" s="101">
        <f t="shared" si="362"/>
        <v>0</v>
      </c>
      <c r="L390" s="100">
        <v>0</v>
      </c>
      <c r="M390" s="98">
        <v>0</v>
      </c>
      <c r="N390" s="101">
        <f t="shared" si="363"/>
        <v>0</v>
      </c>
      <c r="O390" s="100">
        <v>0</v>
      </c>
      <c r="P390" s="98">
        <v>0</v>
      </c>
      <c r="Q390" s="101">
        <f t="shared" si="364"/>
        <v>0</v>
      </c>
      <c r="R390" s="100">
        <v>0</v>
      </c>
      <c r="S390" s="98">
        <v>0</v>
      </c>
      <c r="T390" s="101">
        <f t="shared" si="365"/>
        <v>0</v>
      </c>
      <c r="U390" s="183">
        <v>1</v>
      </c>
      <c r="V390" s="99">
        <v>1</v>
      </c>
      <c r="W390" s="98">
        <v>0</v>
      </c>
      <c r="X390" s="98">
        <v>0</v>
      </c>
      <c r="Y390" s="101">
        <f t="shared" ref="Y390:Y395" si="368">W390*X390</f>
        <v>0</v>
      </c>
      <c r="Z390" s="101">
        <v>1</v>
      </c>
      <c r="AA390" s="183">
        <v>0</v>
      </c>
      <c r="AB390" s="99">
        <v>1</v>
      </c>
      <c r="AC390" s="98">
        <v>0</v>
      </c>
      <c r="AD390" s="98">
        <v>0</v>
      </c>
      <c r="AE390" s="101">
        <f t="shared" si="366"/>
        <v>0</v>
      </c>
      <c r="AF390" s="100">
        <v>0</v>
      </c>
      <c r="AG390" s="98">
        <v>0</v>
      </c>
      <c r="AH390" s="99">
        <f t="shared" si="367"/>
        <v>0</v>
      </c>
      <c r="AI390" s="101">
        <v>1</v>
      </c>
      <c r="AJ390" s="106"/>
    </row>
    <row r="391" spans="2:36" s="35" customFormat="1" ht="17.100000000000001" customHeight="1">
      <c r="B391" s="105"/>
      <c r="C391" s="54"/>
      <c r="D391" s="96"/>
      <c r="E391" s="111"/>
      <c r="F391" s="112"/>
      <c r="G391" s="113"/>
      <c r="H391" s="183">
        <v>1</v>
      </c>
      <c r="I391" s="98">
        <v>0</v>
      </c>
      <c r="J391" s="98">
        <v>0</v>
      </c>
      <c r="K391" s="101">
        <f t="shared" si="362"/>
        <v>0</v>
      </c>
      <c r="L391" s="100">
        <v>0</v>
      </c>
      <c r="M391" s="98">
        <v>0</v>
      </c>
      <c r="N391" s="101">
        <f t="shared" si="363"/>
        <v>0</v>
      </c>
      <c r="O391" s="100">
        <v>0</v>
      </c>
      <c r="P391" s="98">
        <v>0</v>
      </c>
      <c r="Q391" s="101">
        <f t="shared" si="364"/>
        <v>0</v>
      </c>
      <c r="R391" s="100">
        <v>0</v>
      </c>
      <c r="S391" s="98">
        <v>0</v>
      </c>
      <c r="T391" s="101">
        <f t="shared" si="365"/>
        <v>0</v>
      </c>
      <c r="U391" s="183">
        <v>1</v>
      </c>
      <c r="V391" s="99">
        <v>1</v>
      </c>
      <c r="W391" s="98">
        <v>0</v>
      </c>
      <c r="X391" s="98">
        <v>0</v>
      </c>
      <c r="Y391" s="101">
        <f t="shared" si="368"/>
        <v>0</v>
      </c>
      <c r="Z391" s="101">
        <v>1</v>
      </c>
      <c r="AA391" s="183">
        <v>0</v>
      </c>
      <c r="AB391" s="99">
        <v>1</v>
      </c>
      <c r="AC391" s="98">
        <v>0</v>
      </c>
      <c r="AD391" s="98">
        <v>0</v>
      </c>
      <c r="AE391" s="101">
        <f t="shared" si="366"/>
        <v>0</v>
      </c>
      <c r="AF391" s="100">
        <v>0</v>
      </c>
      <c r="AG391" s="98">
        <v>0</v>
      </c>
      <c r="AH391" s="99">
        <f t="shared" si="367"/>
        <v>0</v>
      </c>
      <c r="AI391" s="101">
        <v>1</v>
      </c>
      <c r="AJ391" s="106"/>
    </row>
    <row r="392" spans="2:36" s="35" customFormat="1" ht="17.100000000000001" customHeight="1">
      <c r="B392" s="105"/>
      <c r="C392" s="54"/>
      <c r="D392" s="96"/>
      <c r="E392" s="111"/>
      <c r="F392" s="112"/>
      <c r="G392" s="113"/>
      <c r="H392" s="183">
        <v>1</v>
      </c>
      <c r="I392" s="98">
        <v>0</v>
      </c>
      <c r="J392" s="98">
        <v>0</v>
      </c>
      <c r="K392" s="101">
        <f t="shared" si="362"/>
        <v>0</v>
      </c>
      <c r="L392" s="100">
        <v>0</v>
      </c>
      <c r="M392" s="98">
        <v>0</v>
      </c>
      <c r="N392" s="101">
        <f t="shared" si="363"/>
        <v>0</v>
      </c>
      <c r="O392" s="100">
        <v>0</v>
      </c>
      <c r="P392" s="98">
        <v>0</v>
      </c>
      <c r="Q392" s="101">
        <f t="shared" si="364"/>
        <v>0</v>
      </c>
      <c r="R392" s="100">
        <v>0</v>
      </c>
      <c r="S392" s="98">
        <v>0</v>
      </c>
      <c r="T392" s="101">
        <f t="shared" si="365"/>
        <v>0</v>
      </c>
      <c r="U392" s="183">
        <v>1</v>
      </c>
      <c r="V392" s="99">
        <v>1</v>
      </c>
      <c r="W392" s="98">
        <v>0</v>
      </c>
      <c r="X392" s="98">
        <v>0</v>
      </c>
      <c r="Y392" s="101">
        <f t="shared" si="368"/>
        <v>0</v>
      </c>
      <c r="Z392" s="101">
        <v>1</v>
      </c>
      <c r="AA392" s="183">
        <v>0</v>
      </c>
      <c r="AB392" s="99">
        <v>1</v>
      </c>
      <c r="AC392" s="98">
        <v>0</v>
      </c>
      <c r="AD392" s="98">
        <v>0</v>
      </c>
      <c r="AE392" s="101">
        <f t="shared" si="366"/>
        <v>0</v>
      </c>
      <c r="AF392" s="100">
        <v>0</v>
      </c>
      <c r="AG392" s="98">
        <v>0</v>
      </c>
      <c r="AH392" s="99">
        <f t="shared" si="367"/>
        <v>0</v>
      </c>
      <c r="AI392" s="101">
        <v>1</v>
      </c>
      <c r="AJ392" s="106"/>
    </row>
    <row r="393" spans="2:36" s="35" customFormat="1" ht="17.100000000000001" customHeight="1">
      <c r="B393" s="105"/>
      <c r="C393" s="54"/>
      <c r="D393" s="96"/>
      <c r="E393" s="111"/>
      <c r="F393" s="112"/>
      <c r="G393" s="113"/>
      <c r="H393" s="183">
        <v>1</v>
      </c>
      <c r="I393" s="98">
        <v>0</v>
      </c>
      <c r="J393" s="98">
        <v>0</v>
      </c>
      <c r="K393" s="101">
        <f t="shared" si="362"/>
        <v>0</v>
      </c>
      <c r="L393" s="100">
        <v>0</v>
      </c>
      <c r="M393" s="98">
        <v>0</v>
      </c>
      <c r="N393" s="101">
        <f t="shared" si="363"/>
        <v>0</v>
      </c>
      <c r="O393" s="100">
        <v>0</v>
      </c>
      <c r="P393" s="98">
        <v>0</v>
      </c>
      <c r="Q393" s="101">
        <f t="shared" si="364"/>
        <v>0</v>
      </c>
      <c r="R393" s="100">
        <v>0</v>
      </c>
      <c r="S393" s="98">
        <v>0</v>
      </c>
      <c r="T393" s="101">
        <f t="shared" si="365"/>
        <v>0</v>
      </c>
      <c r="U393" s="183">
        <v>1</v>
      </c>
      <c r="V393" s="99">
        <v>1</v>
      </c>
      <c r="W393" s="98">
        <v>0</v>
      </c>
      <c r="X393" s="98">
        <v>0</v>
      </c>
      <c r="Y393" s="101">
        <f t="shared" si="368"/>
        <v>0</v>
      </c>
      <c r="Z393" s="101">
        <v>1</v>
      </c>
      <c r="AA393" s="183">
        <v>0</v>
      </c>
      <c r="AB393" s="99">
        <v>1</v>
      </c>
      <c r="AC393" s="98">
        <v>0</v>
      </c>
      <c r="AD393" s="98">
        <v>0</v>
      </c>
      <c r="AE393" s="101">
        <f t="shared" si="366"/>
        <v>0</v>
      </c>
      <c r="AF393" s="100">
        <v>0</v>
      </c>
      <c r="AG393" s="98">
        <v>0</v>
      </c>
      <c r="AH393" s="99">
        <f t="shared" si="367"/>
        <v>0</v>
      </c>
      <c r="AI393" s="101">
        <v>1</v>
      </c>
      <c r="AJ393" s="106"/>
    </row>
    <row r="394" spans="2:36" s="35" customFormat="1" ht="17.100000000000001" customHeight="1">
      <c r="B394" s="105"/>
      <c r="C394" s="54"/>
      <c r="D394" s="96"/>
      <c r="E394" s="111"/>
      <c r="F394" s="112"/>
      <c r="G394" s="113"/>
      <c r="H394" s="183">
        <v>1</v>
      </c>
      <c r="I394" s="98">
        <v>0</v>
      </c>
      <c r="J394" s="98">
        <v>0</v>
      </c>
      <c r="K394" s="101">
        <f t="shared" si="362"/>
        <v>0</v>
      </c>
      <c r="L394" s="100">
        <v>0</v>
      </c>
      <c r="M394" s="98">
        <v>0</v>
      </c>
      <c r="N394" s="101">
        <f t="shared" si="363"/>
        <v>0</v>
      </c>
      <c r="O394" s="100">
        <v>0</v>
      </c>
      <c r="P394" s="98">
        <v>0</v>
      </c>
      <c r="Q394" s="101">
        <f t="shared" si="364"/>
        <v>0</v>
      </c>
      <c r="R394" s="100">
        <v>0</v>
      </c>
      <c r="S394" s="98">
        <v>0</v>
      </c>
      <c r="T394" s="101">
        <f t="shared" si="365"/>
        <v>0</v>
      </c>
      <c r="U394" s="183">
        <v>1</v>
      </c>
      <c r="V394" s="99">
        <v>1</v>
      </c>
      <c r="W394" s="98">
        <v>0</v>
      </c>
      <c r="X394" s="98">
        <v>0</v>
      </c>
      <c r="Y394" s="101">
        <f t="shared" si="368"/>
        <v>0</v>
      </c>
      <c r="Z394" s="101">
        <v>1</v>
      </c>
      <c r="AA394" s="183">
        <v>0</v>
      </c>
      <c r="AB394" s="99">
        <v>1</v>
      </c>
      <c r="AC394" s="98">
        <v>0</v>
      </c>
      <c r="AD394" s="98">
        <v>0</v>
      </c>
      <c r="AE394" s="101">
        <f t="shared" si="366"/>
        <v>0</v>
      </c>
      <c r="AF394" s="100">
        <v>0</v>
      </c>
      <c r="AG394" s="98">
        <v>0</v>
      </c>
      <c r="AH394" s="99">
        <f t="shared" si="367"/>
        <v>0</v>
      </c>
      <c r="AI394" s="101">
        <v>1</v>
      </c>
      <c r="AJ394" s="106"/>
    </row>
    <row r="395" spans="2:36" s="35" customFormat="1" ht="17.100000000000001" customHeight="1">
      <c r="B395" s="105"/>
      <c r="C395" s="54"/>
      <c r="D395" s="96"/>
      <c r="E395" s="111"/>
      <c r="F395" s="112"/>
      <c r="G395" s="113"/>
      <c r="H395" s="183">
        <v>1</v>
      </c>
      <c r="I395" s="98">
        <v>0</v>
      </c>
      <c r="J395" s="98">
        <v>0</v>
      </c>
      <c r="K395" s="101">
        <f t="shared" si="362"/>
        <v>0</v>
      </c>
      <c r="L395" s="100">
        <v>0</v>
      </c>
      <c r="M395" s="98">
        <v>0</v>
      </c>
      <c r="N395" s="101">
        <f t="shared" si="363"/>
        <v>0</v>
      </c>
      <c r="O395" s="100">
        <v>0</v>
      </c>
      <c r="P395" s="98">
        <v>0</v>
      </c>
      <c r="Q395" s="101">
        <f t="shared" si="364"/>
        <v>0</v>
      </c>
      <c r="R395" s="100">
        <v>0</v>
      </c>
      <c r="S395" s="98">
        <v>0</v>
      </c>
      <c r="T395" s="101">
        <f t="shared" si="365"/>
        <v>0</v>
      </c>
      <c r="U395" s="183">
        <v>1</v>
      </c>
      <c r="V395" s="99">
        <v>1</v>
      </c>
      <c r="W395" s="98">
        <v>0</v>
      </c>
      <c r="X395" s="98">
        <v>0</v>
      </c>
      <c r="Y395" s="101">
        <f t="shared" si="368"/>
        <v>0</v>
      </c>
      <c r="Z395" s="101">
        <v>1</v>
      </c>
      <c r="AA395" s="183">
        <v>0</v>
      </c>
      <c r="AB395" s="99">
        <v>1</v>
      </c>
      <c r="AC395" s="98">
        <v>0</v>
      </c>
      <c r="AD395" s="98">
        <v>0</v>
      </c>
      <c r="AE395" s="101">
        <f t="shared" si="366"/>
        <v>0</v>
      </c>
      <c r="AF395" s="100">
        <v>0</v>
      </c>
      <c r="AG395" s="98">
        <v>0</v>
      </c>
      <c r="AH395" s="99">
        <f t="shared" si="367"/>
        <v>0</v>
      </c>
      <c r="AI395" s="101">
        <v>1</v>
      </c>
      <c r="AJ395" s="106"/>
    </row>
    <row r="396" spans="2:36" s="126" customFormat="1" ht="17.100000000000001" customHeight="1">
      <c r="B396" s="118"/>
      <c r="C396" s="119"/>
      <c r="D396" s="120"/>
      <c r="E396" s="121"/>
      <c r="F396" s="122"/>
      <c r="G396" s="123"/>
      <c r="H396" s="183">
        <v>1</v>
      </c>
      <c r="I396" s="363" t="s">
        <v>201</v>
      </c>
      <c r="J396" s="363"/>
      <c r="K396" s="124">
        <f>SUM(K389:K395)</f>
        <v>0</v>
      </c>
      <c r="L396" s="341" t="s">
        <v>201</v>
      </c>
      <c r="M396" s="342"/>
      <c r="N396" s="124">
        <f>SUM(N389:N395)</f>
        <v>0</v>
      </c>
      <c r="O396" s="341" t="s">
        <v>201</v>
      </c>
      <c r="P396" s="342"/>
      <c r="Q396" s="124">
        <f>SUM(Q389:Q395)</f>
        <v>0</v>
      </c>
      <c r="R396" s="341" t="s">
        <v>201</v>
      </c>
      <c r="S396" s="342"/>
      <c r="T396" s="124">
        <f>SUM(T389:T395)</f>
        <v>0</v>
      </c>
      <c r="U396" s="183">
        <v>1</v>
      </c>
      <c r="V396" s="99">
        <v>1</v>
      </c>
      <c r="W396" s="363" t="s">
        <v>201</v>
      </c>
      <c r="X396" s="363"/>
      <c r="Y396" s="124">
        <f>SUM(Y389:Y395)</f>
        <v>0</v>
      </c>
      <c r="Z396" s="101">
        <v>1</v>
      </c>
      <c r="AA396" s="183">
        <v>0</v>
      </c>
      <c r="AB396" s="99">
        <v>1</v>
      </c>
      <c r="AC396" s="363" t="s">
        <v>201</v>
      </c>
      <c r="AD396" s="363"/>
      <c r="AE396" s="124">
        <f>SUM(AE389:AE395)</f>
        <v>0</v>
      </c>
      <c r="AF396" s="364" t="s">
        <v>201</v>
      </c>
      <c r="AG396" s="363"/>
      <c r="AH396" s="143">
        <f>SUM(AH389:AH395)</f>
        <v>0</v>
      </c>
      <c r="AI396" s="101">
        <v>1</v>
      </c>
      <c r="AJ396" s="125"/>
    </row>
    <row r="397" spans="2:36" s="35" customFormat="1" ht="16.95" customHeight="1">
      <c r="B397" s="105"/>
      <c r="C397" s="54">
        <f>'3. Rekap Back Up Non Aspal '!C70</f>
        <v>7400</v>
      </c>
      <c r="D397" s="96">
        <f>'3. Rekap Back Up Non Aspal '!D70</f>
        <v>7500</v>
      </c>
      <c r="E397" s="111">
        <f>'3. Rekap Back Up Non Aspal '!E70</f>
        <v>4</v>
      </c>
      <c r="F397" s="112">
        <f>(100/((D397-C397)*E397))*((K404*0.05)+(N404*0.05)+(Q404*0.05)+(T404)+(Y404)+(AE404*1.5)+(AH404*1))</f>
        <v>75</v>
      </c>
      <c r="G397" s="113" t="str">
        <f>IF(F397&lt;=25,"RB",IF(F397&lt;=75,"RB",IF(F397&lt;=100,"RB","RB")))</f>
        <v>RB</v>
      </c>
      <c r="H397" s="183">
        <v>1</v>
      </c>
      <c r="I397" s="98">
        <v>0</v>
      </c>
      <c r="J397" s="98">
        <v>0</v>
      </c>
      <c r="K397" s="101">
        <f t="shared" ref="K397:K403" si="369">I397*J397</f>
        <v>0</v>
      </c>
      <c r="L397" s="98">
        <v>0</v>
      </c>
      <c r="M397" s="98">
        <v>0</v>
      </c>
      <c r="N397" s="101">
        <f t="shared" ref="N397:N403" si="370">L397*M397</f>
        <v>0</v>
      </c>
      <c r="O397" s="98">
        <v>0</v>
      </c>
      <c r="P397" s="98">
        <v>0</v>
      </c>
      <c r="Q397" s="101">
        <f t="shared" ref="Q397:Q403" si="371">O397*P397</f>
        <v>0</v>
      </c>
      <c r="R397" s="98">
        <v>0</v>
      </c>
      <c r="S397" s="98">
        <v>0</v>
      </c>
      <c r="T397" s="101">
        <f t="shared" ref="T397:T403" si="372">R397*S397</f>
        <v>0</v>
      </c>
      <c r="U397" s="183">
        <v>3</v>
      </c>
      <c r="V397" s="99">
        <v>2</v>
      </c>
      <c r="W397" s="98">
        <v>100</v>
      </c>
      <c r="X397" s="98">
        <v>3</v>
      </c>
      <c r="Y397" s="101">
        <f>W397*X397</f>
        <v>300</v>
      </c>
      <c r="Z397" s="101">
        <v>1</v>
      </c>
      <c r="AA397" s="183">
        <v>0</v>
      </c>
      <c r="AB397" s="99">
        <v>1</v>
      </c>
      <c r="AC397" s="98">
        <v>0</v>
      </c>
      <c r="AD397" s="98">
        <v>0</v>
      </c>
      <c r="AE397" s="101">
        <f t="shared" ref="AE397:AE403" si="373">AC397*AD397</f>
        <v>0</v>
      </c>
      <c r="AF397" s="98">
        <v>0</v>
      </c>
      <c r="AG397" s="98">
        <v>3</v>
      </c>
      <c r="AH397" s="99">
        <f t="shared" ref="AH397:AH403" si="374">AF397*AG397</f>
        <v>0</v>
      </c>
      <c r="AI397" s="101">
        <v>1</v>
      </c>
      <c r="AJ397" s="106"/>
    </row>
    <row r="398" spans="2:36" s="35" customFormat="1" ht="17.100000000000001" customHeight="1">
      <c r="B398" s="105"/>
      <c r="C398" s="54"/>
      <c r="D398" s="96"/>
      <c r="E398" s="111"/>
      <c r="F398" s="112"/>
      <c r="G398" s="113"/>
      <c r="H398" s="183">
        <v>1</v>
      </c>
      <c r="I398" s="98">
        <v>0</v>
      </c>
      <c r="J398" s="98">
        <v>0</v>
      </c>
      <c r="K398" s="101">
        <f t="shared" si="369"/>
        <v>0</v>
      </c>
      <c r="L398" s="100">
        <v>0</v>
      </c>
      <c r="M398" s="98">
        <v>0</v>
      </c>
      <c r="N398" s="101">
        <f t="shared" si="370"/>
        <v>0</v>
      </c>
      <c r="O398" s="100">
        <v>0</v>
      </c>
      <c r="P398" s="98">
        <v>0</v>
      </c>
      <c r="Q398" s="101">
        <f t="shared" si="371"/>
        <v>0</v>
      </c>
      <c r="R398" s="100">
        <v>0</v>
      </c>
      <c r="S398" s="98">
        <v>0</v>
      </c>
      <c r="T398" s="101">
        <f t="shared" si="372"/>
        <v>0</v>
      </c>
      <c r="U398" s="183">
        <v>1</v>
      </c>
      <c r="V398" s="99">
        <v>1</v>
      </c>
      <c r="W398" s="98">
        <v>0</v>
      </c>
      <c r="X398" s="98">
        <v>0</v>
      </c>
      <c r="Y398" s="101">
        <f t="shared" ref="Y398:Y403" si="375">W398*X398</f>
        <v>0</v>
      </c>
      <c r="Z398" s="101">
        <v>1</v>
      </c>
      <c r="AA398" s="183">
        <v>0</v>
      </c>
      <c r="AB398" s="99">
        <v>1</v>
      </c>
      <c r="AC398" s="98">
        <v>0</v>
      </c>
      <c r="AD398" s="98">
        <v>0</v>
      </c>
      <c r="AE398" s="101">
        <f t="shared" si="373"/>
        <v>0</v>
      </c>
      <c r="AF398" s="100">
        <v>0</v>
      </c>
      <c r="AG398" s="98">
        <v>0</v>
      </c>
      <c r="AH398" s="99">
        <f t="shared" si="374"/>
        <v>0</v>
      </c>
      <c r="AI398" s="101">
        <v>1</v>
      </c>
      <c r="AJ398" s="106"/>
    </row>
    <row r="399" spans="2:36" s="35" customFormat="1" ht="17.100000000000001" customHeight="1">
      <c r="B399" s="105"/>
      <c r="C399" s="54"/>
      <c r="D399" s="96"/>
      <c r="E399" s="111"/>
      <c r="F399" s="112"/>
      <c r="G399" s="113"/>
      <c r="H399" s="183">
        <v>1</v>
      </c>
      <c r="I399" s="98">
        <v>0</v>
      </c>
      <c r="J399" s="98">
        <v>0</v>
      </c>
      <c r="K399" s="101">
        <f t="shared" si="369"/>
        <v>0</v>
      </c>
      <c r="L399" s="100">
        <v>0</v>
      </c>
      <c r="M399" s="98">
        <v>0</v>
      </c>
      <c r="N399" s="101">
        <f t="shared" si="370"/>
        <v>0</v>
      </c>
      <c r="O399" s="100">
        <v>0</v>
      </c>
      <c r="P399" s="98">
        <v>0</v>
      </c>
      <c r="Q399" s="101">
        <f t="shared" si="371"/>
        <v>0</v>
      </c>
      <c r="R399" s="100">
        <v>0</v>
      </c>
      <c r="S399" s="98">
        <v>0</v>
      </c>
      <c r="T399" s="101">
        <f t="shared" si="372"/>
        <v>0</v>
      </c>
      <c r="U399" s="183">
        <v>1</v>
      </c>
      <c r="V399" s="99">
        <v>1</v>
      </c>
      <c r="W399" s="98">
        <v>0</v>
      </c>
      <c r="X399" s="98">
        <v>0</v>
      </c>
      <c r="Y399" s="101">
        <f t="shared" si="375"/>
        <v>0</v>
      </c>
      <c r="Z399" s="101">
        <v>1</v>
      </c>
      <c r="AA399" s="183">
        <v>0</v>
      </c>
      <c r="AB399" s="99">
        <v>1</v>
      </c>
      <c r="AC399" s="98">
        <v>0</v>
      </c>
      <c r="AD399" s="98">
        <v>0</v>
      </c>
      <c r="AE399" s="101">
        <f t="shared" si="373"/>
        <v>0</v>
      </c>
      <c r="AF399" s="100">
        <v>0</v>
      </c>
      <c r="AG399" s="98">
        <v>0</v>
      </c>
      <c r="AH399" s="99">
        <f t="shared" si="374"/>
        <v>0</v>
      </c>
      <c r="AI399" s="101">
        <v>1</v>
      </c>
      <c r="AJ399" s="106"/>
    </row>
    <row r="400" spans="2:36" s="35" customFormat="1" ht="17.100000000000001" customHeight="1">
      <c r="B400" s="105"/>
      <c r="C400" s="54"/>
      <c r="D400" s="96"/>
      <c r="E400" s="111"/>
      <c r="F400" s="112"/>
      <c r="G400" s="113"/>
      <c r="H400" s="183">
        <v>1</v>
      </c>
      <c r="I400" s="98">
        <v>0</v>
      </c>
      <c r="J400" s="98">
        <v>0</v>
      </c>
      <c r="K400" s="101">
        <f t="shared" si="369"/>
        <v>0</v>
      </c>
      <c r="L400" s="100">
        <v>0</v>
      </c>
      <c r="M400" s="98">
        <v>0</v>
      </c>
      <c r="N400" s="101">
        <f t="shared" si="370"/>
        <v>0</v>
      </c>
      <c r="O400" s="100">
        <v>0</v>
      </c>
      <c r="P400" s="98">
        <v>0</v>
      </c>
      <c r="Q400" s="101">
        <f t="shared" si="371"/>
        <v>0</v>
      </c>
      <c r="R400" s="100">
        <v>0</v>
      </c>
      <c r="S400" s="98">
        <v>0</v>
      </c>
      <c r="T400" s="101">
        <f t="shared" si="372"/>
        <v>0</v>
      </c>
      <c r="U400" s="183">
        <v>1</v>
      </c>
      <c r="V400" s="99">
        <v>1</v>
      </c>
      <c r="W400" s="98">
        <v>0</v>
      </c>
      <c r="X400" s="98">
        <v>0</v>
      </c>
      <c r="Y400" s="101">
        <f t="shared" si="375"/>
        <v>0</v>
      </c>
      <c r="Z400" s="101">
        <v>1</v>
      </c>
      <c r="AA400" s="183">
        <v>0</v>
      </c>
      <c r="AB400" s="99">
        <v>1</v>
      </c>
      <c r="AC400" s="98">
        <v>0</v>
      </c>
      <c r="AD400" s="98">
        <v>0</v>
      </c>
      <c r="AE400" s="101">
        <f t="shared" si="373"/>
        <v>0</v>
      </c>
      <c r="AF400" s="100">
        <v>0</v>
      </c>
      <c r="AG400" s="98">
        <v>0</v>
      </c>
      <c r="AH400" s="99">
        <f t="shared" si="374"/>
        <v>0</v>
      </c>
      <c r="AI400" s="101">
        <v>1</v>
      </c>
      <c r="AJ400" s="106"/>
    </row>
    <row r="401" spans="2:36" s="35" customFormat="1" ht="17.100000000000001" customHeight="1">
      <c r="B401" s="105"/>
      <c r="C401" s="54"/>
      <c r="D401" s="96"/>
      <c r="E401" s="111"/>
      <c r="F401" s="112"/>
      <c r="G401" s="113"/>
      <c r="H401" s="183">
        <v>1</v>
      </c>
      <c r="I401" s="98">
        <v>0</v>
      </c>
      <c r="J401" s="98">
        <v>0</v>
      </c>
      <c r="K401" s="101">
        <f t="shared" si="369"/>
        <v>0</v>
      </c>
      <c r="L401" s="100">
        <v>0</v>
      </c>
      <c r="M401" s="98">
        <v>0</v>
      </c>
      <c r="N401" s="101">
        <f t="shared" si="370"/>
        <v>0</v>
      </c>
      <c r="O401" s="100">
        <v>0</v>
      </c>
      <c r="P401" s="98">
        <v>0</v>
      </c>
      <c r="Q401" s="101">
        <f t="shared" si="371"/>
        <v>0</v>
      </c>
      <c r="R401" s="100">
        <v>0</v>
      </c>
      <c r="S401" s="98">
        <v>0</v>
      </c>
      <c r="T401" s="101">
        <f t="shared" si="372"/>
        <v>0</v>
      </c>
      <c r="U401" s="183">
        <v>1</v>
      </c>
      <c r="V401" s="99">
        <v>1</v>
      </c>
      <c r="W401" s="98">
        <v>0</v>
      </c>
      <c r="X401" s="98">
        <v>0</v>
      </c>
      <c r="Y401" s="101">
        <f t="shared" si="375"/>
        <v>0</v>
      </c>
      <c r="Z401" s="101">
        <v>1</v>
      </c>
      <c r="AA401" s="183">
        <v>0</v>
      </c>
      <c r="AB401" s="99">
        <v>1</v>
      </c>
      <c r="AC401" s="98">
        <v>0</v>
      </c>
      <c r="AD401" s="98">
        <v>0</v>
      </c>
      <c r="AE401" s="101">
        <f t="shared" si="373"/>
        <v>0</v>
      </c>
      <c r="AF401" s="100">
        <v>0</v>
      </c>
      <c r="AG401" s="98">
        <v>0</v>
      </c>
      <c r="AH401" s="99">
        <f t="shared" si="374"/>
        <v>0</v>
      </c>
      <c r="AI401" s="101">
        <v>1</v>
      </c>
      <c r="AJ401" s="106"/>
    </row>
    <row r="402" spans="2:36" s="35" customFormat="1" ht="17.100000000000001" customHeight="1">
      <c r="B402" s="105"/>
      <c r="C402" s="54"/>
      <c r="D402" s="96"/>
      <c r="E402" s="111"/>
      <c r="F402" s="112"/>
      <c r="G402" s="113"/>
      <c r="H402" s="183">
        <v>1</v>
      </c>
      <c r="I402" s="98">
        <v>0</v>
      </c>
      <c r="J402" s="98">
        <v>0</v>
      </c>
      <c r="K402" s="101">
        <f t="shared" si="369"/>
        <v>0</v>
      </c>
      <c r="L402" s="100">
        <v>0</v>
      </c>
      <c r="M402" s="98">
        <v>0</v>
      </c>
      <c r="N402" s="101">
        <f t="shared" si="370"/>
        <v>0</v>
      </c>
      <c r="O402" s="100">
        <v>0</v>
      </c>
      <c r="P402" s="98">
        <v>0</v>
      </c>
      <c r="Q402" s="101">
        <f t="shared" si="371"/>
        <v>0</v>
      </c>
      <c r="R402" s="100">
        <v>0</v>
      </c>
      <c r="S402" s="98">
        <v>0</v>
      </c>
      <c r="T402" s="101">
        <f t="shared" si="372"/>
        <v>0</v>
      </c>
      <c r="U402" s="183">
        <v>1</v>
      </c>
      <c r="V402" s="99">
        <v>1</v>
      </c>
      <c r="W402" s="98">
        <v>0</v>
      </c>
      <c r="X402" s="98">
        <v>0</v>
      </c>
      <c r="Y402" s="101">
        <f t="shared" si="375"/>
        <v>0</v>
      </c>
      <c r="Z402" s="101">
        <v>1</v>
      </c>
      <c r="AA402" s="183">
        <v>0</v>
      </c>
      <c r="AB402" s="99">
        <v>1</v>
      </c>
      <c r="AC402" s="98">
        <v>0</v>
      </c>
      <c r="AD402" s="98">
        <v>0</v>
      </c>
      <c r="AE402" s="101">
        <f t="shared" si="373"/>
        <v>0</v>
      </c>
      <c r="AF402" s="100">
        <v>0</v>
      </c>
      <c r="AG402" s="98">
        <v>0</v>
      </c>
      <c r="AH402" s="99">
        <f t="shared" si="374"/>
        <v>0</v>
      </c>
      <c r="AI402" s="101">
        <v>1</v>
      </c>
      <c r="AJ402" s="106"/>
    </row>
    <row r="403" spans="2:36" s="35" customFormat="1" ht="17.100000000000001" customHeight="1">
      <c r="B403" s="105"/>
      <c r="C403" s="54"/>
      <c r="D403" s="96"/>
      <c r="E403" s="111"/>
      <c r="F403" s="112"/>
      <c r="G403" s="113"/>
      <c r="H403" s="183">
        <v>1</v>
      </c>
      <c r="I403" s="98">
        <v>0</v>
      </c>
      <c r="J403" s="98">
        <v>0</v>
      </c>
      <c r="K403" s="101">
        <f t="shared" si="369"/>
        <v>0</v>
      </c>
      <c r="L403" s="100">
        <v>0</v>
      </c>
      <c r="M403" s="98">
        <v>0</v>
      </c>
      <c r="N403" s="101">
        <f t="shared" si="370"/>
        <v>0</v>
      </c>
      <c r="O403" s="100">
        <v>0</v>
      </c>
      <c r="P403" s="98">
        <v>0</v>
      </c>
      <c r="Q403" s="101">
        <f t="shared" si="371"/>
        <v>0</v>
      </c>
      <c r="R403" s="100">
        <v>0</v>
      </c>
      <c r="S403" s="98">
        <v>0</v>
      </c>
      <c r="T403" s="101">
        <f t="shared" si="372"/>
        <v>0</v>
      </c>
      <c r="U403" s="183">
        <v>1</v>
      </c>
      <c r="V403" s="99">
        <v>1</v>
      </c>
      <c r="W403" s="98">
        <v>0</v>
      </c>
      <c r="X403" s="98">
        <v>0</v>
      </c>
      <c r="Y403" s="101">
        <f t="shared" si="375"/>
        <v>0</v>
      </c>
      <c r="Z403" s="101">
        <v>1</v>
      </c>
      <c r="AA403" s="183">
        <v>0</v>
      </c>
      <c r="AB403" s="99">
        <v>1</v>
      </c>
      <c r="AC403" s="98">
        <v>0</v>
      </c>
      <c r="AD403" s="98">
        <v>0</v>
      </c>
      <c r="AE403" s="101">
        <f t="shared" si="373"/>
        <v>0</v>
      </c>
      <c r="AF403" s="100">
        <v>0</v>
      </c>
      <c r="AG403" s="98">
        <v>0</v>
      </c>
      <c r="AH403" s="99">
        <f t="shared" si="374"/>
        <v>0</v>
      </c>
      <c r="AI403" s="101">
        <v>1</v>
      </c>
      <c r="AJ403" s="106"/>
    </row>
    <row r="404" spans="2:36" s="126" customFormat="1" ht="17.100000000000001" customHeight="1">
      <c r="B404" s="118"/>
      <c r="C404" s="119"/>
      <c r="D404" s="120"/>
      <c r="E404" s="121"/>
      <c r="F404" s="122"/>
      <c r="G404" s="123"/>
      <c r="H404" s="183">
        <v>1</v>
      </c>
      <c r="I404" s="363" t="s">
        <v>201</v>
      </c>
      <c r="J404" s="363"/>
      <c r="K404" s="124">
        <f>SUM(K397:K403)</f>
        <v>0</v>
      </c>
      <c r="L404" s="341" t="s">
        <v>201</v>
      </c>
      <c r="M404" s="342"/>
      <c r="N404" s="124">
        <f>SUM(N397:N403)</f>
        <v>0</v>
      </c>
      <c r="O404" s="341" t="s">
        <v>201</v>
      </c>
      <c r="P404" s="342"/>
      <c r="Q404" s="124">
        <f>SUM(Q397:Q403)</f>
        <v>0</v>
      </c>
      <c r="R404" s="341" t="s">
        <v>201</v>
      </c>
      <c r="S404" s="342"/>
      <c r="T404" s="124">
        <f>SUM(T397:T403)</f>
        <v>0</v>
      </c>
      <c r="U404" s="183">
        <v>1</v>
      </c>
      <c r="V404" s="99">
        <v>1</v>
      </c>
      <c r="W404" s="363" t="s">
        <v>201</v>
      </c>
      <c r="X404" s="363"/>
      <c r="Y404" s="124">
        <f>SUM(Y397:Y403)</f>
        <v>300</v>
      </c>
      <c r="Z404" s="101">
        <v>1</v>
      </c>
      <c r="AA404" s="183">
        <v>0</v>
      </c>
      <c r="AB404" s="99">
        <v>1</v>
      </c>
      <c r="AC404" s="363" t="s">
        <v>201</v>
      </c>
      <c r="AD404" s="363"/>
      <c r="AE404" s="124">
        <f>SUM(AE397:AE403)</f>
        <v>0</v>
      </c>
      <c r="AF404" s="364" t="s">
        <v>201</v>
      </c>
      <c r="AG404" s="363"/>
      <c r="AH404" s="143">
        <f>SUM(AH397:AH403)</f>
        <v>0</v>
      </c>
      <c r="AI404" s="101">
        <v>1</v>
      </c>
      <c r="AJ404" s="125"/>
    </row>
    <row r="405" spans="2:36" s="35" customFormat="1" ht="16.95" customHeight="1">
      <c r="B405" s="105"/>
      <c r="C405" s="54">
        <f>'3. Rekap Back Up Non Aspal '!C71</f>
        <v>7500</v>
      </c>
      <c r="D405" s="96">
        <f>'3. Rekap Back Up Non Aspal '!D71</f>
        <v>7600</v>
      </c>
      <c r="E405" s="111">
        <f>'3. Rekap Back Up Non Aspal '!E71</f>
        <v>4</v>
      </c>
      <c r="F405" s="112">
        <f>(100/((D405-C405)*E405))*((K412*0.05)+(N412*0.05)+(Q412*0.05)+(T412)+(Y412)+(AE412*1.5)+(AH412*1))</f>
        <v>75</v>
      </c>
      <c r="G405" s="113" t="str">
        <f>IF(F405&lt;=25,"RB",IF(F405&lt;=75,"RB",IF(F405&lt;=100,"RB","RB")))</f>
        <v>RB</v>
      </c>
      <c r="H405" s="183">
        <v>1</v>
      </c>
      <c r="I405" s="98">
        <v>0</v>
      </c>
      <c r="J405" s="98">
        <v>0</v>
      </c>
      <c r="K405" s="101">
        <f t="shared" ref="K405:K411" si="376">I405*J405</f>
        <v>0</v>
      </c>
      <c r="L405" s="98">
        <v>0</v>
      </c>
      <c r="M405" s="98">
        <v>0</v>
      </c>
      <c r="N405" s="101">
        <f t="shared" ref="N405:N411" si="377">L405*M405</f>
        <v>0</v>
      </c>
      <c r="O405" s="98">
        <v>0</v>
      </c>
      <c r="P405" s="98">
        <v>0</v>
      </c>
      <c r="Q405" s="101">
        <f t="shared" ref="Q405:Q411" si="378">O405*P405</f>
        <v>0</v>
      </c>
      <c r="R405" s="98">
        <v>0</v>
      </c>
      <c r="S405" s="98">
        <v>0</v>
      </c>
      <c r="T405" s="101">
        <f t="shared" ref="T405:T411" si="379">R405*S405</f>
        <v>0</v>
      </c>
      <c r="U405" s="183">
        <v>2</v>
      </c>
      <c r="V405" s="99">
        <v>2</v>
      </c>
      <c r="W405" s="98">
        <v>100</v>
      </c>
      <c r="X405" s="98">
        <v>3</v>
      </c>
      <c r="Y405" s="101">
        <f>W405*X405</f>
        <v>300</v>
      </c>
      <c r="Z405" s="101">
        <v>1</v>
      </c>
      <c r="AA405" s="183">
        <v>0</v>
      </c>
      <c r="AB405" s="99">
        <v>1</v>
      </c>
      <c r="AC405" s="98">
        <v>0</v>
      </c>
      <c r="AD405" s="98">
        <v>0</v>
      </c>
      <c r="AE405" s="101">
        <f t="shared" ref="AE405:AE411" si="380">AC405*AD405</f>
        <v>0</v>
      </c>
      <c r="AF405" s="98">
        <v>0</v>
      </c>
      <c r="AG405" s="98">
        <v>3</v>
      </c>
      <c r="AH405" s="99">
        <f t="shared" ref="AH405:AH411" si="381">AF405*AG405</f>
        <v>0</v>
      </c>
      <c r="AI405" s="101">
        <v>1</v>
      </c>
      <c r="AJ405" s="106"/>
    </row>
    <row r="406" spans="2:36" s="35" customFormat="1" ht="17.100000000000001" customHeight="1">
      <c r="B406" s="105"/>
      <c r="C406" s="54"/>
      <c r="D406" s="96"/>
      <c r="E406" s="111"/>
      <c r="F406" s="112"/>
      <c r="G406" s="113"/>
      <c r="H406" s="183">
        <v>1</v>
      </c>
      <c r="I406" s="98">
        <v>0</v>
      </c>
      <c r="J406" s="98">
        <v>0</v>
      </c>
      <c r="K406" s="101">
        <f t="shared" si="376"/>
        <v>0</v>
      </c>
      <c r="L406" s="100">
        <v>0</v>
      </c>
      <c r="M406" s="98">
        <v>0</v>
      </c>
      <c r="N406" s="101">
        <f t="shared" si="377"/>
        <v>0</v>
      </c>
      <c r="O406" s="100">
        <v>0</v>
      </c>
      <c r="P406" s="98">
        <v>0</v>
      </c>
      <c r="Q406" s="101">
        <f t="shared" si="378"/>
        <v>0</v>
      </c>
      <c r="R406" s="100">
        <v>0</v>
      </c>
      <c r="S406" s="98">
        <v>0</v>
      </c>
      <c r="T406" s="101">
        <f t="shared" si="379"/>
        <v>0</v>
      </c>
      <c r="U406" s="183">
        <v>1</v>
      </c>
      <c r="V406" s="99">
        <v>1</v>
      </c>
      <c r="W406" s="98">
        <v>0</v>
      </c>
      <c r="X406" s="98">
        <v>0</v>
      </c>
      <c r="Y406" s="101">
        <f t="shared" ref="Y406:Y411" si="382">W406*X406</f>
        <v>0</v>
      </c>
      <c r="Z406" s="101">
        <v>1</v>
      </c>
      <c r="AA406" s="183">
        <v>0</v>
      </c>
      <c r="AB406" s="99">
        <v>1</v>
      </c>
      <c r="AC406" s="98">
        <v>0</v>
      </c>
      <c r="AD406" s="98">
        <v>0</v>
      </c>
      <c r="AE406" s="101">
        <f t="shared" si="380"/>
        <v>0</v>
      </c>
      <c r="AF406" s="100">
        <v>0</v>
      </c>
      <c r="AG406" s="98">
        <v>0</v>
      </c>
      <c r="AH406" s="99">
        <f t="shared" si="381"/>
        <v>0</v>
      </c>
      <c r="AI406" s="101">
        <v>1</v>
      </c>
      <c r="AJ406" s="106"/>
    </row>
    <row r="407" spans="2:36" s="35" customFormat="1" ht="17.100000000000001" customHeight="1">
      <c r="B407" s="105"/>
      <c r="C407" s="54"/>
      <c r="D407" s="96"/>
      <c r="E407" s="111"/>
      <c r="F407" s="112"/>
      <c r="G407" s="113"/>
      <c r="H407" s="183">
        <v>1</v>
      </c>
      <c r="I407" s="98">
        <v>0</v>
      </c>
      <c r="J407" s="98">
        <v>0</v>
      </c>
      <c r="K407" s="101">
        <f t="shared" si="376"/>
        <v>0</v>
      </c>
      <c r="L407" s="100">
        <v>0</v>
      </c>
      <c r="M407" s="98">
        <v>0</v>
      </c>
      <c r="N407" s="101">
        <f t="shared" si="377"/>
        <v>0</v>
      </c>
      <c r="O407" s="100">
        <v>0</v>
      </c>
      <c r="P407" s="98">
        <v>0</v>
      </c>
      <c r="Q407" s="101">
        <f t="shared" si="378"/>
        <v>0</v>
      </c>
      <c r="R407" s="100">
        <v>0</v>
      </c>
      <c r="S407" s="98">
        <v>0</v>
      </c>
      <c r="T407" s="101">
        <f t="shared" si="379"/>
        <v>0</v>
      </c>
      <c r="U407" s="183">
        <v>1</v>
      </c>
      <c r="V407" s="99">
        <v>1</v>
      </c>
      <c r="W407" s="98">
        <v>0</v>
      </c>
      <c r="X407" s="98">
        <v>0</v>
      </c>
      <c r="Y407" s="101">
        <f t="shared" si="382"/>
        <v>0</v>
      </c>
      <c r="Z407" s="101">
        <v>1</v>
      </c>
      <c r="AA407" s="183">
        <v>0</v>
      </c>
      <c r="AB407" s="99">
        <v>1</v>
      </c>
      <c r="AC407" s="98">
        <v>0</v>
      </c>
      <c r="AD407" s="98">
        <v>0</v>
      </c>
      <c r="AE407" s="101">
        <f t="shared" si="380"/>
        <v>0</v>
      </c>
      <c r="AF407" s="100">
        <v>0</v>
      </c>
      <c r="AG407" s="98">
        <v>0</v>
      </c>
      <c r="AH407" s="99">
        <f t="shared" si="381"/>
        <v>0</v>
      </c>
      <c r="AI407" s="101">
        <v>1</v>
      </c>
      <c r="AJ407" s="106"/>
    </row>
    <row r="408" spans="2:36" s="35" customFormat="1" ht="17.100000000000001" customHeight="1">
      <c r="B408" s="105"/>
      <c r="C408" s="54"/>
      <c r="D408" s="96"/>
      <c r="E408" s="111"/>
      <c r="F408" s="112"/>
      <c r="G408" s="113"/>
      <c r="H408" s="183">
        <v>1</v>
      </c>
      <c r="I408" s="98">
        <v>0</v>
      </c>
      <c r="J408" s="98">
        <v>0</v>
      </c>
      <c r="K408" s="101">
        <f t="shared" si="376"/>
        <v>0</v>
      </c>
      <c r="L408" s="100">
        <v>0</v>
      </c>
      <c r="M408" s="98">
        <v>0</v>
      </c>
      <c r="N408" s="101">
        <f t="shared" si="377"/>
        <v>0</v>
      </c>
      <c r="O408" s="100">
        <v>0</v>
      </c>
      <c r="P408" s="98">
        <v>0</v>
      </c>
      <c r="Q408" s="101">
        <f t="shared" si="378"/>
        <v>0</v>
      </c>
      <c r="R408" s="100">
        <v>0</v>
      </c>
      <c r="S408" s="98">
        <v>0</v>
      </c>
      <c r="T408" s="101">
        <f t="shared" si="379"/>
        <v>0</v>
      </c>
      <c r="U408" s="183">
        <v>1</v>
      </c>
      <c r="V408" s="99">
        <v>1</v>
      </c>
      <c r="W408" s="98">
        <v>0</v>
      </c>
      <c r="X408" s="98">
        <v>0</v>
      </c>
      <c r="Y408" s="101">
        <f t="shared" si="382"/>
        <v>0</v>
      </c>
      <c r="Z408" s="101">
        <v>1</v>
      </c>
      <c r="AA408" s="183">
        <v>0</v>
      </c>
      <c r="AB408" s="99">
        <v>1</v>
      </c>
      <c r="AC408" s="98">
        <v>0</v>
      </c>
      <c r="AD408" s="98">
        <v>0</v>
      </c>
      <c r="AE408" s="101">
        <f t="shared" si="380"/>
        <v>0</v>
      </c>
      <c r="AF408" s="100">
        <v>0</v>
      </c>
      <c r="AG408" s="98">
        <v>0</v>
      </c>
      <c r="AH408" s="99">
        <f t="shared" si="381"/>
        <v>0</v>
      </c>
      <c r="AI408" s="101">
        <v>1</v>
      </c>
      <c r="AJ408" s="106"/>
    </row>
    <row r="409" spans="2:36" s="35" customFormat="1" ht="17.100000000000001" customHeight="1">
      <c r="B409" s="105"/>
      <c r="C409" s="54"/>
      <c r="D409" s="96"/>
      <c r="E409" s="111"/>
      <c r="F409" s="112"/>
      <c r="G409" s="113"/>
      <c r="H409" s="183">
        <v>1</v>
      </c>
      <c r="I409" s="98">
        <v>0</v>
      </c>
      <c r="J409" s="98">
        <v>0</v>
      </c>
      <c r="K409" s="101">
        <f t="shared" si="376"/>
        <v>0</v>
      </c>
      <c r="L409" s="100">
        <v>0</v>
      </c>
      <c r="M409" s="98">
        <v>0</v>
      </c>
      <c r="N409" s="101">
        <f t="shared" si="377"/>
        <v>0</v>
      </c>
      <c r="O409" s="100">
        <v>0</v>
      </c>
      <c r="P409" s="98">
        <v>0</v>
      </c>
      <c r="Q409" s="101">
        <f t="shared" si="378"/>
        <v>0</v>
      </c>
      <c r="R409" s="100">
        <v>0</v>
      </c>
      <c r="S409" s="98">
        <v>0</v>
      </c>
      <c r="T409" s="101">
        <f t="shared" si="379"/>
        <v>0</v>
      </c>
      <c r="U409" s="183">
        <v>1</v>
      </c>
      <c r="V409" s="99">
        <v>1</v>
      </c>
      <c r="W409" s="98">
        <v>0</v>
      </c>
      <c r="X409" s="98">
        <v>0</v>
      </c>
      <c r="Y409" s="101">
        <f t="shared" si="382"/>
        <v>0</v>
      </c>
      <c r="Z409" s="101">
        <v>1</v>
      </c>
      <c r="AA409" s="183">
        <v>0</v>
      </c>
      <c r="AB409" s="99">
        <v>1</v>
      </c>
      <c r="AC409" s="98">
        <v>0</v>
      </c>
      <c r="AD409" s="98">
        <v>0</v>
      </c>
      <c r="AE409" s="101">
        <f t="shared" si="380"/>
        <v>0</v>
      </c>
      <c r="AF409" s="100">
        <v>0</v>
      </c>
      <c r="AG409" s="98">
        <v>0</v>
      </c>
      <c r="AH409" s="99">
        <f t="shared" si="381"/>
        <v>0</v>
      </c>
      <c r="AI409" s="101">
        <v>1</v>
      </c>
      <c r="AJ409" s="106"/>
    </row>
    <row r="410" spans="2:36" s="35" customFormat="1" ht="17.100000000000001" customHeight="1">
      <c r="B410" s="105"/>
      <c r="C410" s="54"/>
      <c r="D410" s="96"/>
      <c r="E410" s="111"/>
      <c r="F410" s="112"/>
      <c r="G410" s="113"/>
      <c r="H410" s="183">
        <v>1</v>
      </c>
      <c r="I410" s="98">
        <v>0</v>
      </c>
      <c r="J410" s="98">
        <v>0</v>
      </c>
      <c r="K410" s="101">
        <f t="shared" si="376"/>
        <v>0</v>
      </c>
      <c r="L410" s="100">
        <v>0</v>
      </c>
      <c r="M410" s="98">
        <v>0</v>
      </c>
      <c r="N410" s="101">
        <f t="shared" si="377"/>
        <v>0</v>
      </c>
      <c r="O410" s="100">
        <v>0</v>
      </c>
      <c r="P410" s="98">
        <v>0</v>
      </c>
      <c r="Q410" s="101">
        <f t="shared" si="378"/>
        <v>0</v>
      </c>
      <c r="R410" s="100">
        <v>0</v>
      </c>
      <c r="S410" s="98">
        <v>0</v>
      </c>
      <c r="T410" s="101">
        <f t="shared" si="379"/>
        <v>0</v>
      </c>
      <c r="U410" s="183">
        <v>1</v>
      </c>
      <c r="V410" s="99">
        <v>1</v>
      </c>
      <c r="W410" s="98">
        <v>0</v>
      </c>
      <c r="X410" s="98">
        <v>0</v>
      </c>
      <c r="Y410" s="101">
        <f t="shared" si="382"/>
        <v>0</v>
      </c>
      <c r="Z410" s="101">
        <v>1</v>
      </c>
      <c r="AA410" s="183">
        <v>0</v>
      </c>
      <c r="AB410" s="99">
        <v>1</v>
      </c>
      <c r="AC410" s="98">
        <v>0</v>
      </c>
      <c r="AD410" s="98">
        <v>0</v>
      </c>
      <c r="AE410" s="101">
        <f t="shared" si="380"/>
        <v>0</v>
      </c>
      <c r="AF410" s="100">
        <v>0</v>
      </c>
      <c r="AG410" s="98">
        <v>0</v>
      </c>
      <c r="AH410" s="99">
        <f t="shared" si="381"/>
        <v>0</v>
      </c>
      <c r="AI410" s="101">
        <v>1</v>
      </c>
      <c r="AJ410" s="106"/>
    </row>
    <row r="411" spans="2:36" s="35" customFormat="1" ht="17.100000000000001" customHeight="1">
      <c r="B411" s="105"/>
      <c r="C411" s="54"/>
      <c r="D411" s="96"/>
      <c r="E411" s="111"/>
      <c r="F411" s="112"/>
      <c r="G411" s="113"/>
      <c r="H411" s="183">
        <v>1</v>
      </c>
      <c r="I411" s="98">
        <v>0</v>
      </c>
      <c r="J411" s="98">
        <v>0</v>
      </c>
      <c r="K411" s="101">
        <f t="shared" si="376"/>
        <v>0</v>
      </c>
      <c r="L411" s="100">
        <v>0</v>
      </c>
      <c r="M411" s="98">
        <v>0</v>
      </c>
      <c r="N411" s="101">
        <f t="shared" si="377"/>
        <v>0</v>
      </c>
      <c r="O411" s="100">
        <v>0</v>
      </c>
      <c r="P411" s="98">
        <v>0</v>
      </c>
      <c r="Q411" s="101">
        <f t="shared" si="378"/>
        <v>0</v>
      </c>
      <c r="R411" s="100">
        <v>0</v>
      </c>
      <c r="S411" s="98">
        <v>0</v>
      </c>
      <c r="T411" s="101">
        <f t="shared" si="379"/>
        <v>0</v>
      </c>
      <c r="U411" s="183">
        <v>1</v>
      </c>
      <c r="V411" s="99">
        <v>1</v>
      </c>
      <c r="W411" s="98">
        <v>0</v>
      </c>
      <c r="X411" s="98">
        <v>0</v>
      </c>
      <c r="Y411" s="101">
        <f t="shared" si="382"/>
        <v>0</v>
      </c>
      <c r="Z411" s="101">
        <v>1</v>
      </c>
      <c r="AA411" s="183">
        <v>0</v>
      </c>
      <c r="AB411" s="99">
        <v>1</v>
      </c>
      <c r="AC411" s="98">
        <v>0</v>
      </c>
      <c r="AD411" s="98">
        <v>0</v>
      </c>
      <c r="AE411" s="101">
        <f t="shared" si="380"/>
        <v>0</v>
      </c>
      <c r="AF411" s="100">
        <v>0</v>
      </c>
      <c r="AG411" s="98">
        <v>0</v>
      </c>
      <c r="AH411" s="99">
        <f t="shared" si="381"/>
        <v>0</v>
      </c>
      <c r="AI411" s="101">
        <v>1</v>
      </c>
      <c r="AJ411" s="106"/>
    </row>
    <row r="412" spans="2:36" s="126" customFormat="1" ht="17.100000000000001" customHeight="1">
      <c r="B412" s="118"/>
      <c r="C412" s="119"/>
      <c r="D412" s="120"/>
      <c r="E412" s="121"/>
      <c r="F412" s="122"/>
      <c r="G412" s="123"/>
      <c r="H412" s="183">
        <v>1</v>
      </c>
      <c r="I412" s="363" t="s">
        <v>201</v>
      </c>
      <c r="J412" s="363"/>
      <c r="K412" s="124">
        <f>SUM(K405:K411)</f>
        <v>0</v>
      </c>
      <c r="L412" s="341" t="s">
        <v>201</v>
      </c>
      <c r="M412" s="342"/>
      <c r="N412" s="124">
        <f>SUM(N405:N411)</f>
        <v>0</v>
      </c>
      <c r="O412" s="341" t="s">
        <v>201</v>
      </c>
      <c r="P412" s="342"/>
      <c r="Q412" s="124">
        <f>SUM(Q405:Q411)</f>
        <v>0</v>
      </c>
      <c r="R412" s="341" t="s">
        <v>201</v>
      </c>
      <c r="S412" s="342"/>
      <c r="T412" s="124">
        <f>SUM(T405:T411)</f>
        <v>0</v>
      </c>
      <c r="U412" s="183">
        <v>1</v>
      </c>
      <c r="V412" s="99">
        <v>1</v>
      </c>
      <c r="W412" s="363" t="s">
        <v>201</v>
      </c>
      <c r="X412" s="363"/>
      <c r="Y412" s="124">
        <f>SUM(Y405:Y411)</f>
        <v>300</v>
      </c>
      <c r="Z412" s="101">
        <v>1</v>
      </c>
      <c r="AA412" s="183">
        <v>0</v>
      </c>
      <c r="AB412" s="99">
        <v>1</v>
      </c>
      <c r="AC412" s="363" t="s">
        <v>201</v>
      </c>
      <c r="AD412" s="363"/>
      <c r="AE412" s="124">
        <f>SUM(AE405:AE411)</f>
        <v>0</v>
      </c>
      <c r="AF412" s="364" t="s">
        <v>201</v>
      </c>
      <c r="AG412" s="363"/>
      <c r="AH412" s="143">
        <f>SUM(AH405:AH411)</f>
        <v>0</v>
      </c>
      <c r="AI412" s="101">
        <v>1</v>
      </c>
      <c r="AJ412" s="125"/>
    </row>
    <row r="413" spans="2:36" s="35" customFormat="1" ht="16.95" customHeight="1">
      <c r="B413" s="105"/>
      <c r="C413" s="54">
        <f>'3. Rekap Back Up Non Aspal '!C72</f>
        <v>7600</v>
      </c>
      <c r="D413" s="96">
        <f>'3. Rekap Back Up Non Aspal '!D72</f>
        <v>7700</v>
      </c>
      <c r="E413" s="111">
        <f>'3. Rekap Back Up Non Aspal '!E72</f>
        <v>4</v>
      </c>
      <c r="F413" s="112">
        <f>(100/((D413-C413)*E413))*((K420*0.05)+(N420*0.05)+(Q420*0.05)+(T420)+(Y420)+(AE420*1.5)+(AH420*1))</f>
        <v>75</v>
      </c>
      <c r="G413" s="113" t="str">
        <f>IF(F413&lt;=25,"RB",IF(F413&lt;=75,"RB",IF(F413&lt;=100,"RB","RB")))</f>
        <v>RB</v>
      </c>
      <c r="H413" s="183">
        <v>1</v>
      </c>
      <c r="I413" s="98">
        <v>0</v>
      </c>
      <c r="J413" s="98">
        <v>0</v>
      </c>
      <c r="K413" s="101">
        <f t="shared" ref="K413:K419" si="383">I413*J413</f>
        <v>0</v>
      </c>
      <c r="L413" s="98">
        <v>0</v>
      </c>
      <c r="M413" s="98">
        <v>0</v>
      </c>
      <c r="N413" s="101">
        <f t="shared" ref="N413:N419" si="384">L413*M413</f>
        <v>0</v>
      </c>
      <c r="O413" s="98">
        <v>0</v>
      </c>
      <c r="P413" s="98">
        <v>0</v>
      </c>
      <c r="Q413" s="101">
        <f t="shared" ref="Q413:Q419" si="385">O413*P413</f>
        <v>0</v>
      </c>
      <c r="R413" s="98">
        <v>0</v>
      </c>
      <c r="S413" s="98">
        <v>0</v>
      </c>
      <c r="T413" s="101">
        <f t="shared" ref="T413:T419" si="386">R413*S413</f>
        <v>0</v>
      </c>
      <c r="U413" s="183">
        <v>3</v>
      </c>
      <c r="V413" s="99">
        <v>3</v>
      </c>
      <c r="W413" s="98">
        <v>100</v>
      </c>
      <c r="X413" s="98">
        <v>3</v>
      </c>
      <c r="Y413" s="101">
        <f>W413*X413</f>
        <v>300</v>
      </c>
      <c r="Z413" s="101">
        <v>1</v>
      </c>
      <c r="AA413" s="183">
        <v>0</v>
      </c>
      <c r="AB413" s="99">
        <v>1</v>
      </c>
      <c r="AC413" s="98">
        <v>0</v>
      </c>
      <c r="AD413" s="98">
        <v>0</v>
      </c>
      <c r="AE413" s="101">
        <f t="shared" ref="AE413:AE419" si="387">AC413*AD413</f>
        <v>0</v>
      </c>
      <c r="AF413" s="98">
        <v>0</v>
      </c>
      <c r="AG413" s="98">
        <v>3</v>
      </c>
      <c r="AH413" s="99">
        <f t="shared" ref="AH413:AH419" si="388">AF413*AG413</f>
        <v>0</v>
      </c>
      <c r="AI413" s="101">
        <v>1</v>
      </c>
      <c r="AJ413" s="106"/>
    </row>
    <row r="414" spans="2:36" s="35" customFormat="1" ht="17.100000000000001" customHeight="1">
      <c r="B414" s="105"/>
      <c r="C414" s="54"/>
      <c r="D414" s="96"/>
      <c r="E414" s="111"/>
      <c r="F414" s="112"/>
      <c r="G414" s="113"/>
      <c r="H414" s="183">
        <v>1</v>
      </c>
      <c r="I414" s="98">
        <v>0</v>
      </c>
      <c r="J414" s="98">
        <v>0</v>
      </c>
      <c r="K414" s="101">
        <f t="shared" si="383"/>
        <v>0</v>
      </c>
      <c r="L414" s="100">
        <v>0</v>
      </c>
      <c r="M414" s="98">
        <v>0</v>
      </c>
      <c r="N414" s="101">
        <f t="shared" si="384"/>
        <v>0</v>
      </c>
      <c r="O414" s="100">
        <v>0</v>
      </c>
      <c r="P414" s="98">
        <v>0</v>
      </c>
      <c r="Q414" s="101">
        <f t="shared" si="385"/>
        <v>0</v>
      </c>
      <c r="R414" s="100">
        <v>0</v>
      </c>
      <c r="S414" s="98">
        <v>0</v>
      </c>
      <c r="T414" s="101">
        <f t="shared" si="386"/>
        <v>0</v>
      </c>
      <c r="U414" s="183">
        <v>1</v>
      </c>
      <c r="V414" s="99">
        <v>1</v>
      </c>
      <c r="W414" s="98">
        <v>0</v>
      </c>
      <c r="X414" s="98">
        <v>0</v>
      </c>
      <c r="Y414" s="101">
        <f t="shared" ref="Y414:Y419" si="389">W414*X414</f>
        <v>0</v>
      </c>
      <c r="Z414" s="101">
        <v>1</v>
      </c>
      <c r="AA414" s="183">
        <v>0</v>
      </c>
      <c r="AB414" s="99">
        <v>1</v>
      </c>
      <c r="AC414" s="98">
        <v>0</v>
      </c>
      <c r="AD414" s="98">
        <v>0</v>
      </c>
      <c r="AE414" s="101">
        <f t="shared" si="387"/>
        <v>0</v>
      </c>
      <c r="AF414" s="100">
        <v>0</v>
      </c>
      <c r="AG414" s="98">
        <v>0</v>
      </c>
      <c r="AH414" s="99">
        <f t="shared" si="388"/>
        <v>0</v>
      </c>
      <c r="AI414" s="101">
        <v>1</v>
      </c>
      <c r="AJ414" s="106"/>
    </row>
    <row r="415" spans="2:36" s="35" customFormat="1" ht="17.100000000000001" customHeight="1">
      <c r="B415" s="105"/>
      <c r="C415" s="54"/>
      <c r="D415" s="96"/>
      <c r="E415" s="111"/>
      <c r="F415" s="112"/>
      <c r="G415" s="113"/>
      <c r="H415" s="183">
        <v>1</v>
      </c>
      <c r="I415" s="98">
        <v>0</v>
      </c>
      <c r="J415" s="98">
        <v>0</v>
      </c>
      <c r="K415" s="101">
        <f t="shared" si="383"/>
        <v>0</v>
      </c>
      <c r="L415" s="100">
        <v>0</v>
      </c>
      <c r="M415" s="98">
        <v>0</v>
      </c>
      <c r="N415" s="101">
        <f t="shared" si="384"/>
        <v>0</v>
      </c>
      <c r="O415" s="100">
        <v>0</v>
      </c>
      <c r="P415" s="98">
        <v>0</v>
      </c>
      <c r="Q415" s="101">
        <f t="shared" si="385"/>
        <v>0</v>
      </c>
      <c r="R415" s="100">
        <v>0</v>
      </c>
      <c r="S415" s="98">
        <v>0</v>
      </c>
      <c r="T415" s="101">
        <f t="shared" si="386"/>
        <v>0</v>
      </c>
      <c r="U415" s="183">
        <v>1</v>
      </c>
      <c r="V415" s="99">
        <v>1</v>
      </c>
      <c r="W415" s="98">
        <v>0</v>
      </c>
      <c r="X415" s="98">
        <v>0</v>
      </c>
      <c r="Y415" s="101">
        <f t="shared" si="389"/>
        <v>0</v>
      </c>
      <c r="Z415" s="101">
        <v>1</v>
      </c>
      <c r="AA415" s="183">
        <v>0</v>
      </c>
      <c r="AB415" s="99">
        <v>1</v>
      </c>
      <c r="AC415" s="98">
        <v>0</v>
      </c>
      <c r="AD415" s="98">
        <v>0</v>
      </c>
      <c r="AE415" s="101">
        <f t="shared" si="387"/>
        <v>0</v>
      </c>
      <c r="AF415" s="100">
        <v>0</v>
      </c>
      <c r="AG415" s="98">
        <v>0</v>
      </c>
      <c r="AH415" s="99">
        <f t="shared" si="388"/>
        <v>0</v>
      </c>
      <c r="AI415" s="101">
        <v>1</v>
      </c>
      <c r="AJ415" s="106"/>
    </row>
    <row r="416" spans="2:36" s="35" customFormat="1" ht="17.100000000000001" customHeight="1">
      <c r="B416" s="105"/>
      <c r="C416" s="54"/>
      <c r="D416" s="96"/>
      <c r="E416" s="111"/>
      <c r="F416" s="112"/>
      <c r="G416" s="113"/>
      <c r="H416" s="183">
        <v>1</v>
      </c>
      <c r="I416" s="98">
        <v>0</v>
      </c>
      <c r="J416" s="98">
        <v>0</v>
      </c>
      <c r="K416" s="101">
        <f t="shared" si="383"/>
        <v>0</v>
      </c>
      <c r="L416" s="100">
        <v>0</v>
      </c>
      <c r="M416" s="98">
        <v>0</v>
      </c>
      <c r="N416" s="101">
        <f t="shared" si="384"/>
        <v>0</v>
      </c>
      <c r="O416" s="100">
        <v>0</v>
      </c>
      <c r="P416" s="98">
        <v>0</v>
      </c>
      <c r="Q416" s="101">
        <f t="shared" si="385"/>
        <v>0</v>
      </c>
      <c r="R416" s="100">
        <v>0</v>
      </c>
      <c r="S416" s="98">
        <v>0</v>
      </c>
      <c r="T416" s="101">
        <f t="shared" si="386"/>
        <v>0</v>
      </c>
      <c r="U416" s="183">
        <v>1</v>
      </c>
      <c r="V416" s="99">
        <v>1</v>
      </c>
      <c r="W416" s="98">
        <v>0</v>
      </c>
      <c r="X416" s="98">
        <v>0</v>
      </c>
      <c r="Y416" s="101">
        <f t="shared" si="389"/>
        <v>0</v>
      </c>
      <c r="Z416" s="101">
        <v>1</v>
      </c>
      <c r="AA416" s="183">
        <v>0</v>
      </c>
      <c r="AB416" s="99">
        <v>1</v>
      </c>
      <c r="AC416" s="98">
        <v>0</v>
      </c>
      <c r="AD416" s="98">
        <v>0</v>
      </c>
      <c r="AE416" s="101">
        <f t="shared" si="387"/>
        <v>0</v>
      </c>
      <c r="AF416" s="100">
        <v>0</v>
      </c>
      <c r="AG416" s="98">
        <v>0</v>
      </c>
      <c r="AH416" s="99">
        <f t="shared" si="388"/>
        <v>0</v>
      </c>
      <c r="AI416" s="101">
        <v>1</v>
      </c>
      <c r="AJ416" s="106"/>
    </row>
    <row r="417" spans="2:36" s="35" customFormat="1" ht="17.100000000000001" customHeight="1">
      <c r="B417" s="105"/>
      <c r="C417" s="54"/>
      <c r="D417" s="96"/>
      <c r="E417" s="111"/>
      <c r="F417" s="112"/>
      <c r="G417" s="113"/>
      <c r="H417" s="183">
        <v>1</v>
      </c>
      <c r="I417" s="98">
        <v>0</v>
      </c>
      <c r="J417" s="98">
        <v>0</v>
      </c>
      <c r="K417" s="101">
        <f t="shared" si="383"/>
        <v>0</v>
      </c>
      <c r="L417" s="100">
        <v>0</v>
      </c>
      <c r="M417" s="98">
        <v>0</v>
      </c>
      <c r="N417" s="101">
        <f t="shared" si="384"/>
        <v>0</v>
      </c>
      <c r="O417" s="100">
        <v>0</v>
      </c>
      <c r="P417" s="98">
        <v>0</v>
      </c>
      <c r="Q417" s="101">
        <f t="shared" si="385"/>
        <v>0</v>
      </c>
      <c r="R417" s="100">
        <v>0</v>
      </c>
      <c r="S417" s="98">
        <v>0</v>
      </c>
      <c r="T417" s="101">
        <f t="shared" si="386"/>
        <v>0</v>
      </c>
      <c r="U417" s="183">
        <v>1</v>
      </c>
      <c r="V417" s="99">
        <v>1</v>
      </c>
      <c r="W417" s="98">
        <v>0</v>
      </c>
      <c r="X417" s="98">
        <v>0</v>
      </c>
      <c r="Y417" s="101">
        <f t="shared" si="389"/>
        <v>0</v>
      </c>
      <c r="Z417" s="101">
        <v>1</v>
      </c>
      <c r="AA417" s="183">
        <v>0</v>
      </c>
      <c r="AB417" s="99">
        <v>1</v>
      </c>
      <c r="AC417" s="98">
        <v>0</v>
      </c>
      <c r="AD417" s="98">
        <v>0</v>
      </c>
      <c r="AE417" s="101">
        <f t="shared" si="387"/>
        <v>0</v>
      </c>
      <c r="AF417" s="100">
        <v>0</v>
      </c>
      <c r="AG417" s="98">
        <v>0</v>
      </c>
      <c r="AH417" s="99">
        <f t="shared" si="388"/>
        <v>0</v>
      </c>
      <c r="AI417" s="101">
        <v>1</v>
      </c>
      <c r="AJ417" s="106"/>
    </row>
    <row r="418" spans="2:36" s="35" customFormat="1" ht="17.100000000000001" customHeight="1">
      <c r="B418" s="105"/>
      <c r="C418" s="54"/>
      <c r="D418" s="96"/>
      <c r="E418" s="111"/>
      <c r="F418" s="112"/>
      <c r="G418" s="113"/>
      <c r="H418" s="183">
        <v>1</v>
      </c>
      <c r="I418" s="98">
        <v>0</v>
      </c>
      <c r="J418" s="98">
        <v>0</v>
      </c>
      <c r="K418" s="101">
        <f t="shared" si="383"/>
        <v>0</v>
      </c>
      <c r="L418" s="100">
        <v>0</v>
      </c>
      <c r="M418" s="98">
        <v>0</v>
      </c>
      <c r="N418" s="101">
        <f t="shared" si="384"/>
        <v>0</v>
      </c>
      <c r="O418" s="100">
        <v>0</v>
      </c>
      <c r="P418" s="98">
        <v>0</v>
      </c>
      <c r="Q418" s="101">
        <f t="shared" si="385"/>
        <v>0</v>
      </c>
      <c r="R418" s="100">
        <v>0</v>
      </c>
      <c r="S418" s="98">
        <v>0</v>
      </c>
      <c r="T418" s="101">
        <f t="shared" si="386"/>
        <v>0</v>
      </c>
      <c r="U418" s="183">
        <v>1</v>
      </c>
      <c r="V418" s="99">
        <v>1</v>
      </c>
      <c r="W418" s="98">
        <v>0</v>
      </c>
      <c r="X418" s="98">
        <v>0</v>
      </c>
      <c r="Y418" s="101">
        <f t="shared" si="389"/>
        <v>0</v>
      </c>
      <c r="Z418" s="101">
        <v>1</v>
      </c>
      <c r="AA418" s="183">
        <v>0</v>
      </c>
      <c r="AB418" s="99">
        <v>1</v>
      </c>
      <c r="AC418" s="98">
        <v>0</v>
      </c>
      <c r="AD418" s="98">
        <v>0</v>
      </c>
      <c r="AE418" s="101">
        <f t="shared" si="387"/>
        <v>0</v>
      </c>
      <c r="AF418" s="100">
        <v>0</v>
      </c>
      <c r="AG418" s="98">
        <v>0</v>
      </c>
      <c r="AH418" s="99">
        <f t="shared" si="388"/>
        <v>0</v>
      </c>
      <c r="AI418" s="101">
        <v>1</v>
      </c>
      <c r="AJ418" s="106"/>
    </row>
    <row r="419" spans="2:36" s="35" customFormat="1" ht="17.100000000000001" customHeight="1">
      <c r="B419" s="105"/>
      <c r="C419" s="54"/>
      <c r="D419" s="96"/>
      <c r="E419" s="111"/>
      <c r="F419" s="112"/>
      <c r="G419" s="113"/>
      <c r="H419" s="183">
        <v>1</v>
      </c>
      <c r="I419" s="98">
        <v>0</v>
      </c>
      <c r="J419" s="98">
        <v>0</v>
      </c>
      <c r="K419" s="101">
        <f t="shared" si="383"/>
        <v>0</v>
      </c>
      <c r="L419" s="100">
        <v>0</v>
      </c>
      <c r="M419" s="98">
        <v>0</v>
      </c>
      <c r="N419" s="101">
        <f t="shared" si="384"/>
        <v>0</v>
      </c>
      <c r="O419" s="100">
        <v>0</v>
      </c>
      <c r="P419" s="98">
        <v>0</v>
      </c>
      <c r="Q419" s="101">
        <f t="shared" si="385"/>
        <v>0</v>
      </c>
      <c r="R419" s="100">
        <v>0</v>
      </c>
      <c r="S419" s="98">
        <v>0</v>
      </c>
      <c r="T419" s="101">
        <f t="shared" si="386"/>
        <v>0</v>
      </c>
      <c r="U419" s="183">
        <v>1</v>
      </c>
      <c r="V419" s="99">
        <v>1</v>
      </c>
      <c r="W419" s="98">
        <v>0</v>
      </c>
      <c r="X419" s="98">
        <v>0</v>
      </c>
      <c r="Y419" s="101">
        <f t="shared" si="389"/>
        <v>0</v>
      </c>
      <c r="Z419" s="101">
        <v>1</v>
      </c>
      <c r="AA419" s="183">
        <v>0</v>
      </c>
      <c r="AB419" s="99">
        <v>1</v>
      </c>
      <c r="AC419" s="98">
        <v>0</v>
      </c>
      <c r="AD419" s="98">
        <v>0</v>
      </c>
      <c r="AE419" s="101">
        <f t="shared" si="387"/>
        <v>0</v>
      </c>
      <c r="AF419" s="100">
        <v>0</v>
      </c>
      <c r="AG419" s="98">
        <v>0</v>
      </c>
      <c r="AH419" s="99">
        <f t="shared" si="388"/>
        <v>0</v>
      </c>
      <c r="AI419" s="101">
        <v>1</v>
      </c>
      <c r="AJ419" s="106"/>
    </row>
    <row r="420" spans="2:36" s="126" customFormat="1" ht="17.100000000000001" customHeight="1">
      <c r="B420" s="118"/>
      <c r="C420" s="119"/>
      <c r="D420" s="120"/>
      <c r="E420" s="121"/>
      <c r="F420" s="122"/>
      <c r="G420" s="123"/>
      <c r="H420" s="183">
        <v>1</v>
      </c>
      <c r="I420" s="363" t="s">
        <v>201</v>
      </c>
      <c r="J420" s="363"/>
      <c r="K420" s="124">
        <f>SUM(K413:K419)</f>
        <v>0</v>
      </c>
      <c r="L420" s="341" t="s">
        <v>201</v>
      </c>
      <c r="M420" s="342"/>
      <c r="N420" s="124">
        <f>SUM(N413:N419)</f>
        <v>0</v>
      </c>
      <c r="O420" s="341" t="s">
        <v>201</v>
      </c>
      <c r="P420" s="342"/>
      <c r="Q420" s="124">
        <f>SUM(Q413:Q419)</f>
        <v>0</v>
      </c>
      <c r="R420" s="341" t="s">
        <v>201</v>
      </c>
      <c r="S420" s="342"/>
      <c r="T420" s="124">
        <f>SUM(T413:T419)</f>
        <v>0</v>
      </c>
      <c r="U420" s="183">
        <v>1</v>
      </c>
      <c r="V420" s="99">
        <v>1</v>
      </c>
      <c r="W420" s="363" t="s">
        <v>201</v>
      </c>
      <c r="X420" s="363"/>
      <c r="Y420" s="124">
        <f>SUM(Y413:Y419)</f>
        <v>300</v>
      </c>
      <c r="Z420" s="101">
        <v>1</v>
      </c>
      <c r="AA420" s="183">
        <v>0</v>
      </c>
      <c r="AB420" s="99">
        <v>1</v>
      </c>
      <c r="AC420" s="363" t="s">
        <v>201</v>
      </c>
      <c r="AD420" s="363"/>
      <c r="AE420" s="124">
        <f>SUM(AE413:AE419)</f>
        <v>0</v>
      </c>
      <c r="AF420" s="364" t="s">
        <v>201</v>
      </c>
      <c r="AG420" s="363"/>
      <c r="AH420" s="143">
        <f>SUM(AH413:AH419)</f>
        <v>0</v>
      </c>
      <c r="AI420" s="101">
        <v>1</v>
      </c>
      <c r="AJ420" s="125"/>
    </row>
    <row r="421" spans="2:36" s="35" customFormat="1" ht="16.95" customHeight="1">
      <c r="B421" s="105"/>
      <c r="C421" s="54">
        <f>'3. Rekap Back Up Non Aspal '!C73</f>
        <v>7700</v>
      </c>
      <c r="D421" s="96">
        <f>'3. Rekap Back Up Non Aspal '!D73</f>
        <v>7800</v>
      </c>
      <c r="E421" s="111">
        <f>'3. Rekap Back Up Non Aspal '!E73</f>
        <v>4</v>
      </c>
      <c r="F421" s="112">
        <f>(100/((D421-C421)*E421))*((K428*0.05)+(N428*0.05)+(Q428*0.05)+(T428)+(Y428)+(AE428*1.5)+(AH428*1))</f>
        <v>75</v>
      </c>
      <c r="G421" s="113" t="str">
        <f>IF(F421&lt;=25,"RB",IF(F421&lt;=75,"RB",IF(F421&lt;=100,"RB","RB")))</f>
        <v>RB</v>
      </c>
      <c r="H421" s="183">
        <v>1</v>
      </c>
      <c r="I421" s="98">
        <v>0</v>
      </c>
      <c r="J421" s="98">
        <v>0</v>
      </c>
      <c r="K421" s="101">
        <f t="shared" ref="K421:K427" si="390">I421*J421</f>
        <v>0</v>
      </c>
      <c r="L421" s="98">
        <v>0</v>
      </c>
      <c r="M421" s="98">
        <v>0</v>
      </c>
      <c r="N421" s="101">
        <f t="shared" ref="N421:N427" si="391">L421*M421</f>
        <v>0</v>
      </c>
      <c r="O421" s="98">
        <v>0</v>
      </c>
      <c r="P421" s="98">
        <v>0</v>
      </c>
      <c r="Q421" s="101">
        <f t="shared" ref="Q421:Q427" si="392">O421*P421</f>
        <v>0</v>
      </c>
      <c r="R421" s="98">
        <v>0</v>
      </c>
      <c r="S421" s="98">
        <v>0</v>
      </c>
      <c r="T421" s="101">
        <f t="shared" ref="T421:T427" si="393">R421*S421</f>
        <v>0</v>
      </c>
      <c r="U421" s="183">
        <v>3</v>
      </c>
      <c r="V421" s="99">
        <v>2</v>
      </c>
      <c r="W421" s="98">
        <v>100</v>
      </c>
      <c r="X421" s="98">
        <v>3</v>
      </c>
      <c r="Y421" s="101">
        <f>W421*X421</f>
        <v>300</v>
      </c>
      <c r="Z421" s="101">
        <v>1</v>
      </c>
      <c r="AA421" s="183">
        <v>0</v>
      </c>
      <c r="AB421" s="99">
        <v>1</v>
      </c>
      <c r="AC421" s="98">
        <v>0</v>
      </c>
      <c r="AD421" s="98">
        <v>0</v>
      </c>
      <c r="AE421" s="101">
        <f t="shared" ref="AE421:AE427" si="394">AC421*AD421</f>
        <v>0</v>
      </c>
      <c r="AF421" s="98">
        <v>0</v>
      </c>
      <c r="AG421" s="98">
        <v>3</v>
      </c>
      <c r="AH421" s="99">
        <f t="shared" ref="AH421:AH427" si="395">AF421*AG421</f>
        <v>0</v>
      </c>
      <c r="AI421" s="101">
        <v>1</v>
      </c>
      <c r="AJ421" s="106"/>
    </row>
    <row r="422" spans="2:36" s="35" customFormat="1" ht="17.100000000000001" customHeight="1">
      <c r="B422" s="105"/>
      <c r="C422" s="54"/>
      <c r="D422" s="96"/>
      <c r="E422" s="111"/>
      <c r="F422" s="112"/>
      <c r="G422" s="113"/>
      <c r="H422" s="183">
        <v>1</v>
      </c>
      <c r="I422" s="98">
        <v>0</v>
      </c>
      <c r="J422" s="98">
        <v>0</v>
      </c>
      <c r="K422" s="101">
        <f t="shared" si="390"/>
        <v>0</v>
      </c>
      <c r="L422" s="100">
        <v>0</v>
      </c>
      <c r="M422" s="98">
        <v>0</v>
      </c>
      <c r="N422" s="101">
        <f t="shared" si="391"/>
        <v>0</v>
      </c>
      <c r="O422" s="100">
        <v>0</v>
      </c>
      <c r="P422" s="98">
        <v>0</v>
      </c>
      <c r="Q422" s="101">
        <f t="shared" si="392"/>
        <v>0</v>
      </c>
      <c r="R422" s="100">
        <v>0</v>
      </c>
      <c r="S422" s="98">
        <v>0</v>
      </c>
      <c r="T422" s="101">
        <f t="shared" si="393"/>
        <v>0</v>
      </c>
      <c r="U422" s="183">
        <v>1</v>
      </c>
      <c r="V422" s="99">
        <v>1</v>
      </c>
      <c r="W422" s="98">
        <v>0</v>
      </c>
      <c r="X422" s="98">
        <v>0</v>
      </c>
      <c r="Y422" s="101">
        <f t="shared" ref="Y422:Y427" si="396">W422*X422</f>
        <v>0</v>
      </c>
      <c r="Z422" s="101">
        <v>1</v>
      </c>
      <c r="AA422" s="183">
        <v>0</v>
      </c>
      <c r="AB422" s="99">
        <v>1</v>
      </c>
      <c r="AC422" s="98">
        <v>0</v>
      </c>
      <c r="AD422" s="98">
        <v>0</v>
      </c>
      <c r="AE422" s="101">
        <f t="shared" si="394"/>
        <v>0</v>
      </c>
      <c r="AF422" s="100">
        <v>0</v>
      </c>
      <c r="AG422" s="98">
        <v>0</v>
      </c>
      <c r="AH422" s="99">
        <f t="shared" si="395"/>
        <v>0</v>
      </c>
      <c r="AI422" s="101">
        <v>1</v>
      </c>
      <c r="AJ422" s="106"/>
    </row>
    <row r="423" spans="2:36" s="35" customFormat="1" ht="17.100000000000001" customHeight="1">
      <c r="B423" s="105"/>
      <c r="C423" s="54"/>
      <c r="D423" s="96"/>
      <c r="E423" s="111"/>
      <c r="F423" s="112"/>
      <c r="G423" s="113"/>
      <c r="H423" s="183">
        <v>1</v>
      </c>
      <c r="I423" s="98">
        <v>0</v>
      </c>
      <c r="J423" s="98">
        <v>0</v>
      </c>
      <c r="K423" s="101">
        <f t="shared" si="390"/>
        <v>0</v>
      </c>
      <c r="L423" s="100">
        <v>0</v>
      </c>
      <c r="M423" s="98">
        <v>0</v>
      </c>
      <c r="N423" s="101">
        <f t="shared" si="391"/>
        <v>0</v>
      </c>
      <c r="O423" s="100">
        <v>0</v>
      </c>
      <c r="P423" s="98">
        <v>0</v>
      </c>
      <c r="Q423" s="101">
        <f t="shared" si="392"/>
        <v>0</v>
      </c>
      <c r="R423" s="100">
        <v>0</v>
      </c>
      <c r="S423" s="98">
        <v>0</v>
      </c>
      <c r="T423" s="101">
        <f t="shared" si="393"/>
        <v>0</v>
      </c>
      <c r="U423" s="183">
        <v>1</v>
      </c>
      <c r="V423" s="99">
        <v>1</v>
      </c>
      <c r="W423" s="98">
        <v>0</v>
      </c>
      <c r="X423" s="98">
        <v>0</v>
      </c>
      <c r="Y423" s="101">
        <f t="shared" si="396"/>
        <v>0</v>
      </c>
      <c r="Z423" s="101">
        <v>1</v>
      </c>
      <c r="AA423" s="183">
        <v>0</v>
      </c>
      <c r="AB423" s="99">
        <v>1</v>
      </c>
      <c r="AC423" s="98">
        <v>0</v>
      </c>
      <c r="AD423" s="98">
        <v>0</v>
      </c>
      <c r="AE423" s="101">
        <f t="shared" si="394"/>
        <v>0</v>
      </c>
      <c r="AF423" s="100">
        <v>0</v>
      </c>
      <c r="AG423" s="98">
        <v>0</v>
      </c>
      <c r="AH423" s="99">
        <f t="shared" si="395"/>
        <v>0</v>
      </c>
      <c r="AI423" s="101">
        <v>1</v>
      </c>
      <c r="AJ423" s="106"/>
    </row>
    <row r="424" spans="2:36" s="35" customFormat="1" ht="17.100000000000001" customHeight="1">
      <c r="B424" s="105"/>
      <c r="C424" s="54"/>
      <c r="D424" s="96"/>
      <c r="E424" s="111"/>
      <c r="F424" s="112"/>
      <c r="G424" s="113"/>
      <c r="H424" s="183">
        <v>1</v>
      </c>
      <c r="I424" s="98">
        <v>0</v>
      </c>
      <c r="J424" s="98">
        <v>0</v>
      </c>
      <c r="K424" s="101">
        <f t="shared" si="390"/>
        <v>0</v>
      </c>
      <c r="L424" s="100">
        <v>0</v>
      </c>
      <c r="M424" s="98">
        <v>0</v>
      </c>
      <c r="N424" s="101">
        <f t="shared" si="391"/>
        <v>0</v>
      </c>
      <c r="O424" s="100">
        <v>0</v>
      </c>
      <c r="P424" s="98">
        <v>0</v>
      </c>
      <c r="Q424" s="101">
        <f t="shared" si="392"/>
        <v>0</v>
      </c>
      <c r="R424" s="100">
        <v>0</v>
      </c>
      <c r="S424" s="98">
        <v>0</v>
      </c>
      <c r="T424" s="101">
        <f t="shared" si="393"/>
        <v>0</v>
      </c>
      <c r="U424" s="183">
        <v>1</v>
      </c>
      <c r="V424" s="99">
        <v>1</v>
      </c>
      <c r="W424" s="98">
        <v>0</v>
      </c>
      <c r="X424" s="98">
        <v>0</v>
      </c>
      <c r="Y424" s="101">
        <f t="shared" si="396"/>
        <v>0</v>
      </c>
      <c r="Z424" s="101">
        <v>1</v>
      </c>
      <c r="AA424" s="183">
        <v>0</v>
      </c>
      <c r="AB424" s="99">
        <v>1</v>
      </c>
      <c r="AC424" s="98">
        <v>0</v>
      </c>
      <c r="AD424" s="98">
        <v>0</v>
      </c>
      <c r="AE424" s="101">
        <f t="shared" si="394"/>
        <v>0</v>
      </c>
      <c r="AF424" s="100">
        <v>0</v>
      </c>
      <c r="AG424" s="98">
        <v>0</v>
      </c>
      <c r="AH424" s="99">
        <f t="shared" si="395"/>
        <v>0</v>
      </c>
      <c r="AI424" s="101">
        <v>1</v>
      </c>
      <c r="AJ424" s="106"/>
    </row>
    <row r="425" spans="2:36" s="35" customFormat="1" ht="17.100000000000001" customHeight="1">
      <c r="B425" s="105"/>
      <c r="C425" s="54"/>
      <c r="D425" s="96"/>
      <c r="E425" s="111"/>
      <c r="F425" s="112"/>
      <c r="G425" s="113"/>
      <c r="H425" s="183">
        <v>1</v>
      </c>
      <c r="I425" s="98">
        <v>0</v>
      </c>
      <c r="J425" s="98">
        <v>0</v>
      </c>
      <c r="K425" s="101">
        <f t="shared" si="390"/>
        <v>0</v>
      </c>
      <c r="L425" s="100">
        <v>0</v>
      </c>
      <c r="M425" s="98">
        <v>0</v>
      </c>
      <c r="N425" s="101">
        <f t="shared" si="391"/>
        <v>0</v>
      </c>
      <c r="O425" s="100">
        <v>0</v>
      </c>
      <c r="P425" s="98">
        <v>0</v>
      </c>
      <c r="Q425" s="101">
        <f t="shared" si="392"/>
        <v>0</v>
      </c>
      <c r="R425" s="100">
        <v>0</v>
      </c>
      <c r="S425" s="98">
        <v>0</v>
      </c>
      <c r="T425" s="101">
        <f t="shared" si="393"/>
        <v>0</v>
      </c>
      <c r="U425" s="183">
        <v>1</v>
      </c>
      <c r="V425" s="99">
        <v>1</v>
      </c>
      <c r="W425" s="98">
        <v>0</v>
      </c>
      <c r="X425" s="98">
        <v>0</v>
      </c>
      <c r="Y425" s="101">
        <f t="shared" si="396"/>
        <v>0</v>
      </c>
      <c r="Z425" s="101">
        <v>1</v>
      </c>
      <c r="AA425" s="183">
        <v>0</v>
      </c>
      <c r="AB425" s="99">
        <v>1</v>
      </c>
      <c r="AC425" s="98">
        <v>0</v>
      </c>
      <c r="AD425" s="98">
        <v>0</v>
      </c>
      <c r="AE425" s="101">
        <f t="shared" si="394"/>
        <v>0</v>
      </c>
      <c r="AF425" s="100">
        <v>0</v>
      </c>
      <c r="AG425" s="98">
        <v>0</v>
      </c>
      <c r="AH425" s="99">
        <f t="shared" si="395"/>
        <v>0</v>
      </c>
      <c r="AI425" s="101">
        <v>1</v>
      </c>
      <c r="AJ425" s="106"/>
    </row>
    <row r="426" spans="2:36" s="35" customFormat="1" ht="17.100000000000001" customHeight="1">
      <c r="B426" s="105"/>
      <c r="C426" s="54"/>
      <c r="D426" s="96"/>
      <c r="E426" s="111"/>
      <c r="F426" s="112"/>
      <c r="G426" s="113"/>
      <c r="H426" s="183">
        <v>1</v>
      </c>
      <c r="I426" s="98">
        <v>0</v>
      </c>
      <c r="J426" s="98">
        <v>0</v>
      </c>
      <c r="K426" s="101">
        <f t="shared" si="390"/>
        <v>0</v>
      </c>
      <c r="L426" s="100">
        <v>0</v>
      </c>
      <c r="M426" s="98">
        <v>0</v>
      </c>
      <c r="N426" s="101">
        <f t="shared" si="391"/>
        <v>0</v>
      </c>
      <c r="O426" s="100">
        <v>0</v>
      </c>
      <c r="P426" s="98">
        <v>0</v>
      </c>
      <c r="Q426" s="101">
        <f t="shared" si="392"/>
        <v>0</v>
      </c>
      <c r="R426" s="100">
        <v>0</v>
      </c>
      <c r="S426" s="98">
        <v>0</v>
      </c>
      <c r="T426" s="101">
        <f t="shared" si="393"/>
        <v>0</v>
      </c>
      <c r="U426" s="183">
        <v>1</v>
      </c>
      <c r="V426" s="99">
        <v>1</v>
      </c>
      <c r="W426" s="98">
        <v>0</v>
      </c>
      <c r="X426" s="98">
        <v>0</v>
      </c>
      <c r="Y426" s="101">
        <f t="shared" si="396"/>
        <v>0</v>
      </c>
      <c r="Z426" s="101">
        <v>1</v>
      </c>
      <c r="AA426" s="183">
        <v>0</v>
      </c>
      <c r="AB426" s="99">
        <v>1</v>
      </c>
      <c r="AC426" s="98">
        <v>0</v>
      </c>
      <c r="AD426" s="98">
        <v>0</v>
      </c>
      <c r="AE426" s="101">
        <f t="shared" si="394"/>
        <v>0</v>
      </c>
      <c r="AF426" s="100">
        <v>0</v>
      </c>
      <c r="AG426" s="98">
        <v>0</v>
      </c>
      <c r="AH426" s="99">
        <f t="shared" si="395"/>
        <v>0</v>
      </c>
      <c r="AI426" s="101">
        <v>1</v>
      </c>
      <c r="AJ426" s="106"/>
    </row>
    <row r="427" spans="2:36" s="35" customFormat="1" ht="17.100000000000001" customHeight="1">
      <c r="B427" s="105"/>
      <c r="C427" s="54"/>
      <c r="D427" s="96"/>
      <c r="E427" s="111"/>
      <c r="F427" s="112"/>
      <c r="G427" s="113"/>
      <c r="H427" s="183">
        <v>1</v>
      </c>
      <c r="I427" s="98">
        <v>0</v>
      </c>
      <c r="J427" s="98">
        <v>0</v>
      </c>
      <c r="K427" s="101">
        <f t="shared" si="390"/>
        <v>0</v>
      </c>
      <c r="L427" s="100">
        <v>0</v>
      </c>
      <c r="M427" s="98">
        <v>0</v>
      </c>
      <c r="N427" s="101">
        <f t="shared" si="391"/>
        <v>0</v>
      </c>
      <c r="O427" s="100">
        <v>0</v>
      </c>
      <c r="P427" s="98">
        <v>0</v>
      </c>
      <c r="Q427" s="101">
        <f t="shared" si="392"/>
        <v>0</v>
      </c>
      <c r="R427" s="100">
        <v>0</v>
      </c>
      <c r="S427" s="98">
        <v>0</v>
      </c>
      <c r="T427" s="101">
        <f t="shared" si="393"/>
        <v>0</v>
      </c>
      <c r="U427" s="183">
        <v>1</v>
      </c>
      <c r="V427" s="99">
        <v>1</v>
      </c>
      <c r="W427" s="98">
        <v>0</v>
      </c>
      <c r="X427" s="98">
        <v>0</v>
      </c>
      <c r="Y427" s="101">
        <f t="shared" si="396"/>
        <v>0</v>
      </c>
      <c r="Z427" s="101">
        <v>1</v>
      </c>
      <c r="AA427" s="183">
        <v>0</v>
      </c>
      <c r="AB427" s="99">
        <v>1</v>
      </c>
      <c r="AC427" s="98">
        <v>0</v>
      </c>
      <c r="AD427" s="98">
        <v>0</v>
      </c>
      <c r="AE427" s="101">
        <f t="shared" si="394"/>
        <v>0</v>
      </c>
      <c r="AF427" s="100">
        <v>0</v>
      </c>
      <c r="AG427" s="98">
        <v>0</v>
      </c>
      <c r="AH427" s="99">
        <f t="shared" si="395"/>
        <v>0</v>
      </c>
      <c r="AI427" s="101">
        <v>1</v>
      </c>
      <c r="AJ427" s="106"/>
    </row>
    <row r="428" spans="2:36" s="126" customFormat="1" ht="17.100000000000001" customHeight="1">
      <c r="B428" s="118"/>
      <c r="C428" s="119"/>
      <c r="D428" s="120"/>
      <c r="E428" s="121"/>
      <c r="F428" s="122"/>
      <c r="G428" s="123"/>
      <c r="H428" s="183">
        <v>1</v>
      </c>
      <c r="I428" s="363" t="s">
        <v>201</v>
      </c>
      <c r="J428" s="363"/>
      <c r="K428" s="124">
        <f>SUM(K421:K427)</f>
        <v>0</v>
      </c>
      <c r="L428" s="341" t="s">
        <v>201</v>
      </c>
      <c r="M428" s="342"/>
      <c r="N428" s="124">
        <f>SUM(N421:N427)</f>
        <v>0</v>
      </c>
      <c r="O428" s="341" t="s">
        <v>201</v>
      </c>
      <c r="P428" s="342"/>
      <c r="Q428" s="124">
        <f>SUM(Q421:Q427)</f>
        <v>0</v>
      </c>
      <c r="R428" s="341" t="s">
        <v>201</v>
      </c>
      <c r="S428" s="342"/>
      <c r="T428" s="124">
        <f>SUM(T421:T427)</f>
        <v>0</v>
      </c>
      <c r="U428" s="183">
        <v>1</v>
      </c>
      <c r="V428" s="99">
        <v>1</v>
      </c>
      <c r="W428" s="363" t="s">
        <v>201</v>
      </c>
      <c r="X428" s="363"/>
      <c r="Y428" s="124">
        <f>SUM(Y421:Y427)</f>
        <v>300</v>
      </c>
      <c r="Z428" s="101">
        <v>1</v>
      </c>
      <c r="AA428" s="183">
        <v>0</v>
      </c>
      <c r="AB428" s="99">
        <v>1</v>
      </c>
      <c r="AC428" s="363" t="s">
        <v>201</v>
      </c>
      <c r="AD428" s="363"/>
      <c r="AE428" s="124">
        <f>SUM(AE421:AE427)</f>
        <v>0</v>
      </c>
      <c r="AF428" s="364" t="s">
        <v>201</v>
      </c>
      <c r="AG428" s="363"/>
      <c r="AH428" s="143">
        <f>SUM(AH421:AH427)</f>
        <v>0</v>
      </c>
      <c r="AI428" s="101">
        <v>1</v>
      </c>
      <c r="AJ428" s="125"/>
    </row>
    <row r="429" spans="2:36" s="35" customFormat="1" ht="16.95" customHeight="1">
      <c r="B429" s="105"/>
      <c r="C429" s="54">
        <f>'3. Rekap Back Up Non Aspal '!C74</f>
        <v>7800</v>
      </c>
      <c r="D429" s="96">
        <f>'3. Rekap Back Up Non Aspal '!D74</f>
        <v>7900</v>
      </c>
      <c r="E429" s="111">
        <f>'3. Rekap Back Up Non Aspal '!E74</f>
        <v>4</v>
      </c>
      <c r="F429" s="112">
        <f>(100/((D429-C429)*E429))*((K436*0.05)+(N436*0.05)+(Q436*0.05)+(T436)+(Y436)+(AE436*1.5)+(AH436*1))</f>
        <v>75</v>
      </c>
      <c r="G429" s="113" t="str">
        <f>IF(F429&lt;=25,"RB",IF(F429&lt;=75,"RB",IF(F429&lt;=100,"RB","RB")))</f>
        <v>RB</v>
      </c>
      <c r="H429" s="183">
        <v>1</v>
      </c>
      <c r="I429" s="98">
        <v>0</v>
      </c>
      <c r="J429" s="98">
        <v>0</v>
      </c>
      <c r="K429" s="101">
        <f t="shared" ref="K429:K435" si="397">I429*J429</f>
        <v>0</v>
      </c>
      <c r="L429" s="98">
        <v>0</v>
      </c>
      <c r="M429" s="98">
        <v>0</v>
      </c>
      <c r="N429" s="101">
        <f t="shared" ref="N429:N435" si="398">L429*M429</f>
        <v>0</v>
      </c>
      <c r="O429" s="98">
        <v>0</v>
      </c>
      <c r="P429" s="98">
        <v>0</v>
      </c>
      <c r="Q429" s="101">
        <f t="shared" ref="Q429:Q435" si="399">O429*P429</f>
        <v>0</v>
      </c>
      <c r="R429" s="98">
        <v>0</v>
      </c>
      <c r="S429" s="98">
        <v>0</v>
      </c>
      <c r="T429" s="101">
        <f t="shared" ref="T429:T435" si="400">R429*S429</f>
        <v>0</v>
      </c>
      <c r="U429" s="183">
        <v>2</v>
      </c>
      <c r="V429" s="99">
        <v>2</v>
      </c>
      <c r="W429" s="98">
        <v>100</v>
      </c>
      <c r="X429" s="98">
        <v>3</v>
      </c>
      <c r="Y429" s="101">
        <f>W429*X429</f>
        <v>300</v>
      </c>
      <c r="Z429" s="101">
        <v>1</v>
      </c>
      <c r="AA429" s="183">
        <v>0</v>
      </c>
      <c r="AB429" s="99">
        <v>1</v>
      </c>
      <c r="AC429" s="98">
        <v>0</v>
      </c>
      <c r="AD429" s="98">
        <v>0</v>
      </c>
      <c r="AE429" s="101">
        <f t="shared" ref="AE429:AE435" si="401">AC429*AD429</f>
        <v>0</v>
      </c>
      <c r="AF429" s="98">
        <v>0</v>
      </c>
      <c r="AG429" s="98">
        <v>3</v>
      </c>
      <c r="AH429" s="99">
        <f t="shared" ref="AH429:AH435" si="402">AF429*AG429</f>
        <v>0</v>
      </c>
      <c r="AI429" s="101">
        <v>1</v>
      </c>
      <c r="AJ429" s="106"/>
    </row>
    <row r="430" spans="2:36" s="35" customFormat="1" ht="17.100000000000001" customHeight="1">
      <c r="B430" s="105"/>
      <c r="C430" s="54"/>
      <c r="D430" s="96"/>
      <c r="E430" s="111"/>
      <c r="F430" s="112"/>
      <c r="G430" s="113"/>
      <c r="H430" s="183">
        <v>1</v>
      </c>
      <c r="I430" s="98">
        <v>0</v>
      </c>
      <c r="J430" s="98">
        <v>0</v>
      </c>
      <c r="K430" s="101">
        <f t="shared" si="397"/>
        <v>0</v>
      </c>
      <c r="L430" s="100">
        <v>0</v>
      </c>
      <c r="M430" s="98">
        <v>0</v>
      </c>
      <c r="N430" s="101">
        <f t="shared" si="398"/>
        <v>0</v>
      </c>
      <c r="O430" s="100">
        <v>0</v>
      </c>
      <c r="P430" s="98">
        <v>0</v>
      </c>
      <c r="Q430" s="101">
        <f t="shared" si="399"/>
        <v>0</v>
      </c>
      <c r="R430" s="100">
        <v>0</v>
      </c>
      <c r="S430" s="98">
        <v>0</v>
      </c>
      <c r="T430" s="101">
        <f t="shared" si="400"/>
        <v>0</v>
      </c>
      <c r="U430" s="183">
        <v>1</v>
      </c>
      <c r="V430" s="99">
        <v>1</v>
      </c>
      <c r="W430" s="98">
        <v>0</v>
      </c>
      <c r="X430" s="98">
        <v>0</v>
      </c>
      <c r="Y430" s="101">
        <f t="shared" ref="Y430:Y435" si="403">W430*X430</f>
        <v>0</v>
      </c>
      <c r="Z430" s="101">
        <v>1</v>
      </c>
      <c r="AA430" s="183">
        <v>0</v>
      </c>
      <c r="AB430" s="99">
        <v>1</v>
      </c>
      <c r="AC430" s="98">
        <v>0</v>
      </c>
      <c r="AD430" s="98">
        <v>0</v>
      </c>
      <c r="AE430" s="101">
        <f t="shared" si="401"/>
        <v>0</v>
      </c>
      <c r="AF430" s="100">
        <v>0</v>
      </c>
      <c r="AG430" s="98">
        <v>0</v>
      </c>
      <c r="AH430" s="99">
        <f t="shared" si="402"/>
        <v>0</v>
      </c>
      <c r="AI430" s="101">
        <v>1</v>
      </c>
      <c r="AJ430" s="106"/>
    </row>
    <row r="431" spans="2:36" s="35" customFormat="1" ht="17.100000000000001" customHeight="1">
      <c r="B431" s="105"/>
      <c r="C431" s="54"/>
      <c r="D431" s="96"/>
      <c r="E431" s="111"/>
      <c r="F431" s="112"/>
      <c r="G431" s="113"/>
      <c r="H431" s="183">
        <v>1</v>
      </c>
      <c r="I431" s="98">
        <v>0</v>
      </c>
      <c r="J431" s="98">
        <v>0</v>
      </c>
      <c r="K431" s="101">
        <f t="shared" si="397"/>
        <v>0</v>
      </c>
      <c r="L431" s="100">
        <v>0</v>
      </c>
      <c r="M431" s="98">
        <v>0</v>
      </c>
      <c r="N431" s="101">
        <f t="shared" si="398"/>
        <v>0</v>
      </c>
      <c r="O431" s="100">
        <v>0</v>
      </c>
      <c r="P431" s="98">
        <v>0</v>
      </c>
      <c r="Q431" s="101">
        <f t="shared" si="399"/>
        <v>0</v>
      </c>
      <c r="R431" s="100">
        <v>0</v>
      </c>
      <c r="S431" s="98">
        <v>0</v>
      </c>
      <c r="T431" s="101">
        <f t="shared" si="400"/>
        <v>0</v>
      </c>
      <c r="U431" s="183">
        <v>1</v>
      </c>
      <c r="V431" s="99">
        <v>1</v>
      </c>
      <c r="W431" s="98">
        <v>0</v>
      </c>
      <c r="X431" s="98">
        <v>0</v>
      </c>
      <c r="Y431" s="101">
        <f t="shared" si="403"/>
        <v>0</v>
      </c>
      <c r="Z431" s="101">
        <v>1</v>
      </c>
      <c r="AA431" s="183">
        <v>0</v>
      </c>
      <c r="AB431" s="99">
        <v>1</v>
      </c>
      <c r="AC431" s="98">
        <v>0</v>
      </c>
      <c r="AD431" s="98">
        <v>0</v>
      </c>
      <c r="AE431" s="101">
        <f t="shared" si="401"/>
        <v>0</v>
      </c>
      <c r="AF431" s="100">
        <v>0</v>
      </c>
      <c r="AG431" s="98">
        <v>0</v>
      </c>
      <c r="AH431" s="99">
        <f t="shared" si="402"/>
        <v>0</v>
      </c>
      <c r="AI431" s="101">
        <v>1</v>
      </c>
      <c r="AJ431" s="106"/>
    </row>
    <row r="432" spans="2:36" s="35" customFormat="1" ht="17.100000000000001" customHeight="1">
      <c r="B432" s="105"/>
      <c r="C432" s="54"/>
      <c r="D432" s="96"/>
      <c r="E432" s="111"/>
      <c r="F432" s="112"/>
      <c r="G432" s="113"/>
      <c r="H432" s="183">
        <v>1</v>
      </c>
      <c r="I432" s="98">
        <v>0</v>
      </c>
      <c r="J432" s="98">
        <v>0</v>
      </c>
      <c r="K432" s="101">
        <f t="shared" si="397"/>
        <v>0</v>
      </c>
      <c r="L432" s="100">
        <v>0</v>
      </c>
      <c r="M432" s="98">
        <v>0</v>
      </c>
      <c r="N432" s="101">
        <f t="shared" si="398"/>
        <v>0</v>
      </c>
      <c r="O432" s="100">
        <v>0</v>
      </c>
      <c r="P432" s="98">
        <v>0</v>
      </c>
      <c r="Q432" s="101">
        <f t="shared" si="399"/>
        <v>0</v>
      </c>
      <c r="R432" s="100">
        <v>0</v>
      </c>
      <c r="S432" s="98">
        <v>0</v>
      </c>
      <c r="T432" s="101">
        <f t="shared" si="400"/>
        <v>0</v>
      </c>
      <c r="U432" s="183">
        <v>1</v>
      </c>
      <c r="V432" s="99">
        <v>1</v>
      </c>
      <c r="W432" s="98">
        <v>0</v>
      </c>
      <c r="X432" s="98">
        <v>0</v>
      </c>
      <c r="Y432" s="101">
        <f t="shared" si="403"/>
        <v>0</v>
      </c>
      <c r="Z432" s="101">
        <v>1</v>
      </c>
      <c r="AA432" s="183">
        <v>0</v>
      </c>
      <c r="AB432" s="99">
        <v>1</v>
      </c>
      <c r="AC432" s="98">
        <v>0</v>
      </c>
      <c r="AD432" s="98">
        <v>0</v>
      </c>
      <c r="AE432" s="101">
        <f t="shared" si="401"/>
        <v>0</v>
      </c>
      <c r="AF432" s="100">
        <v>0</v>
      </c>
      <c r="AG432" s="98">
        <v>0</v>
      </c>
      <c r="AH432" s="99">
        <f t="shared" si="402"/>
        <v>0</v>
      </c>
      <c r="AI432" s="101">
        <v>1</v>
      </c>
      <c r="AJ432" s="106"/>
    </row>
    <row r="433" spans="2:36" s="35" customFormat="1" ht="17.100000000000001" customHeight="1">
      <c r="B433" s="105"/>
      <c r="C433" s="54"/>
      <c r="D433" s="96"/>
      <c r="E433" s="111"/>
      <c r="F433" s="112"/>
      <c r="G433" s="113"/>
      <c r="H433" s="183">
        <v>1</v>
      </c>
      <c r="I433" s="98">
        <v>0</v>
      </c>
      <c r="J433" s="98">
        <v>0</v>
      </c>
      <c r="K433" s="101">
        <f t="shared" si="397"/>
        <v>0</v>
      </c>
      <c r="L433" s="100">
        <v>0</v>
      </c>
      <c r="M433" s="98">
        <v>0</v>
      </c>
      <c r="N433" s="101">
        <f t="shared" si="398"/>
        <v>0</v>
      </c>
      <c r="O433" s="100">
        <v>0</v>
      </c>
      <c r="P433" s="98">
        <v>0</v>
      </c>
      <c r="Q433" s="101">
        <f t="shared" si="399"/>
        <v>0</v>
      </c>
      <c r="R433" s="100">
        <v>0</v>
      </c>
      <c r="S433" s="98">
        <v>0</v>
      </c>
      <c r="T433" s="101">
        <f t="shared" si="400"/>
        <v>0</v>
      </c>
      <c r="U433" s="183">
        <v>1</v>
      </c>
      <c r="V433" s="99">
        <v>1</v>
      </c>
      <c r="W433" s="98">
        <v>0</v>
      </c>
      <c r="X433" s="98">
        <v>0</v>
      </c>
      <c r="Y433" s="101">
        <f t="shared" si="403"/>
        <v>0</v>
      </c>
      <c r="Z433" s="101">
        <v>1</v>
      </c>
      <c r="AA433" s="183">
        <v>0</v>
      </c>
      <c r="AB433" s="99">
        <v>1</v>
      </c>
      <c r="AC433" s="98">
        <v>0</v>
      </c>
      <c r="AD433" s="98">
        <v>0</v>
      </c>
      <c r="AE433" s="101">
        <f t="shared" si="401"/>
        <v>0</v>
      </c>
      <c r="AF433" s="100">
        <v>0</v>
      </c>
      <c r="AG433" s="98">
        <v>0</v>
      </c>
      <c r="AH433" s="99">
        <f t="shared" si="402"/>
        <v>0</v>
      </c>
      <c r="AI433" s="101">
        <v>1</v>
      </c>
      <c r="AJ433" s="106"/>
    </row>
    <row r="434" spans="2:36" s="35" customFormat="1" ht="17.100000000000001" customHeight="1">
      <c r="B434" s="105"/>
      <c r="C434" s="54"/>
      <c r="D434" s="96"/>
      <c r="E434" s="111"/>
      <c r="F434" s="112"/>
      <c r="G434" s="113"/>
      <c r="H434" s="183">
        <v>1</v>
      </c>
      <c r="I434" s="98">
        <v>0</v>
      </c>
      <c r="J434" s="98">
        <v>0</v>
      </c>
      <c r="K434" s="101">
        <f t="shared" si="397"/>
        <v>0</v>
      </c>
      <c r="L434" s="100">
        <v>0</v>
      </c>
      <c r="M434" s="98">
        <v>0</v>
      </c>
      <c r="N434" s="101">
        <f t="shared" si="398"/>
        <v>0</v>
      </c>
      <c r="O434" s="100">
        <v>0</v>
      </c>
      <c r="P434" s="98">
        <v>0</v>
      </c>
      <c r="Q434" s="101">
        <f t="shared" si="399"/>
        <v>0</v>
      </c>
      <c r="R434" s="100">
        <v>0</v>
      </c>
      <c r="S434" s="98">
        <v>0</v>
      </c>
      <c r="T434" s="101">
        <f t="shared" si="400"/>
        <v>0</v>
      </c>
      <c r="U434" s="183">
        <v>1</v>
      </c>
      <c r="V434" s="99">
        <v>1</v>
      </c>
      <c r="W434" s="98">
        <v>0</v>
      </c>
      <c r="X434" s="98">
        <v>0</v>
      </c>
      <c r="Y434" s="101">
        <f t="shared" si="403"/>
        <v>0</v>
      </c>
      <c r="Z434" s="101">
        <v>1</v>
      </c>
      <c r="AA434" s="183">
        <v>0</v>
      </c>
      <c r="AB434" s="99">
        <v>1</v>
      </c>
      <c r="AC434" s="98">
        <v>0</v>
      </c>
      <c r="AD434" s="98">
        <v>0</v>
      </c>
      <c r="AE434" s="101">
        <f t="shared" si="401"/>
        <v>0</v>
      </c>
      <c r="AF434" s="100">
        <v>0</v>
      </c>
      <c r="AG434" s="98">
        <v>0</v>
      </c>
      <c r="AH434" s="99">
        <f t="shared" si="402"/>
        <v>0</v>
      </c>
      <c r="AI434" s="101">
        <v>1</v>
      </c>
      <c r="AJ434" s="106"/>
    </row>
    <row r="435" spans="2:36" s="35" customFormat="1" ht="17.100000000000001" customHeight="1">
      <c r="B435" s="105"/>
      <c r="C435" s="54"/>
      <c r="D435" s="96"/>
      <c r="E435" s="111"/>
      <c r="F435" s="112"/>
      <c r="G435" s="113"/>
      <c r="H435" s="183">
        <v>1</v>
      </c>
      <c r="I435" s="98">
        <v>0</v>
      </c>
      <c r="J435" s="98">
        <v>0</v>
      </c>
      <c r="K435" s="101">
        <f t="shared" si="397"/>
        <v>0</v>
      </c>
      <c r="L435" s="100">
        <v>0</v>
      </c>
      <c r="M435" s="98">
        <v>0</v>
      </c>
      <c r="N435" s="101">
        <f t="shared" si="398"/>
        <v>0</v>
      </c>
      <c r="O435" s="100">
        <v>0</v>
      </c>
      <c r="P435" s="98">
        <v>0</v>
      </c>
      <c r="Q435" s="101">
        <f t="shared" si="399"/>
        <v>0</v>
      </c>
      <c r="R435" s="100">
        <v>0</v>
      </c>
      <c r="S435" s="98">
        <v>0</v>
      </c>
      <c r="T435" s="101">
        <f t="shared" si="400"/>
        <v>0</v>
      </c>
      <c r="U435" s="183">
        <v>1</v>
      </c>
      <c r="V435" s="99">
        <v>1</v>
      </c>
      <c r="W435" s="98">
        <v>0</v>
      </c>
      <c r="X435" s="98">
        <v>0</v>
      </c>
      <c r="Y435" s="101">
        <f t="shared" si="403"/>
        <v>0</v>
      </c>
      <c r="Z435" s="101">
        <v>1</v>
      </c>
      <c r="AA435" s="183">
        <v>0</v>
      </c>
      <c r="AB435" s="99">
        <v>1</v>
      </c>
      <c r="AC435" s="98">
        <v>0</v>
      </c>
      <c r="AD435" s="98">
        <v>0</v>
      </c>
      <c r="AE435" s="101">
        <f t="shared" si="401"/>
        <v>0</v>
      </c>
      <c r="AF435" s="100">
        <v>0</v>
      </c>
      <c r="AG435" s="98">
        <v>0</v>
      </c>
      <c r="AH435" s="99">
        <f t="shared" si="402"/>
        <v>0</v>
      </c>
      <c r="AI435" s="101">
        <v>1</v>
      </c>
      <c r="AJ435" s="106"/>
    </row>
    <row r="436" spans="2:36" s="126" customFormat="1" ht="17.100000000000001" customHeight="1" thickBot="1">
      <c r="B436" s="128"/>
      <c r="C436" s="154"/>
      <c r="D436" s="155"/>
      <c r="E436" s="156"/>
      <c r="F436" s="129"/>
      <c r="G436" s="130"/>
      <c r="H436" s="184">
        <v>1</v>
      </c>
      <c r="I436" s="361" t="s">
        <v>201</v>
      </c>
      <c r="J436" s="361"/>
      <c r="K436" s="131">
        <f>SUM(K429:K435)</f>
        <v>0</v>
      </c>
      <c r="L436" s="344" t="s">
        <v>201</v>
      </c>
      <c r="M436" s="345"/>
      <c r="N436" s="131">
        <f>SUM(N429:N435)</f>
        <v>0</v>
      </c>
      <c r="O436" s="344" t="s">
        <v>201</v>
      </c>
      <c r="P436" s="345"/>
      <c r="Q436" s="131">
        <f>SUM(Q429:Q435)</f>
        <v>0</v>
      </c>
      <c r="R436" s="344" t="s">
        <v>201</v>
      </c>
      <c r="S436" s="345"/>
      <c r="T436" s="131">
        <f>SUM(T429:T435)</f>
        <v>0</v>
      </c>
      <c r="U436" s="184">
        <v>1</v>
      </c>
      <c r="V436" s="160">
        <v>1</v>
      </c>
      <c r="W436" s="361" t="s">
        <v>201</v>
      </c>
      <c r="X436" s="361"/>
      <c r="Y436" s="131">
        <f>SUM(Y429:Y435)</f>
        <v>300</v>
      </c>
      <c r="Z436" s="133">
        <v>1</v>
      </c>
      <c r="AA436" s="184">
        <v>0</v>
      </c>
      <c r="AB436" s="160">
        <v>1</v>
      </c>
      <c r="AC436" s="361" t="s">
        <v>201</v>
      </c>
      <c r="AD436" s="361"/>
      <c r="AE436" s="131">
        <f>SUM(AE429:AE435)</f>
        <v>0</v>
      </c>
      <c r="AF436" s="362" t="s">
        <v>201</v>
      </c>
      <c r="AG436" s="361"/>
      <c r="AH436" s="144">
        <f>SUM(AH429:AH435)</f>
        <v>0</v>
      </c>
      <c r="AI436" s="133">
        <v>1</v>
      </c>
      <c r="AJ436" s="134"/>
    </row>
    <row r="437" spans="2:36" s="35" customFormat="1" ht="16.95" customHeight="1">
      <c r="B437" s="114"/>
      <c r="C437" s="157">
        <f>'3. Rekap Back Up Non Aspal '!C75</f>
        <v>7900</v>
      </c>
      <c r="D437" s="158">
        <f>'3. Rekap Back Up Non Aspal '!D75</f>
        <v>8000</v>
      </c>
      <c r="E437" s="159">
        <f>'3. Rekap Back Up Non Aspal '!E75</f>
        <v>4</v>
      </c>
      <c r="F437" s="115">
        <f>(100/((D437-C437)*E437))*((K444*0.05)+(N444*0.05)+(Q444*0.05)+(T444)+(Y444)+(AE444*1.5)+(AH444*1))</f>
        <v>75</v>
      </c>
      <c r="G437" s="116" t="str">
        <f>IF(F437&lt;=25,"RB",IF(F437&lt;=75,"RB",IF(F437&lt;=100,"RB","RB")))</f>
        <v>RB</v>
      </c>
      <c r="H437" s="185">
        <v>1</v>
      </c>
      <c r="I437" s="136">
        <v>0</v>
      </c>
      <c r="J437" s="136">
        <v>0</v>
      </c>
      <c r="K437" s="137">
        <f t="shared" ref="K437:K443" si="404">I437*J437</f>
        <v>0</v>
      </c>
      <c r="L437" s="136">
        <v>0</v>
      </c>
      <c r="M437" s="136">
        <v>0</v>
      </c>
      <c r="N437" s="137">
        <f t="shared" ref="N437:N443" si="405">L437*M437</f>
        <v>0</v>
      </c>
      <c r="O437" s="136">
        <v>0</v>
      </c>
      <c r="P437" s="136">
        <v>3</v>
      </c>
      <c r="Q437" s="137">
        <f t="shared" ref="Q437:Q443" si="406">O437*P437</f>
        <v>0</v>
      </c>
      <c r="R437" s="136">
        <v>0</v>
      </c>
      <c r="S437" s="136">
        <v>0</v>
      </c>
      <c r="T437" s="137">
        <f t="shared" ref="T437:T443" si="407">R437*S437</f>
        <v>0</v>
      </c>
      <c r="U437" s="185">
        <v>2</v>
      </c>
      <c r="V437" s="138">
        <v>3</v>
      </c>
      <c r="W437" s="136">
        <v>100</v>
      </c>
      <c r="X437" s="136">
        <v>3</v>
      </c>
      <c r="Y437" s="137">
        <f>W437*X437</f>
        <v>300</v>
      </c>
      <c r="Z437" s="137">
        <v>1</v>
      </c>
      <c r="AA437" s="185">
        <v>0</v>
      </c>
      <c r="AB437" s="138">
        <v>1</v>
      </c>
      <c r="AC437" s="136">
        <v>0</v>
      </c>
      <c r="AD437" s="136">
        <v>0</v>
      </c>
      <c r="AE437" s="137">
        <f t="shared" ref="AE437:AE443" si="408">AC437*AD437</f>
        <v>0</v>
      </c>
      <c r="AF437" s="136">
        <v>0</v>
      </c>
      <c r="AG437" s="136">
        <v>0</v>
      </c>
      <c r="AH437" s="138">
        <f t="shared" ref="AH437:AH443" si="409">AF437*AG437</f>
        <v>0</v>
      </c>
      <c r="AI437" s="137">
        <v>1</v>
      </c>
      <c r="AJ437" s="139"/>
    </row>
    <row r="438" spans="2:36" s="35" customFormat="1" ht="17.100000000000001" customHeight="1">
      <c r="B438" s="105"/>
      <c r="C438" s="54"/>
      <c r="D438" s="96"/>
      <c r="E438" s="111"/>
      <c r="F438" s="112"/>
      <c r="G438" s="113"/>
      <c r="H438" s="183">
        <v>1</v>
      </c>
      <c r="I438" s="98">
        <v>0</v>
      </c>
      <c r="J438" s="98">
        <v>0</v>
      </c>
      <c r="K438" s="101">
        <f t="shared" si="404"/>
        <v>0</v>
      </c>
      <c r="L438" s="100">
        <v>0</v>
      </c>
      <c r="M438" s="98">
        <v>0</v>
      </c>
      <c r="N438" s="101">
        <f t="shared" si="405"/>
        <v>0</v>
      </c>
      <c r="O438" s="100">
        <v>0</v>
      </c>
      <c r="P438" s="98">
        <v>0</v>
      </c>
      <c r="Q438" s="101">
        <f t="shared" si="406"/>
        <v>0</v>
      </c>
      <c r="R438" s="100">
        <v>0</v>
      </c>
      <c r="S438" s="98">
        <v>0</v>
      </c>
      <c r="T438" s="101">
        <f t="shared" si="407"/>
        <v>0</v>
      </c>
      <c r="U438" s="183">
        <v>1</v>
      </c>
      <c r="V438" s="99">
        <v>1</v>
      </c>
      <c r="W438" s="98">
        <v>0</v>
      </c>
      <c r="X438" s="98">
        <v>0</v>
      </c>
      <c r="Y438" s="101">
        <f t="shared" ref="Y438:Y443" si="410">W438*X438</f>
        <v>0</v>
      </c>
      <c r="Z438" s="101">
        <v>1</v>
      </c>
      <c r="AA438" s="183">
        <v>0</v>
      </c>
      <c r="AB438" s="99">
        <v>1</v>
      </c>
      <c r="AC438" s="98">
        <v>0</v>
      </c>
      <c r="AD438" s="98">
        <v>0</v>
      </c>
      <c r="AE438" s="101">
        <f t="shared" si="408"/>
        <v>0</v>
      </c>
      <c r="AF438" s="100">
        <v>0</v>
      </c>
      <c r="AG438" s="98">
        <v>0</v>
      </c>
      <c r="AH438" s="99">
        <f t="shared" si="409"/>
        <v>0</v>
      </c>
      <c r="AI438" s="101">
        <v>1</v>
      </c>
      <c r="AJ438" s="106"/>
    </row>
    <row r="439" spans="2:36" s="35" customFormat="1" ht="17.100000000000001" customHeight="1">
      <c r="B439" s="105"/>
      <c r="C439" s="54"/>
      <c r="D439" s="96"/>
      <c r="E439" s="111"/>
      <c r="F439" s="112"/>
      <c r="G439" s="113"/>
      <c r="H439" s="183">
        <v>1</v>
      </c>
      <c r="I439" s="98">
        <v>0</v>
      </c>
      <c r="J439" s="98">
        <v>0</v>
      </c>
      <c r="K439" s="101">
        <f t="shared" si="404"/>
        <v>0</v>
      </c>
      <c r="L439" s="100">
        <v>0</v>
      </c>
      <c r="M439" s="98">
        <v>0</v>
      </c>
      <c r="N439" s="101">
        <f t="shared" si="405"/>
        <v>0</v>
      </c>
      <c r="O439" s="100">
        <v>0</v>
      </c>
      <c r="P439" s="98">
        <v>0</v>
      </c>
      <c r="Q439" s="101">
        <f t="shared" si="406"/>
        <v>0</v>
      </c>
      <c r="R439" s="100">
        <v>0</v>
      </c>
      <c r="S439" s="98">
        <v>0</v>
      </c>
      <c r="T439" s="101">
        <f t="shared" si="407"/>
        <v>0</v>
      </c>
      <c r="U439" s="183">
        <v>1</v>
      </c>
      <c r="V439" s="99">
        <v>1</v>
      </c>
      <c r="W439" s="98">
        <v>0</v>
      </c>
      <c r="X439" s="98">
        <v>0</v>
      </c>
      <c r="Y439" s="101">
        <f t="shared" si="410"/>
        <v>0</v>
      </c>
      <c r="Z439" s="101">
        <v>1</v>
      </c>
      <c r="AA439" s="183">
        <v>0</v>
      </c>
      <c r="AB439" s="99">
        <v>1</v>
      </c>
      <c r="AC439" s="98">
        <v>0</v>
      </c>
      <c r="AD439" s="98">
        <v>0</v>
      </c>
      <c r="AE439" s="101">
        <f t="shared" si="408"/>
        <v>0</v>
      </c>
      <c r="AF439" s="100">
        <v>0</v>
      </c>
      <c r="AG439" s="98">
        <v>0</v>
      </c>
      <c r="AH439" s="99">
        <f t="shared" si="409"/>
        <v>0</v>
      </c>
      <c r="AI439" s="101">
        <v>1</v>
      </c>
      <c r="AJ439" s="106"/>
    </row>
    <row r="440" spans="2:36" s="35" customFormat="1" ht="17.100000000000001" customHeight="1">
      <c r="B440" s="105"/>
      <c r="C440" s="54"/>
      <c r="D440" s="96"/>
      <c r="E440" s="111"/>
      <c r="F440" s="112"/>
      <c r="G440" s="113"/>
      <c r="H440" s="183">
        <v>1</v>
      </c>
      <c r="I440" s="98">
        <v>0</v>
      </c>
      <c r="J440" s="98">
        <v>0</v>
      </c>
      <c r="K440" s="101">
        <f t="shared" si="404"/>
        <v>0</v>
      </c>
      <c r="L440" s="100">
        <v>0</v>
      </c>
      <c r="M440" s="98">
        <v>0</v>
      </c>
      <c r="N440" s="101">
        <f t="shared" si="405"/>
        <v>0</v>
      </c>
      <c r="O440" s="100">
        <v>0</v>
      </c>
      <c r="P440" s="98">
        <v>0</v>
      </c>
      <c r="Q440" s="101">
        <f t="shared" si="406"/>
        <v>0</v>
      </c>
      <c r="R440" s="100">
        <v>0</v>
      </c>
      <c r="S440" s="98">
        <v>0</v>
      </c>
      <c r="T440" s="101">
        <f t="shared" si="407"/>
        <v>0</v>
      </c>
      <c r="U440" s="183">
        <v>1</v>
      </c>
      <c r="V440" s="99">
        <v>1</v>
      </c>
      <c r="W440" s="98">
        <v>0</v>
      </c>
      <c r="X440" s="98">
        <v>0</v>
      </c>
      <c r="Y440" s="101">
        <f t="shared" si="410"/>
        <v>0</v>
      </c>
      <c r="Z440" s="101">
        <v>1</v>
      </c>
      <c r="AA440" s="183">
        <v>0</v>
      </c>
      <c r="AB440" s="99">
        <v>1</v>
      </c>
      <c r="AC440" s="98">
        <v>0</v>
      </c>
      <c r="AD440" s="98">
        <v>0</v>
      </c>
      <c r="AE440" s="101">
        <f t="shared" si="408"/>
        <v>0</v>
      </c>
      <c r="AF440" s="100">
        <v>0</v>
      </c>
      <c r="AG440" s="98">
        <v>0</v>
      </c>
      <c r="AH440" s="99">
        <f t="shared" si="409"/>
        <v>0</v>
      </c>
      <c r="AI440" s="101">
        <v>1</v>
      </c>
      <c r="AJ440" s="106"/>
    </row>
    <row r="441" spans="2:36" s="35" customFormat="1" ht="17.100000000000001" customHeight="1">
      <c r="B441" s="105"/>
      <c r="C441" s="54"/>
      <c r="D441" s="96"/>
      <c r="E441" s="111"/>
      <c r="F441" s="112"/>
      <c r="G441" s="113"/>
      <c r="H441" s="183">
        <v>1</v>
      </c>
      <c r="I441" s="98">
        <v>0</v>
      </c>
      <c r="J441" s="98">
        <v>0</v>
      </c>
      <c r="K441" s="101">
        <f t="shared" si="404"/>
        <v>0</v>
      </c>
      <c r="L441" s="100">
        <v>0</v>
      </c>
      <c r="M441" s="98">
        <v>0</v>
      </c>
      <c r="N441" s="101">
        <f t="shared" si="405"/>
        <v>0</v>
      </c>
      <c r="O441" s="100">
        <v>0</v>
      </c>
      <c r="P441" s="98">
        <v>0</v>
      </c>
      <c r="Q441" s="101">
        <f t="shared" si="406"/>
        <v>0</v>
      </c>
      <c r="R441" s="100">
        <v>0</v>
      </c>
      <c r="S441" s="98">
        <v>0</v>
      </c>
      <c r="T441" s="101">
        <f t="shared" si="407"/>
        <v>0</v>
      </c>
      <c r="U441" s="183">
        <v>1</v>
      </c>
      <c r="V441" s="99">
        <v>1</v>
      </c>
      <c r="W441" s="98">
        <v>0</v>
      </c>
      <c r="X441" s="98">
        <v>0</v>
      </c>
      <c r="Y441" s="101">
        <f t="shared" si="410"/>
        <v>0</v>
      </c>
      <c r="Z441" s="101">
        <v>1</v>
      </c>
      <c r="AA441" s="183">
        <v>0</v>
      </c>
      <c r="AB441" s="99">
        <v>1</v>
      </c>
      <c r="AC441" s="98">
        <v>0</v>
      </c>
      <c r="AD441" s="98">
        <v>0</v>
      </c>
      <c r="AE441" s="101">
        <f t="shared" si="408"/>
        <v>0</v>
      </c>
      <c r="AF441" s="100">
        <v>0</v>
      </c>
      <c r="AG441" s="98">
        <v>0</v>
      </c>
      <c r="AH441" s="99">
        <f t="shared" si="409"/>
        <v>0</v>
      </c>
      <c r="AI441" s="101">
        <v>1</v>
      </c>
      <c r="AJ441" s="106"/>
    </row>
    <row r="442" spans="2:36" s="35" customFormat="1" ht="17.100000000000001" customHeight="1">
      <c r="B442" s="105"/>
      <c r="C442" s="54"/>
      <c r="D442" s="96"/>
      <c r="E442" s="111"/>
      <c r="F442" s="112"/>
      <c r="G442" s="113"/>
      <c r="H442" s="183">
        <v>1</v>
      </c>
      <c r="I442" s="98">
        <v>0</v>
      </c>
      <c r="J442" s="98">
        <v>0</v>
      </c>
      <c r="K442" s="101">
        <f t="shared" si="404"/>
        <v>0</v>
      </c>
      <c r="L442" s="100">
        <v>0</v>
      </c>
      <c r="M442" s="98">
        <v>0</v>
      </c>
      <c r="N442" s="101">
        <f t="shared" si="405"/>
        <v>0</v>
      </c>
      <c r="O442" s="100">
        <v>0</v>
      </c>
      <c r="P442" s="98">
        <v>0</v>
      </c>
      <c r="Q442" s="101">
        <f t="shared" si="406"/>
        <v>0</v>
      </c>
      <c r="R442" s="100">
        <v>0</v>
      </c>
      <c r="S442" s="98">
        <v>0</v>
      </c>
      <c r="T442" s="101">
        <f t="shared" si="407"/>
        <v>0</v>
      </c>
      <c r="U442" s="183">
        <v>1</v>
      </c>
      <c r="V442" s="99">
        <v>1</v>
      </c>
      <c r="W442" s="98">
        <v>0</v>
      </c>
      <c r="X442" s="98">
        <v>0</v>
      </c>
      <c r="Y442" s="101">
        <f t="shared" si="410"/>
        <v>0</v>
      </c>
      <c r="Z442" s="101">
        <v>1</v>
      </c>
      <c r="AA442" s="183">
        <v>0</v>
      </c>
      <c r="AB442" s="99">
        <v>1</v>
      </c>
      <c r="AC442" s="98">
        <v>0</v>
      </c>
      <c r="AD442" s="98">
        <v>0</v>
      </c>
      <c r="AE442" s="101">
        <f t="shared" si="408"/>
        <v>0</v>
      </c>
      <c r="AF442" s="100">
        <v>0</v>
      </c>
      <c r="AG442" s="98">
        <v>0</v>
      </c>
      <c r="AH442" s="99">
        <f t="shared" si="409"/>
        <v>0</v>
      </c>
      <c r="AI442" s="101">
        <v>1</v>
      </c>
      <c r="AJ442" s="106"/>
    </row>
    <row r="443" spans="2:36" s="35" customFormat="1" ht="17.100000000000001" customHeight="1">
      <c r="B443" s="105"/>
      <c r="C443" s="54"/>
      <c r="D443" s="96"/>
      <c r="E443" s="111"/>
      <c r="F443" s="112"/>
      <c r="G443" s="113"/>
      <c r="H443" s="183">
        <v>1</v>
      </c>
      <c r="I443" s="98">
        <v>0</v>
      </c>
      <c r="J443" s="98">
        <v>0</v>
      </c>
      <c r="K443" s="101">
        <f t="shared" si="404"/>
        <v>0</v>
      </c>
      <c r="L443" s="100">
        <v>0</v>
      </c>
      <c r="M443" s="98">
        <v>0</v>
      </c>
      <c r="N443" s="101">
        <f t="shared" si="405"/>
        <v>0</v>
      </c>
      <c r="O443" s="100">
        <v>0</v>
      </c>
      <c r="P443" s="98">
        <v>0</v>
      </c>
      <c r="Q443" s="101">
        <f t="shared" si="406"/>
        <v>0</v>
      </c>
      <c r="R443" s="100">
        <v>0</v>
      </c>
      <c r="S443" s="98">
        <v>0</v>
      </c>
      <c r="T443" s="101">
        <f t="shared" si="407"/>
        <v>0</v>
      </c>
      <c r="U443" s="183">
        <v>1</v>
      </c>
      <c r="V443" s="99">
        <v>1</v>
      </c>
      <c r="W443" s="98">
        <v>0</v>
      </c>
      <c r="X443" s="98">
        <v>0</v>
      </c>
      <c r="Y443" s="101">
        <f t="shared" si="410"/>
        <v>0</v>
      </c>
      <c r="Z443" s="101">
        <v>1</v>
      </c>
      <c r="AA443" s="183">
        <v>0</v>
      </c>
      <c r="AB443" s="99">
        <v>1</v>
      </c>
      <c r="AC443" s="98">
        <v>0</v>
      </c>
      <c r="AD443" s="98">
        <v>0</v>
      </c>
      <c r="AE443" s="101">
        <f t="shared" si="408"/>
        <v>0</v>
      </c>
      <c r="AF443" s="100">
        <v>0</v>
      </c>
      <c r="AG443" s="98">
        <v>0</v>
      </c>
      <c r="AH443" s="99">
        <f t="shared" si="409"/>
        <v>0</v>
      </c>
      <c r="AI443" s="101">
        <v>1</v>
      </c>
      <c r="AJ443" s="106"/>
    </row>
    <row r="444" spans="2:36" s="126" customFormat="1" ht="17.100000000000001" customHeight="1">
      <c r="B444" s="118"/>
      <c r="C444" s="119"/>
      <c r="D444" s="120"/>
      <c r="E444" s="121"/>
      <c r="F444" s="122"/>
      <c r="G444" s="123"/>
      <c r="H444" s="183">
        <v>1</v>
      </c>
      <c r="I444" s="363" t="s">
        <v>201</v>
      </c>
      <c r="J444" s="363"/>
      <c r="K444" s="124">
        <f>SUM(K437:K443)</f>
        <v>0</v>
      </c>
      <c r="L444" s="341" t="s">
        <v>201</v>
      </c>
      <c r="M444" s="342"/>
      <c r="N444" s="124">
        <f>SUM(N437:N443)</f>
        <v>0</v>
      </c>
      <c r="O444" s="341" t="s">
        <v>201</v>
      </c>
      <c r="P444" s="342"/>
      <c r="Q444" s="124">
        <f>SUM(Q437:Q443)</f>
        <v>0</v>
      </c>
      <c r="R444" s="341" t="s">
        <v>201</v>
      </c>
      <c r="S444" s="342"/>
      <c r="T444" s="124">
        <f>SUM(T437:T443)</f>
        <v>0</v>
      </c>
      <c r="U444" s="183">
        <v>1</v>
      </c>
      <c r="V444" s="99">
        <v>1</v>
      </c>
      <c r="W444" s="363" t="s">
        <v>201</v>
      </c>
      <c r="X444" s="363"/>
      <c r="Y444" s="124">
        <f>SUM(Y437:Y443)</f>
        <v>300</v>
      </c>
      <c r="Z444" s="101">
        <v>1</v>
      </c>
      <c r="AA444" s="183">
        <v>0</v>
      </c>
      <c r="AB444" s="99">
        <v>1</v>
      </c>
      <c r="AC444" s="363" t="s">
        <v>201</v>
      </c>
      <c r="AD444" s="363"/>
      <c r="AE444" s="124">
        <f>SUM(AE437:AE443)</f>
        <v>0</v>
      </c>
      <c r="AF444" s="364" t="s">
        <v>201</v>
      </c>
      <c r="AG444" s="363"/>
      <c r="AH444" s="143">
        <f>SUM(AH437:AH443)</f>
        <v>0</v>
      </c>
      <c r="AI444" s="101">
        <v>1</v>
      </c>
      <c r="AJ444" s="125"/>
    </row>
    <row r="445" spans="2:36" s="35" customFormat="1" ht="16.95" customHeight="1">
      <c r="B445" s="105"/>
      <c r="C445" s="54">
        <f>'3. Rekap Back Up Non Aspal '!C76</f>
        <v>8000</v>
      </c>
      <c r="D445" s="96">
        <f>'3. Rekap Back Up Non Aspal '!D76</f>
        <v>8100</v>
      </c>
      <c r="E445" s="111">
        <f>'3. Rekap Back Up Non Aspal '!E76</f>
        <v>4</v>
      </c>
      <c r="F445" s="112">
        <f>(100/((D445-C445)*E445))*((K452*0.05)+(N452*0.05)+(Q452*0.05)+(T452)+(Y452)+(AE452*1.5)+(AH452*1))</f>
        <v>78.75</v>
      </c>
      <c r="G445" s="113" t="str">
        <f>IF(F445&lt;=25,"RB",IF(F445&lt;=75,"RB",IF(F445&lt;=100,"RB","RB")))</f>
        <v>RB</v>
      </c>
      <c r="H445" s="183">
        <v>1</v>
      </c>
      <c r="I445" s="98">
        <v>0</v>
      </c>
      <c r="J445" s="98">
        <v>0</v>
      </c>
      <c r="K445" s="101">
        <f t="shared" ref="K445:K451" si="411">I445*J445</f>
        <v>0</v>
      </c>
      <c r="L445" s="98">
        <v>0</v>
      </c>
      <c r="M445" s="98">
        <v>0</v>
      </c>
      <c r="N445" s="101">
        <f t="shared" ref="N445:N451" si="412">L445*M445</f>
        <v>0</v>
      </c>
      <c r="O445" s="98">
        <v>0</v>
      </c>
      <c r="P445" s="98">
        <v>0</v>
      </c>
      <c r="Q445" s="101">
        <f t="shared" ref="Q445:Q451" si="413">O445*P445</f>
        <v>0</v>
      </c>
      <c r="R445" s="98">
        <v>5</v>
      </c>
      <c r="S445" s="98">
        <v>3</v>
      </c>
      <c r="T445" s="101">
        <f t="shared" ref="T445:T451" si="414">R445*S445</f>
        <v>15</v>
      </c>
      <c r="U445" s="183">
        <v>3</v>
      </c>
      <c r="V445" s="99">
        <v>3</v>
      </c>
      <c r="W445" s="98">
        <v>100</v>
      </c>
      <c r="X445" s="98">
        <v>3</v>
      </c>
      <c r="Y445" s="101">
        <f>W445*X445</f>
        <v>300</v>
      </c>
      <c r="Z445" s="101">
        <v>1</v>
      </c>
      <c r="AA445" s="183">
        <v>0</v>
      </c>
      <c r="AB445" s="99">
        <v>1</v>
      </c>
      <c r="AC445" s="98">
        <v>0</v>
      </c>
      <c r="AD445" s="98">
        <v>0</v>
      </c>
      <c r="AE445" s="101">
        <f t="shared" ref="AE445:AE451" si="415">AC445*AD445</f>
        <v>0</v>
      </c>
      <c r="AF445" s="98">
        <v>0</v>
      </c>
      <c r="AG445" s="98">
        <v>3</v>
      </c>
      <c r="AH445" s="99">
        <f t="shared" ref="AH445:AH451" si="416">AF445*AG445</f>
        <v>0</v>
      </c>
      <c r="AI445" s="101">
        <v>1</v>
      </c>
      <c r="AJ445" s="106"/>
    </row>
    <row r="446" spans="2:36" s="35" customFormat="1" ht="17.100000000000001" customHeight="1">
      <c r="B446" s="105"/>
      <c r="C446" s="54"/>
      <c r="D446" s="96"/>
      <c r="E446" s="111"/>
      <c r="F446" s="112"/>
      <c r="G446" s="113"/>
      <c r="H446" s="183">
        <v>1</v>
      </c>
      <c r="I446" s="98">
        <v>0</v>
      </c>
      <c r="J446" s="98">
        <v>0</v>
      </c>
      <c r="K446" s="101">
        <f t="shared" si="411"/>
        <v>0</v>
      </c>
      <c r="L446" s="100">
        <v>0</v>
      </c>
      <c r="M446" s="98">
        <v>0</v>
      </c>
      <c r="N446" s="101">
        <f t="shared" si="412"/>
        <v>0</v>
      </c>
      <c r="O446" s="100">
        <v>0</v>
      </c>
      <c r="P446" s="98">
        <v>0</v>
      </c>
      <c r="Q446" s="101">
        <f t="shared" si="413"/>
        <v>0</v>
      </c>
      <c r="R446" s="100">
        <v>0</v>
      </c>
      <c r="S446" s="98">
        <v>0</v>
      </c>
      <c r="T446" s="101">
        <f t="shared" si="414"/>
        <v>0</v>
      </c>
      <c r="U446" s="183">
        <v>1</v>
      </c>
      <c r="V446" s="99">
        <v>1</v>
      </c>
      <c r="W446" s="98">
        <v>0</v>
      </c>
      <c r="X446" s="98">
        <v>0</v>
      </c>
      <c r="Y446" s="101">
        <f t="shared" ref="Y446:Y451" si="417">W446*X446</f>
        <v>0</v>
      </c>
      <c r="Z446" s="101">
        <v>1</v>
      </c>
      <c r="AA446" s="183">
        <v>0</v>
      </c>
      <c r="AB446" s="99">
        <v>1</v>
      </c>
      <c r="AC446" s="98">
        <v>0</v>
      </c>
      <c r="AD446" s="98">
        <v>0</v>
      </c>
      <c r="AE446" s="101">
        <f t="shared" si="415"/>
        <v>0</v>
      </c>
      <c r="AF446" s="100">
        <v>0</v>
      </c>
      <c r="AG446" s="98">
        <v>0</v>
      </c>
      <c r="AH446" s="99">
        <f t="shared" si="416"/>
        <v>0</v>
      </c>
      <c r="AI446" s="101">
        <v>1</v>
      </c>
      <c r="AJ446" s="106"/>
    </row>
    <row r="447" spans="2:36" s="35" customFormat="1" ht="17.100000000000001" customHeight="1">
      <c r="B447" s="105"/>
      <c r="C447" s="54"/>
      <c r="D447" s="96"/>
      <c r="E447" s="111"/>
      <c r="F447" s="112"/>
      <c r="G447" s="113"/>
      <c r="H447" s="183">
        <v>1</v>
      </c>
      <c r="I447" s="98">
        <v>0</v>
      </c>
      <c r="J447" s="98">
        <v>0</v>
      </c>
      <c r="K447" s="101">
        <f t="shared" si="411"/>
        <v>0</v>
      </c>
      <c r="L447" s="100">
        <v>0</v>
      </c>
      <c r="M447" s="98">
        <v>0</v>
      </c>
      <c r="N447" s="101">
        <f t="shared" si="412"/>
        <v>0</v>
      </c>
      <c r="O447" s="100">
        <v>0</v>
      </c>
      <c r="P447" s="98">
        <v>0</v>
      </c>
      <c r="Q447" s="101">
        <f t="shared" si="413"/>
        <v>0</v>
      </c>
      <c r="R447" s="100">
        <v>0</v>
      </c>
      <c r="S447" s="98">
        <v>0</v>
      </c>
      <c r="T447" s="101">
        <f t="shared" si="414"/>
        <v>0</v>
      </c>
      <c r="U447" s="183">
        <v>1</v>
      </c>
      <c r="V447" s="99">
        <v>1</v>
      </c>
      <c r="W447" s="98">
        <v>0</v>
      </c>
      <c r="X447" s="98">
        <v>0</v>
      </c>
      <c r="Y447" s="101">
        <f t="shared" si="417"/>
        <v>0</v>
      </c>
      <c r="Z447" s="101">
        <v>1</v>
      </c>
      <c r="AA447" s="183">
        <v>0</v>
      </c>
      <c r="AB447" s="99">
        <v>1</v>
      </c>
      <c r="AC447" s="98">
        <v>0</v>
      </c>
      <c r="AD447" s="98">
        <v>0</v>
      </c>
      <c r="AE447" s="101">
        <f t="shared" si="415"/>
        <v>0</v>
      </c>
      <c r="AF447" s="100">
        <v>0</v>
      </c>
      <c r="AG447" s="98">
        <v>0</v>
      </c>
      <c r="AH447" s="99">
        <f t="shared" si="416"/>
        <v>0</v>
      </c>
      <c r="AI447" s="101">
        <v>1</v>
      </c>
      <c r="AJ447" s="106"/>
    </row>
    <row r="448" spans="2:36" s="35" customFormat="1" ht="17.100000000000001" customHeight="1">
      <c r="B448" s="105"/>
      <c r="C448" s="54"/>
      <c r="D448" s="96"/>
      <c r="E448" s="111"/>
      <c r="F448" s="112"/>
      <c r="G448" s="113"/>
      <c r="H448" s="183">
        <v>1</v>
      </c>
      <c r="I448" s="98">
        <v>0</v>
      </c>
      <c r="J448" s="98">
        <v>0</v>
      </c>
      <c r="K448" s="101">
        <f t="shared" si="411"/>
        <v>0</v>
      </c>
      <c r="L448" s="100">
        <v>0</v>
      </c>
      <c r="M448" s="98">
        <v>0</v>
      </c>
      <c r="N448" s="101">
        <f t="shared" si="412"/>
        <v>0</v>
      </c>
      <c r="O448" s="100">
        <v>0</v>
      </c>
      <c r="P448" s="98">
        <v>0</v>
      </c>
      <c r="Q448" s="101">
        <f t="shared" si="413"/>
        <v>0</v>
      </c>
      <c r="R448" s="100">
        <v>0</v>
      </c>
      <c r="S448" s="98">
        <v>0</v>
      </c>
      <c r="T448" s="101">
        <f t="shared" si="414"/>
        <v>0</v>
      </c>
      <c r="U448" s="183">
        <v>1</v>
      </c>
      <c r="V448" s="99">
        <v>1</v>
      </c>
      <c r="W448" s="98">
        <v>0</v>
      </c>
      <c r="X448" s="98">
        <v>0</v>
      </c>
      <c r="Y448" s="101">
        <f t="shared" si="417"/>
        <v>0</v>
      </c>
      <c r="Z448" s="101">
        <v>1</v>
      </c>
      <c r="AA448" s="183">
        <v>0</v>
      </c>
      <c r="AB448" s="99">
        <v>1</v>
      </c>
      <c r="AC448" s="98">
        <v>0</v>
      </c>
      <c r="AD448" s="98">
        <v>0</v>
      </c>
      <c r="AE448" s="101">
        <f t="shared" si="415"/>
        <v>0</v>
      </c>
      <c r="AF448" s="100">
        <v>0</v>
      </c>
      <c r="AG448" s="98">
        <v>0</v>
      </c>
      <c r="AH448" s="99">
        <f t="shared" si="416"/>
        <v>0</v>
      </c>
      <c r="AI448" s="101">
        <v>1</v>
      </c>
      <c r="AJ448" s="106"/>
    </row>
    <row r="449" spans="2:36" s="35" customFormat="1" ht="17.100000000000001" customHeight="1">
      <c r="B449" s="105"/>
      <c r="C449" s="54"/>
      <c r="D449" s="96"/>
      <c r="E449" s="111"/>
      <c r="F449" s="112"/>
      <c r="G449" s="113"/>
      <c r="H449" s="183">
        <v>1</v>
      </c>
      <c r="I449" s="98">
        <v>0</v>
      </c>
      <c r="J449" s="98">
        <v>0</v>
      </c>
      <c r="K449" s="101">
        <f t="shared" si="411"/>
        <v>0</v>
      </c>
      <c r="L449" s="100">
        <v>0</v>
      </c>
      <c r="M449" s="98">
        <v>0</v>
      </c>
      <c r="N449" s="101">
        <f t="shared" si="412"/>
        <v>0</v>
      </c>
      <c r="O449" s="100">
        <v>0</v>
      </c>
      <c r="P449" s="98">
        <v>0</v>
      </c>
      <c r="Q449" s="101">
        <f t="shared" si="413"/>
        <v>0</v>
      </c>
      <c r="R449" s="100">
        <v>0</v>
      </c>
      <c r="S449" s="98">
        <v>0</v>
      </c>
      <c r="T449" s="101">
        <f t="shared" si="414"/>
        <v>0</v>
      </c>
      <c r="U449" s="183">
        <v>1</v>
      </c>
      <c r="V449" s="99">
        <v>1</v>
      </c>
      <c r="W449" s="98">
        <v>0</v>
      </c>
      <c r="X449" s="98">
        <v>0</v>
      </c>
      <c r="Y449" s="101">
        <f t="shared" si="417"/>
        <v>0</v>
      </c>
      <c r="Z449" s="101">
        <v>1</v>
      </c>
      <c r="AA449" s="183">
        <v>0</v>
      </c>
      <c r="AB449" s="99">
        <v>1</v>
      </c>
      <c r="AC449" s="98">
        <v>0</v>
      </c>
      <c r="AD449" s="98">
        <v>0</v>
      </c>
      <c r="AE449" s="101">
        <f t="shared" si="415"/>
        <v>0</v>
      </c>
      <c r="AF449" s="100">
        <v>0</v>
      </c>
      <c r="AG449" s="98">
        <v>0</v>
      </c>
      <c r="AH449" s="99">
        <f t="shared" si="416"/>
        <v>0</v>
      </c>
      <c r="AI449" s="101">
        <v>1</v>
      </c>
      <c r="AJ449" s="106"/>
    </row>
    <row r="450" spans="2:36" s="35" customFormat="1" ht="17.100000000000001" customHeight="1">
      <c r="B450" s="105"/>
      <c r="C450" s="54"/>
      <c r="D450" s="96"/>
      <c r="E450" s="111"/>
      <c r="F450" s="112"/>
      <c r="G450" s="113"/>
      <c r="H450" s="183">
        <v>1</v>
      </c>
      <c r="I450" s="98">
        <v>0</v>
      </c>
      <c r="J450" s="98">
        <v>0</v>
      </c>
      <c r="K450" s="101">
        <f t="shared" si="411"/>
        <v>0</v>
      </c>
      <c r="L450" s="100">
        <v>0</v>
      </c>
      <c r="M450" s="98">
        <v>0</v>
      </c>
      <c r="N450" s="101">
        <f t="shared" si="412"/>
        <v>0</v>
      </c>
      <c r="O450" s="100">
        <v>0</v>
      </c>
      <c r="P450" s="98">
        <v>0</v>
      </c>
      <c r="Q450" s="101">
        <f t="shared" si="413"/>
        <v>0</v>
      </c>
      <c r="R450" s="100">
        <v>0</v>
      </c>
      <c r="S450" s="98">
        <v>0</v>
      </c>
      <c r="T450" s="101">
        <f t="shared" si="414"/>
        <v>0</v>
      </c>
      <c r="U450" s="183">
        <v>1</v>
      </c>
      <c r="V450" s="99">
        <v>1</v>
      </c>
      <c r="W450" s="98">
        <v>0</v>
      </c>
      <c r="X450" s="98">
        <v>0</v>
      </c>
      <c r="Y450" s="101">
        <f t="shared" si="417"/>
        <v>0</v>
      </c>
      <c r="Z450" s="101">
        <v>1</v>
      </c>
      <c r="AA450" s="183">
        <v>0</v>
      </c>
      <c r="AB450" s="99">
        <v>1</v>
      </c>
      <c r="AC450" s="98">
        <v>0</v>
      </c>
      <c r="AD450" s="98">
        <v>0</v>
      </c>
      <c r="AE450" s="101">
        <f t="shared" si="415"/>
        <v>0</v>
      </c>
      <c r="AF450" s="100">
        <v>0</v>
      </c>
      <c r="AG450" s="98">
        <v>0</v>
      </c>
      <c r="AH450" s="99">
        <f t="shared" si="416"/>
        <v>0</v>
      </c>
      <c r="AI450" s="101">
        <v>1</v>
      </c>
      <c r="AJ450" s="106"/>
    </row>
    <row r="451" spans="2:36" s="35" customFormat="1" ht="17.100000000000001" customHeight="1">
      <c r="B451" s="105"/>
      <c r="C451" s="54"/>
      <c r="D451" s="96"/>
      <c r="E451" s="111"/>
      <c r="F451" s="112"/>
      <c r="G451" s="113"/>
      <c r="H451" s="183">
        <v>1</v>
      </c>
      <c r="I451" s="98">
        <v>0</v>
      </c>
      <c r="J451" s="98">
        <v>0</v>
      </c>
      <c r="K451" s="101">
        <f t="shared" si="411"/>
        <v>0</v>
      </c>
      <c r="L451" s="100">
        <v>0</v>
      </c>
      <c r="M451" s="98">
        <v>0</v>
      </c>
      <c r="N451" s="101">
        <f t="shared" si="412"/>
        <v>0</v>
      </c>
      <c r="O451" s="100">
        <v>0</v>
      </c>
      <c r="P451" s="98">
        <v>0</v>
      </c>
      <c r="Q451" s="101">
        <f t="shared" si="413"/>
        <v>0</v>
      </c>
      <c r="R451" s="100">
        <v>0</v>
      </c>
      <c r="S451" s="98">
        <v>0</v>
      </c>
      <c r="T451" s="101">
        <f t="shared" si="414"/>
        <v>0</v>
      </c>
      <c r="U451" s="183">
        <v>1</v>
      </c>
      <c r="V451" s="99">
        <v>1</v>
      </c>
      <c r="W451" s="98">
        <v>0</v>
      </c>
      <c r="X451" s="98">
        <v>0</v>
      </c>
      <c r="Y451" s="101">
        <f t="shared" si="417"/>
        <v>0</v>
      </c>
      <c r="Z451" s="101">
        <v>1</v>
      </c>
      <c r="AA451" s="183">
        <v>0</v>
      </c>
      <c r="AB451" s="99">
        <v>1</v>
      </c>
      <c r="AC451" s="98">
        <v>0</v>
      </c>
      <c r="AD451" s="98">
        <v>0</v>
      </c>
      <c r="AE451" s="101">
        <f t="shared" si="415"/>
        <v>0</v>
      </c>
      <c r="AF451" s="100">
        <v>0</v>
      </c>
      <c r="AG451" s="98">
        <v>0</v>
      </c>
      <c r="AH451" s="99">
        <f t="shared" si="416"/>
        <v>0</v>
      </c>
      <c r="AI451" s="101">
        <v>1</v>
      </c>
      <c r="AJ451" s="106"/>
    </row>
    <row r="452" spans="2:36" s="126" customFormat="1" ht="17.100000000000001" customHeight="1">
      <c r="B452" s="118"/>
      <c r="C452" s="119"/>
      <c r="D452" s="120"/>
      <c r="E452" s="121"/>
      <c r="F452" s="122"/>
      <c r="G452" s="123"/>
      <c r="H452" s="183">
        <v>1</v>
      </c>
      <c r="I452" s="363" t="s">
        <v>201</v>
      </c>
      <c r="J452" s="363"/>
      <c r="K452" s="124">
        <f>SUM(K445:K451)</f>
        <v>0</v>
      </c>
      <c r="L452" s="341" t="s">
        <v>201</v>
      </c>
      <c r="M452" s="342"/>
      <c r="N452" s="124">
        <f>SUM(N445:N451)</f>
        <v>0</v>
      </c>
      <c r="O452" s="341" t="s">
        <v>201</v>
      </c>
      <c r="P452" s="342"/>
      <c r="Q452" s="124">
        <f>SUM(Q445:Q451)</f>
        <v>0</v>
      </c>
      <c r="R452" s="341" t="s">
        <v>201</v>
      </c>
      <c r="S452" s="342"/>
      <c r="T452" s="124">
        <f>SUM(T445:T451)</f>
        <v>15</v>
      </c>
      <c r="U452" s="183">
        <v>1</v>
      </c>
      <c r="V452" s="99">
        <v>1</v>
      </c>
      <c r="W452" s="363" t="s">
        <v>201</v>
      </c>
      <c r="X452" s="363"/>
      <c r="Y452" s="124">
        <f>SUM(Y445:Y451)</f>
        <v>300</v>
      </c>
      <c r="Z452" s="101">
        <v>1</v>
      </c>
      <c r="AA452" s="183">
        <v>0</v>
      </c>
      <c r="AB452" s="99">
        <v>1</v>
      </c>
      <c r="AC452" s="363" t="s">
        <v>201</v>
      </c>
      <c r="AD452" s="363"/>
      <c r="AE452" s="124">
        <f>SUM(AE445:AE451)</f>
        <v>0</v>
      </c>
      <c r="AF452" s="364" t="s">
        <v>201</v>
      </c>
      <c r="AG452" s="363"/>
      <c r="AH452" s="143">
        <f>SUM(AH445:AH451)</f>
        <v>0</v>
      </c>
      <c r="AI452" s="101">
        <v>1</v>
      </c>
      <c r="AJ452" s="125"/>
    </row>
    <row r="453" spans="2:36" s="35" customFormat="1" ht="16.95" customHeight="1">
      <c r="B453" s="248"/>
      <c r="C453" s="249">
        <f>'3. Rekap Back Up Non Aspal '!C77</f>
        <v>8100</v>
      </c>
      <c r="D453" s="250">
        <f>'3. Rekap Back Up Non Aspal '!D77</f>
        <v>8150</v>
      </c>
      <c r="E453" s="251">
        <f>'3. Rekap Back Up Non Aspal '!E77</f>
        <v>4</v>
      </c>
      <c r="F453" s="112">
        <f>(100/((D453-C453)*E453))*((K460*0.05)+(N460*0.05)+(Q460*0.05)+(T460)+(Y460)+(AE460*1.5)+(AH460*1))</f>
        <v>0</v>
      </c>
      <c r="G453" s="113" t="str">
        <f>IF(F453&lt;=25,"RB",IF(F453&lt;=75,"RB",IF(F453&lt;=100,"RB","RB")))</f>
        <v>RB</v>
      </c>
      <c r="H453" s="183">
        <v>1</v>
      </c>
      <c r="I453" s="98">
        <v>0</v>
      </c>
      <c r="J453" s="98">
        <v>0</v>
      </c>
      <c r="K453" s="101">
        <f t="shared" ref="K453:K459" si="418">I453*J453</f>
        <v>0</v>
      </c>
      <c r="L453" s="98">
        <v>0</v>
      </c>
      <c r="M453" s="98">
        <v>0</v>
      </c>
      <c r="N453" s="101">
        <f t="shared" ref="N453:N459" si="419">L453*M453</f>
        <v>0</v>
      </c>
      <c r="O453" s="98">
        <v>0</v>
      </c>
      <c r="P453" s="98">
        <v>0</v>
      </c>
      <c r="Q453" s="101">
        <f t="shared" ref="Q453:Q459" si="420">O453*P453</f>
        <v>0</v>
      </c>
      <c r="R453" s="98">
        <v>0</v>
      </c>
      <c r="S453" s="98">
        <v>0</v>
      </c>
      <c r="T453" s="101">
        <f t="shared" ref="T453:T459" si="421">R453*S453</f>
        <v>0</v>
      </c>
      <c r="U453" s="183">
        <v>1</v>
      </c>
      <c r="V453" s="99">
        <v>1</v>
      </c>
      <c r="W453" s="98">
        <v>0</v>
      </c>
      <c r="X453" s="98">
        <v>0</v>
      </c>
      <c r="Y453" s="101">
        <f>W453*X453</f>
        <v>0</v>
      </c>
      <c r="Z453" s="101">
        <v>1</v>
      </c>
      <c r="AA453" s="183">
        <v>0</v>
      </c>
      <c r="AB453" s="99">
        <v>1</v>
      </c>
      <c r="AC453" s="98">
        <v>0</v>
      </c>
      <c r="AD453" s="98">
        <v>0</v>
      </c>
      <c r="AE453" s="101">
        <f t="shared" ref="AE453:AE459" si="422">AC453*AD453</f>
        <v>0</v>
      </c>
      <c r="AF453" s="98">
        <v>0</v>
      </c>
      <c r="AG453" s="98">
        <v>3</v>
      </c>
      <c r="AH453" s="99">
        <f t="shared" ref="AH453:AH459" si="423">AF453*AG453</f>
        <v>0</v>
      </c>
      <c r="AI453" s="101">
        <v>1</v>
      </c>
      <c r="AJ453" s="106"/>
    </row>
    <row r="454" spans="2:36" s="35" customFormat="1" ht="17.100000000000001" customHeight="1">
      <c r="B454" s="105"/>
      <c r="C454" s="54"/>
      <c r="D454" s="96"/>
      <c r="E454" s="111"/>
      <c r="F454" s="112"/>
      <c r="G454" s="113"/>
      <c r="H454" s="183">
        <v>1</v>
      </c>
      <c r="I454" s="98">
        <v>0</v>
      </c>
      <c r="J454" s="98">
        <v>0</v>
      </c>
      <c r="K454" s="101">
        <f t="shared" si="418"/>
        <v>0</v>
      </c>
      <c r="L454" s="100">
        <v>0</v>
      </c>
      <c r="M454" s="98">
        <v>0</v>
      </c>
      <c r="N454" s="101">
        <f t="shared" si="419"/>
        <v>0</v>
      </c>
      <c r="O454" s="100">
        <v>0</v>
      </c>
      <c r="P454" s="98">
        <v>0</v>
      </c>
      <c r="Q454" s="101">
        <f t="shared" si="420"/>
        <v>0</v>
      </c>
      <c r="R454" s="100">
        <v>0</v>
      </c>
      <c r="S454" s="98">
        <v>0</v>
      </c>
      <c r="T454" s="101">
        <f t="shared" si="421"/>
        <v>0</v>
      </c>
      <c r="U454" s="183">
        <v>1</v>
      </c>
      <c r="V454" s="99">
        <v>1</v>
      </c>
      <c r="W454" s="98">
        <v>0</v>
      </c>
      <c r="X454" s="98">
        <v>0</v>
      </c>
      <c r="Y454" s="101">
        <f t="shared" ref="Y454:Y459" si="424">W454*X454</f>
        <v>0</v>
      </c>
      <c r="Z454" s="101">
        <v>1</v>
      </c>
      <c r="AA454" s="183">
        <v>0</v>
      </c>
      <c r="AB454" s="99">
        <v>1</v>
      </c>
      <c r="AC454" s="98">
        <v>0</v>
      </c>
      <c r="AD454" s="98">
        <v>0</v>
      </c>
      <c r="AE454" s="101">
        <f t="shared" si="422"/>
        <v>0</v>
      </c>
      <c r="AF454" s="100">
        <v>0</v>
      </c>
      <c r="AG454" s="98">
        <v>0</v>
      </c>
      <c r="AH454" s="99">
        <f t="shared" si="423"/>
        <v>0</v>
      </c>
      <c r="AI454" s="101">
        <v>1</v>
      </c>
      <c r="AJ454" s="106"/>
    </row>
    <row r="455" spans="2:36" s="35" customFormat="1" ht="17.100000000000001" customHeight="1">
      <c r="B455" s="105"/>
      <c r="C455" s="54"/>
      <c r="D455" s="96"/>
      <c r="E455" s="111"/>
      <c r="F455" s="112"/>
      <c r="G455" s="113"/>
      <c r="H455" s="183">
        <v>1</v>
      </c>
      <c r="I455" s="98">
        <v>0</v>
      </c>
      <c r="J455" s="98">
        <v>0</v>
      </c>
      <c r="K455" s="101">
        <f t="shared" si="418"/>
        <v>0</v>
      </c>
      <c r="L455" s="100">
        <v>0</v>
      </c>
      <c r="M455" s="98">
        <v>0</v>
      </c>
      <c r="N455" s="101">
        <f t="shared" si="419"/>
        <v>0</v>
      </c>
      <c r="O455" s="100">
        <v>0</v>
      </c>
      <c r="P455" s="98">
        <v>0</v>
      </c>
      <c r="Q455" s="101">
        <f t="shared" si="420"/>
        <v>0</v>
      </c>
      <c r="R455" s="100">
        <v>0</v>
      </c>
      <c r="S455" s="98">
        <v>0</v>
      </c>
      <c r="T455" s="101">
        <f t="shared" si="421"/>
        <v>0</v>
      </c>
      <c r="U455" s="183">
        <v>1</v>
      </c>
      <c r="V455" s="99">
        <v>1</v>
      </c>
      <c r="W455" s="98">
        <v>0</v>
      </c>
      <c r="X455" s="98">
        <v>0</v>
      </c>
      <c r="Y455" s="101">
        <f t="shared" si="424"/>
        <v>0</v>
      </c>
      <c r="Z455" s="101">
        <v>1</v>
      </c>
      <c r="AA455" s="183">
        <v>0</v>
      </c>
      <c r="AB455" s="99">
        <v>1</v>
      </c>
      <c r="AC455" s="98">
        <v>0</v>
      </c>
      <c r="AD455" s="98">
        <v>0</v>
      </c>
      <c r="AE455" s="101">
        <f t="shared" si="422"/>
        <v>0</v>
      </c>
      <c r="AF455" s="100">
        <v>0</v>
      </c>
      <c r="AG455" s="98">
        <v>0</v>
      </c>
      <c r="AH455" s="99">
        <f t="shared" si="423"/>
        <v>0</v>
      </c>
      <c r="AI455" s="101">
        <v>1</v>
      </c>
      <c r="AJ455" s="106"/>
    </row>
    <row r="456" spans="2:36" s="35" customFormat="1" ht="17.100000000000001" customHeight="1">
      <c r="B456" s="105"/>
      <c r="C456" s="54"/>
      <c r="D456" s="96"/>
      <c r="E456" s="111"/>
      <c r="F456" s="112"/>
      <c r="G456" s="113"/>
      <c r="H456" s="183">
        <v>1</v>
      </c>
      <c r="I456" s="98">
        <v>0</v>
      </c>
      <c r="J456" s="98">
        <v>0</v>
      </c>
      <c r="K456" s="101">
        <f t="shared" si="418"/>
        <v>0</v>
      </c>
      <c r="L456" s="100">
        <v>0</v>
      </c>
      <c r="M456" s="98">
        <v>0</v>
      </c>
      <c r="N456" s="101">
        <f t="shared" si="419"/>
        <v>0</v>
      </c>
      <c r="O456" s="100">
        <v>0</v>
      </c>
      <c r="P456" s="98">
        <v>0</v>
      </c>
      <c r="Q456" s="101">
        <f t="shared" si="420"/>
        <v>0</v>
      </c>
      <c r="R456" s="100">
        <v>0</v>
      </c>
      <c r="S456" s="98">
        <v>0</v>
      </c>
      <c r="T456" s="101">
        <f t="shared" si="421"/>
        <v>0</v>
      </c>
      <c r="U456" s="183">
        <v>1</v>
      </c>
      <c r="V456" s="99">
        <v>1</v>
      </c>
      <c r="W456" s="98">
        <v>0</v>
      </c>
      <c r="X456" s="98">
        <v>0</v>
      </c>
      <c r="Y456" s="101">
        <f t="shared" si="424"/>
        <v>0</v>
      </c>
      <c r="Z456" s="101">
        <v>1</v>
      </c>
      <c r="AA456" s="183">
        <v>0</v>
      </c>
      <c r="AB456" s="99">
        <v>1</v>
      </c>
      <c r="AC456" s="98">
        <v>0</v>
      </c>
      <c r="AD456" s="98">
        <v>0</v>
      </c>
      <c r="AE456" s="101">
        <f t="shared" si="422"/>
        <v>0</v>
      </c>
      <c r="AF456" s="100">
        <v>0</v>
      </c>
      <c r="AG456" s="98">
        <v>0</v>
      </c>
      <c r="AH456" s="99">
        <f t="shared" si="423"/>
        <v>0</v>
      </c>
      <c r="AI456" s="101">
        <v>1</v>
      </c>
      <c r="AJ456" s="106"/>
    </row>
    <row r="457" spans="2:36" s="35" customFormat="1" ht="17.100000000000001" customHeight="1">
      <c r="B457" s="105"/>
      <c r="C457" s="54"/>
      <c r="D457" s="96"/>
      <c r="E457" s="111"/>
      <c r="F457" s="112"/>
      <c r="G457" s="113"/>
      <c r="H457" s="183">
        <v>1</v>
      </c>
      <c r="I457" s="98">
        <v>0</v>
      </c>
      <c r="J457" s="98">
        <v>0</v>
      </c>
      <c r="K457" s="101">
        <f t="shared" si="418"/>
        <v>0</v>
      </c>
      <c r="L457" s="100">
        <v>0</v>
      </c>
      <c r="M457" s="98">
        <v>0</v>
      </c>
      <c r="N457" s="101">
        <f t="shared" si="419"/>
        <v>0</v>
      </c>
      <c r="O457" s="100">
        <v>0</v>
      </c>
      <c r="P457" s="98">
        <v>0</v>
      </c>
      <c r="Q457" s="101">
        <f t="shared" si="420"/>
        <v>0</v>
      </c>
      <c r="R457" s="100">
        <v>0</v>
      </c>
      <c r="S457" s="98">
        <v>0</v>
      </c>
      <c r="T457" s="101">
        <f t="shared" si="421"/>
        <v>0</v>
      </c>
      <c r="U457" s="183">
        <v>1</v>
      </c>
      <c r="V457" s="99">
        <v>1</v>
      </c>
      <c r="W457" s="98">
        <v>0</v>
      </c>
      <c r="X457" s="98">
        <v>0</v>
      </c>
      <c r="Y457" s="101">
        <f t="shared" si="424"/>
        <v>0</v>
      </c>
      <c r="Z457" s="101">
        <v>1</v>
      </c>
      <c r="AA457" s="183">
        <v>0</v>
      </c>
      <c r="AB457" s="99">
        <v>1</v>
      </c>
      <c r="AC457" s="98">
        <v>0</v>
      </c>
      <c r="AD457" s="98">
        <v>0</v>
      </c>
      <c r="AE457" s="101">
        <f t="shared" si="422"/>
        <v>0</v>
      </c>
      <c r="AF457" s="100">
        <v>0</v>
      </c>
      <c r="AG457" s="98">
        <v>0</v>
      </c>
      <c r="AH457" s="99">
        <f t="shared" si="423"/>
        <v>0</v>
      </c>
      <c r="AI457" s="101">
        <v>1</v>
      </c>
      <c r="AJ457" s="106"/>
    </row>
    <row r="458" spans="2:36" s="35" customFormat="1" ht="17.100000000000001" customHeight="1">
      <c r="B458" s="105"/>
      <c r="C458" s="54"/>
      <c r="D458" s="96"/>
      <c r="E458" s="111"/>
      <c r="F458" s="112"/>
      <c r="G458" s="113"/>
      <c r="H458" s="183">
        <v>1</v>
      </c>
      <c r="I458" s="98">
        <v>0</v>
      </c>
      <c r="J458" s="98">
        <v>0</v>
      </c>
      <c r="K458" s="101">
        <f t="shared" si="418"/>
        <v>0</v>
      </c>
      <c r="L458" s="100">
        <v>0</v>
      </c>
      <c r="M458" s="98">
        <v>0</v>
      </c>
      <c r="N458" s="101">
        <f t="shared" si="419"/>
        <v>0</v>
      </c>
      <c r="O458" s="100">
        <v>0</v>
      </c>
      <c r="P458" s="98">
        <v>0</v>
      </c>
      <c r="Q458" s="101">
        <f t="shared" si="420"/>
        <v>0</v>
      </c>
      <c r="R458" s="100">
        <v>0</v>
      </c>
      <c r="S458" s="98">
        <v>0</v>
      </c>
      <c r="T458" s="101">
        <f t="shared" si="421"/>
        <v>0</v>
      </c>
      <c r="U458" s="183">
        <v>1</v>
      </c>
      <c r="V458" s="99">
        <v>1</v>
      </c>
      <c r="W458" s="98">
        <v>0</v>
      </c>
      <c r="X458" s="98">
        <v>0</v>
      </c>
      <c r="Y458" s="101">
        <f t="shared" si="424"/>
        <v>0</v>
      </c>
      <c r="Z458" s="101">
        <v>1</v>
      </c>
      <c r="AA458" s="183">
        <v>0</v>
      </c>
      <c r="AB458" s="99">
        <v>1</v>
      </c>
      <c r="AC458" s="98">
        <v>0</v>
      </c>
      <c r="AD458" s="98">
        <v>0</v>
      </c>
      <c r="AE458" s="101">
        <f t="shared" si="422"/>
        <v>0</v>
      </c>
      <c r="AF458" s="100">
        <v>0</v>
      </c>
      <c r="AG458" s="98">
        <v>0</v>
      </c>
      <c r="AH458" s="99">
        <f t="shared" si="423"/>
        <v>0</v>
      </c>
      <c r="AI458" s="101">
        <v>1</v>
      </c>
      <c r="AJ458" s="106"/>
    </row>
    <row r="459" spans="2:36" s="35" customFormat="1" ht="17.100000000000001" customHeight="1">
      <c r="B459" s="105"/>
      <c r="C459" s="54"/>
      <c r="D459" s="96"/>
      <c r="E459" s="111"/>
      <c r="F459" s="112"/>
      <c r="G459" s="113"/>
      <c r="H459" s="183">
        <v>1</v>
      </c>
      <c r="I459" s="98">
        <v>0</v>
      </c>
      <c r="J459" s="98">
        <v>0</v>
      </c>
      <c r="K459" s="101">
        <f t="shared" si="418"/>
        <v>0</v>
      </c>
      <c r="L459" s="100">
        <v>0</v>
      </c>
      <c r="M459" s="98">
        <v>0</v>
      </c>
      <c r="N459" s="101">
        <f t="shared" si="419"/>
        <v>0</v>
      </c>
      <c r="O459" s="100">
        <v>0</v>
      </c>
      <c r="P459" s="98">
        <v>0</v>
      </c>
      <c r="Q459" s="101">
        <f t="shared" si="420"/>
        <v>0</v>
      </c>
      <c r="R459" s="100">
        <v>0</v>
      </c>
      <c r="S459" s="98">
        <v>0</v>
      </c>
      <c r="T459" s="101">
        <f t="shared" si="421"/>
        <v>0</v>
      </c>
      <c r="U459" s="183">
        <v>1</v>
      </c>
      <c r="V459" s="99">
        <v>1</v>
      </c>
      <c r="W459" s="98">
        <v>0</v>
      </c>
      <c r="X459" s="98">
        <v>0</v>
      </c>
      <c r="Y459" s="101">
        <f t="shared" si="424"/>
        <v>0</v>
      </c>
      <c r="Z459" s="101">
        <v>1</v>
      </c>
      <c r="AA459" s="183">
        <v>0</v>
      </c>
      <c r="AB459" s="99">
        <v>1</v>
      </c>
      <c r="AC459" s="98">
        <v>0</v>
      </c>
      <c r="AD459" s="98">
        <v>0</v>
      </c>
      <c r="AE459" s="101">
        <f t="shared" si="422"/>
        <v>0</v>
      </c>
      <c r="AF459" s="100">
        <v>0</v>
      </c>
      <c r="AG459" s="98">
        <v>0</v>
      </c>
      <c r="AH459" s="99">
        <f t="shared" si="423"/>
        <v>0</v>
      </c>
      <c r="AI459" s="101">
        <v>1</v>
      </c>
      <c r="AJ459" s="106"/>
    </row>
    <row r="460" spans="2:36" s="126" customFormat="1" ht="17.100000000000001" customHeight="1">
      <c r="B460" s="118"/>
      <c r="C460" s="119"/>
      <c r="D460" s="120"/>
      <c r="E460" s="121"/>
      <c r="F460" s="122"/>
      <c r="G460" s="123"/>
      <c r="H460" s="183">
        <v>1</v>
      </c>
      <c r="I460" s="363" t="s">
        <v>201</v>
      </c>
      <c r="J460" s="363"/>
      <c r="K460" s="124">
        <f>SUM(K453:K459)</f>
        <v>0</v>
      </c>
      <c r="L460" s="341" t="s">
        <v>201</v>
      </c>
      <c r="M460" s="342"/>
      <c r="N460" s="124">
        <f>SUM(N453:N459)</f>
        <v>0</v>
      </c>
      <c r="O460" s="341" t="s">
        <v>201</v>
      </c>
      <c r="P460" s="342"/>
      <c r="Q460" s="124">
        <f>SUM(Q453:Q459)</f>
        <v>0</v>
      </c>
      <c r="R460" s="341" t="s">
        <v>201</v>
      </c>
      <c r="S460" s="342"/>
      <c r="T460" s="124">
        <f>SUM(T453:T459)</f>
        <v>0</v>
      </c>
      <c r="U460" s="183">
        <v>1</v>
      </c>
      <c r="V460" s="99">
        <v>1</v>
      </c>
      <c r="W460" s="363" t="s">
        <v>201</v>
      </c>
      <c r="X460" s="363"/>
      <c r="Y460" s="124">
        <f>SUM(Y453:Y459)</f>
        <v>0</v>
      </c>
      <c r="Z460" s="101">
        <v>1</v>
      </c>
      <c r="AA460" s="183">
        <v>0</v>
      </c>
      <c r="AB460" s="99">
        <v>1</v>
      </c>
      <c r="AC460" s="363" t="s">
        <v>201</v>
      </c>
      <c r="AD460" s="363"/>
      <c r="AE460" s="124">
        <f>SUM(AE453:AE459)</f>
        <v>0</v>
      </c>
      <c r="AF460" s="364" t="s">
        <v>201</v>
      </c>
      <c r="AG460" s="363"/>
      <c r="AH460" s="143">
        <f>SUM(AH453:AH459)</f>
        <v>0</v>
      </c>
      <c r="AI460" s="101">
        <v>1</v>
      </c>
      <c r="AJ460" s="125"/>
    </row>
    <row r="461" spans="2:36" s="35" customFormat="1" ht="16.95" customHeight="1">
      <c r="B461" s="105"/>
      <c r="C461" s="54">
        <f>'3. Rekap Back Up Non Aspal '!C78</f>
        <v>8960</v>
      </c>
      <c r="D461" s="96">
        <f>'3. Rekap Back Up Non Aspal '!D78</f>
        <v>9000</v>
      </c>
      <c r="E461" s="111">
        <f>'3. Rekap Back Up Non Aspal '!E78</f>
        <v>3</v>
      </c>
      <c r="F461" s="112">
        <f>(100/((D461-C461)*E461))*((K468*0.05)+(N468*0.05)+(Q468*0.05)+(T468)+(Y468)+(AE468*1.5)+(AH468*1))</f>
        <v>50</v>
      </c>
      <c r="G461" s="113" t="str">
        <f>IF(F461&lt;=25,"RB",IF(F461&lt;=75,"RB",IF(F461&lt;=100,"RB","RB")))</f>
        <v>RB</v>
      </c>
      <c r="H461" s="183">
        <v>1</v>
      </c>
      <c r="I461" s="98">
        <v>0</v>
      </c>
      <c r="J461" s="98">
        <v>0</v>
      </c>
      <c r="K461" s="101">
        <f t="shared" ref="K461:K467" si="425">I461*J461</f>
        <v>0</v>
      </c>
      <c r="L461" s="98">
        <v>0</v>
      </c>
      <c r="M461" s="98">
        <v>0</v>
      </c>
      <c r="N461" s="101">
        <f t="shared" ref="N461:N467" si="426">L461*M461</f>
        <v>0</v>
      </c>
      <c r="O461" s="98">
        <v>0</v>
      </c>
      <c r="P461" s="98">
        <v>0</v>
      </c>
      <c r="Q461" s="101">
        <f t="shared" ref="Q461:Q467" si="427">O461*P461</f>
        <v>0</v>
      </c>
      <c r="R461" s="98">
        <v>0</v>
      </c>
      <c r="S461" s="98">
        <v>0</v>
      </c>
      <c r="T461" s="101">
        <f t="shared" ref="T461:T467" si="428">R461*S461</f>
        <v>0</v>
      </c>
      <c r="U461" s="183">
        <v>2</v>
      </c>
      <c r="V461" s="99">
        <v>3</v>
      </c>
      <c r="W461" s="98">
        <v>20</v>
      </c>
      <c r="X461" s="98">
        <v>3</v>
      </c>
      <c r="Y461" s="101">
        <f>W461*X461</f>
        <v>60</v>
      </c>
      <c r="Z461" s="101">
        <v>1</v>
      </c>
      <c r="AA461" s="183">
        <v>0</v>
      </c>
      <c r="AB461" s="99">
        <v>1</v>
      </c>
      <c r="AC461" s="98">
        <v>0</v>
      </c>
      <c r="AD461" s="98">
        <v>0</v>
      </c>
      <c r="AE461" s="101">
        <f t="shared" ref="AE461:AE467" si="429">AC461*AD461</f>
        <v>0</v>
      </c>
      <c r="AF461" s="98">
        <v>0</v>
      </c>
      <c r="AG461" s="98">
        <v>3</v>
      </c>
      <c r="AH461" s="99">
        <f t="shared" ref="AH461:AH467" si="430">AF461*AG461</f>
        <v>0</v>
      </c>
      <c r="AI461" s="101">
        <v>1</v>
      </c>
      <c r="AJ461" s="106"/>
    </row>
    <row r="462" spans="2:36" s="35" customFormat="1" ht="17.100000000000001" customHeight="1">
      <c r="B462" s="105"/>
      <c r="C462" s="54"/>
      <c r="D462" s="96"/>
      <c r="E462" s="111"/>
      <c r="F462" s="112"/>
      <c r="G462" s="113"/>
      <c r="H462" s="183">
        <v>1</v>
      </c>
      <c r="I462" s="98">
        <v>0</v>
      </c>
      <c r="J462" s="98">
        <v>0</v>
      </c>
      <c r="K462" s="101">
        <f t="shared" si="425"/>
        <v>0</v>
      </c>
      <c r="L462" s="100">
        <v>0</v>
      </c>
      <c r="M462" s="98">
        <v>0</v>
      </c>
      <c r="N462" s="101">
        <f t="shared" si="426"/>
        <v>0</v>
      </c>
      <c r="O462" s="100">
        <v>0</v>
      </c>
      <c r="P462" s="98">
        <v>0</v>
      </c>
      <c r="Q462" s="101">
        <f t="shared" si="427"/>
        <v>0</v>
      </c>
      <c r="R462" s="100">
        <v>0</v>
      </c>
      <c r="S462" s="98">
        <v>0</v>
      </c>
      <c r="T462" s="101">
        <f t="shared" si="428"/>
        <v>0</v>
      </c>
      <c r="U462" s="183">
        <v>1</v>
      </c>
      <c r="V462" s="99">
        <v>1</v>
      </c>
      <c r="W462" s="98">
        <v>0</v>
      </c>
      <c r="X462" s="98">
        <v>0</v>
      </c>
      <c r="Y462" s="101">
        <f t="shared" ref="Y462:Y467" si="431">W462*X462</f>
        <v>0</v>
      </c>
      <c r="Z462" s="101">
        <v>1</v>
      </c>
      <c r="AA462" s="183">
        <v>0</v>
      </c>
      <c r="AB462" s="99">
        <v>1</v>
      </c>
      <c r="AC462" s="98">
        <v>0</v>
      </c>
      <c r="AD462" s="98">
        <v>0</v>
      </c>
      <c r="AE462" s="101">
        <f t="shared" si="429"/>
        <v>0</v>
      </c>
      <c r="AF462" s="100">
        <v>0</v>
      </c>
      <c r="AG462" s="98">
        <v>0</v>
      </c>
      <c r="AH462" s="99">
        <f t="shared" si="430"/>
        <v>0</v>
      </c>
      <c r="AI462" s="101">
        <v>1</v>
      </c>
      <c r="AJ462" s="106"/>
    </row>
    <row r="463" spans="2:36" s="35" customFormat="1" ht="17.100000000000001" customHeight="1">
      <c r="B463" s="105"/>
      <c r="C463" s="54"/>
      <c r="D463" s="96"/>
      <c r="E463" s="111"/>
      <c r="F463" s="112"/>
      <c r="G463" s="113"/>
      <c r="H463" s="183">
        <v>1</v>
      </c>
      <c r="I463" s="98">
        <v>0</v>
      </c>
      <c r="J463" s="98">
        <v>0</v>
      </c>
      <c r="K463" s="101">
        <f t="shared" si="425"/>
        <v>0</v>
      </c>
      <c r="L463" s="100">
        <v>0</v>
      </c>
      <c r="M463" s="98">
        <v>0</v>
      </c>
      <c r="N463" s="101">
        <f t="shared" si="426"/>
        <v>0</v>
      </c>
      <c r="O463" s="100">
        <v>0</v>
      </c>
      <c r="P463" s="98">
        <v>0</v>
      </c>
      <c r="Q463" s="101">
        <f t="shared" si="427"/>
        <v>0</v>
      </c>
      <c r="R463" s="100">
        <v>0</v>
      </c>
      <c r="S463" s="98">
        <v>0</v>
      </c>
      <c r="T463" s="101">
        <f t="shared" si="428"/>
        <v>0</v>
      </c>
      <c r="U463" s="183">
        <v>1</v>
      </c>
      <c r="V463" s="99">
        <v>1</v>
      </c>
      <c r="W463" s="98">
        <v>0</v>
      </c>
      <c r="X463" s="98">
        <v>0</v>
      </c>
      <c r="Y463" s="101">
        <f t="shared" si="431"/>
        <v>0</v>
      </c>
      <c r="Z463" s="101">
        <v>1</v>
      </c>
      <c r="AA463" s="183">
        <v>0</v>
      </c>
      <c r="AB463" s="99">
        <v>1</v>
      </c>
      <c r="AC463" s="98">
        <v>0</v>
      </c>
      <c r="AD463" s="98">
        <v>0</v>
      </c>
      <c r="AE463" s="101">
        <f t="shared" si="429"/>
        <v>0</v>
      </c>
      <c r="AF463" s="100">
        <v>0</v>
      </c>
      <c r="AG463" s="98">
        <v>0</v>
      </c>
      <c r="AH463" s="99">
        <f t="shared" si="430"/>
        <v>0</v>
      </c>
      <c r="AI463" s="101">
        <v>1</v>
      </c>
      <c r="AJ463" s="106"/>
    </row>
    <row r="464" spans="2:36" s="35" customFormat="1" ht="17.100000000000001" customHeight="1">
      <c r="B464" s="105"/>
      <c r="C464" s="54"/>
      <c r="D464" s="96"/>
      <c r="E464" s="111"/>
      <c r="F464" s="112"/>
      <c r="G464" s="113"/>
      <c r="H464" s="183">
        <v>1</v>
      </c>
      <c r="I464" s="98">
        <v>0</v>
      </c>
      <c r="J464" s="98">
        <v>0</v>
      </c>
      <c r="K464" s="101">
        <f t="shared" si="425"/>
        <v>0</v>
      </c>
      <c r="L464" s="100">
        <v>0</v>
      </c>
      <c r="M464" s="98">
        <v>0</v>
      </c>
      <c r="N464" s="101">
        <f t="shared" si="426"/>
        <v>0</v>
      </c>
      <c r="O464" s="100">
        <v>0</v>
      </c>
      <c r="P464" s="98">
        <v>0</v>
      </c>
      <c r="Q464" s="101">
        <f t="shared" si="427"/>
        <v>0</v>
      </c>
      <c r="R464" s="100">
        <v>0</v>
      </c>
      <c r="S464" s="98">
        <v>0</v>
      </c>
      <c r="T464" s="101">
        <f t="shared" si="428"/>
        <v>0</v>
      </c>
      <c r="U464" s="183">
        <v>1</v>
      </c>
      <c r="V464" s="99">
        <v>1</v>
      </c>
      <c r="W464" s="98">
        <v>0</v>
      </c>
      <c r="X464" s="98">
        <v>0</v>
      </c>
      <c r="Y464" s="101">
        <f t="shared" si="431"/>
        <v>0</v>
      </c>
      <c r="Z464" s="101">
        <v>1</v>
      </c>
      <c r="AA464" s="183">
        <v>0</v>
      </c>
      <c r="AB464" s="99">
        <v>1</v>
      </c>
      <c r="AC464" s="98">
        <v>0</v>
      </c>
      <c r="AD464" s="98">
        <v>0</v>
      </c>
      <c r="AE464" s="101">
        <f t="shared" si="429"/>
        <v>0</v>
      </c>
      <c r="AF464" s="100">
        <v>0</v>
      </c>
      <c r="AG464" s="98">
        <v>0</v>
      </c>
      <c r="AH464" s="99">
        <f t="shared" si="430"/>
        <v>0</v>
      </c>
      <c r="AI464" s="101">
        <v>1</v>
      </c>
      <c r="AJ464" s="106"/>
    </row>
    <row r="465" spans="2:36" s="35" customFormat="1" ht="17.100000000000001" customHeight="1">
      <c r="B465" s="105"/>
      <c r="C465" s="54"/>
      <c r="D465" s="96"/>
      <c r="E465" s="111"/>
      <c r="F465" s="112"/>
      <c r="G465" s="113"/>
      <c r="H465" s="183">
        <v>1</v>
      </c>
      <c r="I465" s="98">
        <v>0</v>
      </c>
      <c r="J465" s="98">
        <v>0</v>
      </c>
      <c r="K465" s="101">
        <f t="shared" si="425"/>
        <v>0</v>
      </c>
      <c r="L465" s="100">
        <v>0</v>
      </c>
      <c r="M465" s="98">
        <v>0</v>
      </c>
      <c r="N465" s="101">
        <f t="shared" si="426"/>
        <v>0</v>
      </c>
      <c r="O465" s="100">
        <v>0</v>
      </c>
      <c r="P465" s="98">
        <v>0</v>
      </c>
      <c r="Q465" s="101">
        <f t="shared" si="427"/>
        <v>0</v>
      </c>
      <c r="R465" s="100">
        <v>0</v>
      </c>
      <c r="S465" s="98">
        <v>0</v>
      </c>
      <c r="T465" s="101">
        <f t="shared" si="428"/>
        <v>0</v>
      </c>
      <c r="U465" s="183">
        <v>1</v>
      </c>
      <c r="V465" s="99">
        <v>1</v>
      </c>
      <c r="W465" s="98">
        <v>0</v>
      </c>
      <c r="X465" s="98">
        <v>0</v>
      </c>
      <c r="Y465" s="101">
        <f t="shared" si="431"/>
        <v>0</v>
      </c>
      <c r="Z465" s="101">
        <v>1</v>
      </c>
      <c r="AA465" s="183">
        <v>0</v>
      </c>
      <c r="AB465" s="99">
        <v>1</v>
      </c>
      <c r="AC465" s="98">
        <v>0</v>
      </c>
      <c r="AD465" s="98">
        <v>0</v>
      </c>
      <c r="AE465" s="101">
        <f t="shared" si="429"/>
        <v>0</v>
      </c>
      <c r="AF465" s="100">
        <v>0</v>
      </c>
      <c r="AG465" s="98">
        <v>0</v>
      </c>
      <c r="AH465" s="99">
        <f t="shared" si="430"/>
        <v>0</v>
      </c>
      <c r="AI465" s="101">
        <v>1</v>
      </c>
      <c r="AJ465" s="106"/>
    </row>
    <row r="466" spans="2:36" s="35" customFormat="1" ht="17.100000000000001" customHeight="1">
      <c r="B466" s="105"/>
      <c r="C466" s="54"/>
      <c r="D466" s="96"/>
      <c r="E466" s="111"/>
      <c r="F466" s="112"/>
      <c r="G466" s="113"/>
      <c r="H466" s="183">
        <v>1</v>
      </c>
      <c r="I466" s="98">
        <v>0</v>
      </c>
      <c r="J466" s="98">
        <v>0</v>
      </c>
      <c r="K466" s="101">
        <f t="shared" si="425"/>
        <v>0</v>
      </c>
      <c r="L466" s="100">
        <v>0</v>
      </c>
      <c r="M466" s="98">
        <v>0</v>
      </c>
      <c r="N466" s="101">
        <f t="shared" si="426"/>
        <v>0</v>
      </c>
      <c r="O466" s="100">
        <v>0</v>
      </c>
      <c r="P466" s="98">
        <v>0</v>
      </c>
      <c r="Q466" s="101">
        <f t="shared" si="427"/>
        <v>0</v>
      </c>
      <c r="R466" s="100">
        <v>0</v>
      </c>
      <c r="S466" s="98">
        <v>0</v>
      </c>
      <c r="T466" s="101">
        <f t="shared" si="428"/>
        <v>0</v>
      </c>
      <c r="U466" s="183">
        <v>1</v>
      </c>
      <c r="V466" s="99">
        <v>1</v>
      </c>
      <c r="W466" s="98">
        <v>0</v>
      </c>
      <c r="X466" s="98">
        <v>0</v>
      </c>
      <c r="Y466" s="101">
        <f t="shared" si="431"/>
        <v>0</v>
      </c>
      <c r="Z466" s="101">
        <v>1</v>
      </c>
      <c r="AA466" s="183">
        <v>0</v>
      </c>
      <c r="AB466" s="99">
        <v>1</v>
      </c>
      <c r="AC466" s="98">
        <v>0</v>
      </c>
      <c r="AD466" s="98">
        <v>0</v>
      </c>
      <c r="AE466" s="101">
        <f t="shared" si="429"/>
        <v>0</v>
      </c>
      <c r="AF466" s="100">
        <v>0</v>
      </c>
      <c r="AG466" s="98">
        <v>0</v>
      </c>
      <c r="AH466" s="99">
        <f t="shared" si="430"/>
        <v>0</v>
      </c>
      <c r="AI466" s="101">
        <v>1</v>
      </c>
      <c r="AJ466" s="106"/>
    </row>
    <row r="467" spans="2:36" s="35" customFormat="1" ht="17.100000000000001" customHeight="1">
      <c r="B467" s="105"/>
      <c r="C467" s="54"/>
      <c r="D467" s="96"/>
      <c r="E467" s="111"/>
      <c r="F467" s="112"/>
      <c r="G467" s="113"/>
      <c r="H467" s="183">
        <v>1</v>
      </c>
      <c r="I467" s="98">
        <v>0</v>
      </c>
      <c r="J467" s="98">
        <v>0</v>
      </c>
      <c r="K467" s="101">
        <f t="shared" si="425"/>
        <v>0</v>
      </c>
      <c r="L467" s="100">
        <v>0</v>
      </c>
      <c r="M467" s="98">
        <v>0</v>
      </c>
      <c r="N467" s="101">
        <f t="shared" si="426"/>
        <v>0</v>
      </c>
      <c r="O467" s="100">
        <v>0</v>
      </c>
      <c r="P467" s="98">
        <v>0</v>
      </c>
      <c r="Q467" s="101">
        <f t="shared" si="427"/>
        <v>0</v>
      </c>
      <c r="R467" s="100">
        <v>0</v>
      </c>
      <c r="S467" s="98">
        <v>0</v>
      </c>
      <c r="T467" s="101">
        <f t="shared" si="428"/>
        <v>0</v>
      </c>
      <c r="U467" s="183">
        <v>1</v>
      </c>
      <c r="V467" s="99">
        <v>1</v>
      </c>
      <c r="W467" s="98">
        <v>0</v>
      </c>
      <c r="X467" s="98">
        <v>0</v>
      </c>
      <c r="Y467" s="101">
        <f t="shared" si="431"/>
        <v>0</v>
      </c>
      <c r="Z467" s="101">
        <v>1</v>
      </c>
      <c r="AA467" s="183">
        <v>0</v>
      </c>
      <c r="AB467" s="99">
        <v>1</v>
      </c>
      <c r="AC467" s="98">
        <v>0</v>
      </c>
      <c r="AD467" s="98">
        <v>0</v>
      </c>
      <c r="AE467" s="101">
        <f t="shared" si="429"/>
        <v>0</v>
      </c>
      <c r="AF467" s="100">
        <v>0</v>
      </c>
      <c r="AG467" s="98">
        <v>0</v>
      </c>
      <c r="AH467" s="99">
        <f t="shared" si="430"/>
        <v>0</v>
      </c>
      <c r="AI467" s="101">
        <v>1</v>
      </c>
      <c r="AJ467" s="106"/>
    </row>
    <row r="468" spans="2:36" s="126" customFormat="1" ht="17.100000000000001" customHeight="1" thickBot="1">
      <c r="B468" s="128"/>
      <c r="C468" s="154"/>
      <c r="D468" s="155"/>
      <c r="E468" s="156"/>
      <c r="F468" s="129"/>
      <c r="G468" s="130"/>
      <c r="H468" s="184">
        <v>1</v>
      </c>
      <c r="I468" s="361" t="s">
        <v>201</v>
      </c>
      <c r="J468" s="361"/>
      <c r="K468" s="131">
        <f>SUM(K461:K467)</f>
        <v>0</v>
      </c>
      <c r="L468" s="344" t="s">
        <v>201</v>
      </c>
      <c r="M468" s="345"/>
      <c r="N468" s="131">
        <f>SUM(N461:N467)</f>
        <v>0</v>
      </c>
      <c r="O468" s="344" t="s">
        <v>201</v>
      </c>
      <c r="P468" s="345"/>
      <c r="Q468" s="131">
        <f>SUM(Q461:Q467)</f>
        <v>0</v>
      </c>
      <c r="R468" s="344" t="s">
        <v>201</v>
      </c>
      <c r="S468" s="345"/>
      <c r="T468" s="131">
        <f>SUM(T461:T467)</f>
        <v>0</v>
      </c>
      <c r="U468" s="184">
        <v>1</v>
      </c>
      <c r="V468" s="160">
        <v>1</v>
      </c>
      <c r="W468" s="361" t="s">
        <v>201</v>
      </c>
      <c r="X468" s="361"/>
      <c r="Y468" s="131">
        <f>SUM(Y461:Y467)</f>
        <v>60</v>
      </c>
      <c r="Z468" s="133">
        <v>1</v>
      </c>
      <c r="AA468" s="184">
        <v>0</v>
      </c>
      <c r="AB468" s="160">
        <v>1</v>
      </c>
      <c r="AC468" s="361" t="s">
        <v>201</v>
      </c>
      <c r="AD468" s="361"/>
      <c r="AE468" s="131">
        <f>SUM(AE461:AE467)</f>
        <v>0</v>
      </c>
      <c r="AF468" s="362" t="s">
        <v>201</v>
      </c>
      <c r="AG468" s="361"/>
      <c r="AH468" s="144">
        <f>SUM(AH461:AH467)</f>
        <v>0</v>
      </c>
      <c r="AI468" s="133">
        <v>1</v>
      </c>
      <c r="AJ468" s="134"/>
    </row>
    <row r="469" spans="2:36" s="35" customFormat="1" ht="16.95" customHeight="1">
      <c r="B469" s="114"/>
      <c r="C469" s="157">
        <f>'3. Rekap Back Up Non Aspal '!C79</f>
        <v>9000</v>
      </c>
      <c r="D469" s="158">
        <f>'3. Rekap Back Up Non Aspal '!D79</f>
        <v>9100</v>
      </c>
      <c r="E469" s="159">
        <f>'3. Rekap Back Up Non Aspal '!E79</f>
        <v>3</v>
      </c>
      <c r="F469" s="115">
        <f>(100/((D469-C469)*E469))*((K476*0.05)+(N476*0.05)+(Q476*0.05)+(T476)+(Y476)+(AE476*1.5)+(AH476*1))</f>
        <v>100</v>
      </c>
      <c r="G469" s="116" t="str">
        <f>IF(F469&lt;=25,"RB",IF(F469&lt;=75,"RB",IF(F469&lt;=100,"RB","RB")))</f>
        <v>RB</v>
      </c>
      <c r="H469" s="185">
        <v>1</v>
      </c>
      <c r="I469" s="136">
        <v>0</v>
      </c>
      <c r="J469" s="136">
        <v>0</v>
      </c>
      <c r="K469" s="137">
        <f t="shared" ref="K469:K475" si="432">I469*J469</f>
        <v>0</v>
      </c>
      <c r="L469" s="136">
        <v>0</v>
      </c>
      <c r="M469" s="136">
        <v>0</v>
      </c>
      <c r="N469" s="137">
        <f t="shared" ref="N469:N475" si="433">L469*M469</f>
        <v>0</v>
      </c>
      <c r="O469" s="136">
        <v>0</v>
      </c>
      <c r="P469" s="136">
        <v>3</v>
      </c>
      <c r="Q469" s="137">
        <f t="shared" ref="Q469:Q475" si="434">O469*P469</f>
        <v>0</v>
      </c>
      <c r="R469" s="136">
        <v>0</v>
      </c>
      <c r="S469" s="136">
        <v>0</v>
      </c>
      <c r="T469" s="137">
        <f t="shared" ref="T469:T475" si="435">R469*S469</f>
        <v>0</v>
      </c>
      <c r="U469" s="185">
        <v>2</v>
      </c>
      <c r="V469" s="138">
        <v>2</v>
      </c>
      <c r="W469" s="136">
        <v>100</v>
      </c>
      <c r="X469" s="136">
        <v>3</v>
      </c>
      <c r="Y469" s="137">
        <f>W469*X469</f>
        <v>300</v>
      </c>
      <c r="Z469" s="137">
        <v>1</v>
      </c>
      <c r="AA469" s="185">
        <v>0</v>
      </c>
      <c r="AB469" s="138">
        <v>1</v>
      </c>
      <c r="AC469" s="136">
        <v>0</v>
      </c>
      <c r="AD469" s="136">
        <v>0</v>
      </c>
      <c r="AE469" s="137">
        <f t="shared" ref="AE469:AE475" si="436">AC469*AD469</f>
        <v>0</v>
      </c>
      <c r="AF469" s="136">
        <v>0</v>
      </c>
      <c r="AG469" s="136">
        <v>0</v>
      </c>
      <c r="AH469" s="138">
        <f t="shared" ref="AH469:AH475" si="437">AF469*AG469</f>
        <v>0</v>
      </c>
      <c r="AI469" s="137">
        <v>1</v>
      </c>
      <c r="AJ469" s="139"/>
    </row>
    <row r="470" spans="2:36" s="35" customFormat="1" ht="17.100000000000001" customHeight="1">
      <c r="B470" s="105"/>
      <c r="C470" s="54"/>
      <c r="D470" s="96"/>
      <c r="E470" s="111"/>
      <c r="F470" s="112"/>
      <c r="G470" s="113"/>
      <c r="H470" s="183">
        <v>1</v>
      </c>
      <c r="I470" s="98">
        <v>0</v>
      </c>
      <c r="J470" s="98">
        <v>0</v>
      </c>
      <c r="K470" s="101">
        <f t="shared" si="432"/>
        <v>0</v>
      </c>
      <c r="L470" s="100">
        <v>0</v>
      </c>
      <c r="M470" s="98">
        <v>0</v>
      </c>
      <c r="N470" s="101">
        <f t="shared" si="433"/>
        <v>0</v>
      </c>
      <c r="O470" s="100">
        <v>0</v>
      </c>
      <c r="P470" s="98">
        <v>0</v>
      </c>
      <c r="Q470" s="101">
        <f t="shared" si="434"/>
        <v>0</v>
      </c>
      <c r="R470" s="100">
        <v>0</v>
      </c>
      <c r="S470" s="98">
        <v>0</v>
      </c>
      <c r="T470" s="101">
        <f t="shared" si="435"/>
        <v>0</v>
      </c>
      <c r="U470" s="183">
        <v>1</v>
      </c>
      <c r="V470" s="99">
        <v>1</v>
      </c>
      <c r="W470" s="98">
        <v>0</v>
      </c>
      <c r="X470" s="98">
        <v>0</v>
      </c>
      <c r="Y470" s="101">
        <f t="shared" ref="Y470:Y475" si="438">W470*X470</f>
        <v>0</v>
      </c>
      <c r="Z470" s="101">
        <v>1</v>
      </c>
      <c r="AA470" s="183">
        <v>0</v>
      </c>
      <c r="AB470" s="99">
        <v>1</v>
      </c>
      <c r="AC470" s="98">
        <v>0</v>
      </c>
      <c r="AD470" s="98">
        <v>0</v>
      </c>
      <c r="AE470" s="101">
        <f t="shared" si="436"/>
        <v>0</v>
      </c>
      <c r="AF470" s="100">
        <v>0</v>
      </c>
      <c r="AG470" s="98">
        <v>0</v>
      </c>
      <c r="AH470" s="99">
        <f t="shared" si="437"/>
        <v>0</v>
      </c>
      <c r="AI470" s="101">
        <v>1</v>
      </c>
      <c r="AJ470" s="106"/>
    </row>
    <row r="471" spans="2:36" s="35" customFormat="1" ht="17.100000000000001" customHeight="1">
      <c r="B471" s="105"/>
      <c r="C471" s="54"/>
      <c r="D471" s="96"/>
      <c r="E471" s="111"/>
      <c r="F471" s="112"/>
      <c r="G471" s="113"/>
      <c r="H471" s="183">
        <v>1</v>
      </c>
      <c r="I471" s="98">
        <v>0</v>
      </c>
      <c r="J471" s="98">
        <v>0</v>
      </c>
      <c r="K471" s="101">
        <f t="shared" si="432"/>
        <v>0</v>
      </c>
      <c r="L471" s="100">
        <v>0</v>
      </c>
      <c r="M471" s="98">
        <v>0</v>
      </c>
      <c r="N471" s="101">
        <f t="shared" si="433"/>
        <v>0</v>
      </c>
      <c r="O471" s="100">
        <v>0</v>
      </c>
      <c r="P471" s="98">
        <v>0</v>
      </c>
      <c r="Q471" s="101">
        <f t="shared" si="434"/>
        <v>0</v>
      </c>
      <c r="R471" s="100">
        <v>0</v>
      </c>
      <c r="S471" s="98">
        <v>0</v>
      </c>
      <c r="T471" s="101">
        <f t="shared" si="435"/>
        <v>0</v>
      </c>
      <c r="U471" s="183">
        <v>1</v>
      </c>
      <c r="V471" s="99">
        <v>1</v>
      </c>
      <c r="W471" s="98">
        <v>0</v>
      </c>
      <c r="X471" s="98">
        <v>0</v>
      </c>
      <c r="Y471" s="101">
        <f t="shared" si="438"/>
        <v>0</v>
      </c>
      <c r="Z471" s="101">
        <v>1</v>
      </c>
      <c r="AA471" s="183">
        <v>0</v>
      </c>
      <c r="AB471" s="99">
        <v>1</v>
      </c>
      <c r="AC471" s="98">
        <v>0</v>
      </c>
      <c r="AD471" s="98">
        <v>0</v>
      </c>
      <c r="AE471" s="101">
        <f t="shared" si="436"/>
        <v>0</v>
      </c>
      <c r="AF471" s="100">
        <v>0</v>
      </c>
      <c r="AG471" s="98">
        <v>0</v>
      </c>
      <c r="AH471" s="99">
        <f t="shared" si="437"/>
        <v>0</v>
      </c>
      <c r="AI471" s="101">
        <v>1</v>
      </c>
      <c r="AJ471" s="106"/>
    </row>
    <row r="472" spans="2:36" s="35" customFormat="1" ht="17.100000000000001" customHeight="1">
      <c r="B472" s="105"/>
      <c r="C472" s="54"/>
      <c r="D472" s="96"/>
      <c r="E472" s="111"/>
      <c r="F472" s="112"/>
      <c r="G472" s="113"/>
      <c r="H472" s="183">
        <v>1</v>
      </c>
      <c r="I472" s="98">
        <v>0</v>
      </c>
      <c r="J472" s="98">
        <v>0</v>
      </c>
      <c r="K472" s="101">
        <f t="shared" si="432"/>
        <v>0</v>
      </c>
      <c r="L472" s="100">
        <v>0</v>
      </c>
      <c r="M472" s="98">
        <v>0</v>
      </c>
      <c r="N472" s="101">
        <f t="shared" si="433"/>
        <v>0</v>
      </c>
      <c r="O472" s="100">
        <v>0</v>
      </c>
      <c r="P472" s="98">
        <v>0</v>
      </c>
      <c r="Q472" s="101">
        <f t="shared" si="434"/>
        <v>0</v>
      </c>
      <c r="R472" s="100">
        <v>0</v>
      </c>
      <c r="S472" s="98">
        <v>0</v>
      </c>
      <c r="T472" s="101">
        <f t="shared" si="435"/>
        <v>0</v>
      </c>
      <c r="U472" s="183">
        <v>1</v>
      </c>
      <c r="V472" s="99">
        <v>1</v>
      </c>
      <c r="W472" s="98">
        <v>0</v>
      </c>
      <c r="X472" s="98">
        <v>0</v>
      </c>
      <c r="Y472" s="101">
        <f t="shared" si="438"/>
        <v>0</v>
      </c>
      <c r="Z472" s="101">
        <v>1</v>
      </c>
      <c r="AA472" s="183">
        <v>0</v>
      </c>
      <c r="AB472" s="99">
        <v>1</v>
      </c>
      <c r="AC472" s="98">
        <v>0</v>
      </c>
      <c r="AD472" s="98">
        <v>0</v>
      </c>
      <c r="AE472" s="101">
        <f t="shared" si="436"/>
        <v>0</v>
      </c>
      <c r="AF472" s="100">
        <v>0</v>
      </c>
      <c r="AG472" s="98">
        <v>0</v>
      </c>
      <c r="AH472" s="99">
        <f t="shared" si="437"/>
        <v>0</v>
      </c>
      <c r="AI472" s="101">
        <v>1</v>
      </c>
      <c r="AJ472" s="106"/>
    </row>
    <row r="473" spans="2:36" s="35" customFormat="1" ht="17.100000000000001" customHeight="1">
      <c r="B473" s="105"/>
      <c r="C473" s="54"/>
      <c r="D473" s="96"/>
      <c r="E473" s="111"/>
      <c r="F473" s="112"/>
      <c r="G473" s="113"/>
      <c r="H473" s="183">
        <v>1</v>
      </c>
      <c r="I473" s="98">
        <v>0</v>
      </c>
      <c r="J473" s="98">
        <v>0</v>
      </c>
      <c r="K473" s="101">
        <f t="shared" si="432"/>
        <v>0</v>
      </c>
      <c r="L473" s="100">
        <v>0</v>
      </c>
      <c r="M473" s="98">
        <v>0</v>
      </c>
      <c r="N473" s="101">
        <f t="shared" si="433"/>
        <v>0</v>
      </c>
      <c r="O473" s="100">
        <v>0</v>
      </c>
      <c r="P473" s="98">
        <v>0</v>
      </c>
      <c r="Q473" s="101">
        <f t="shared" si="434"/>
        <v>0</v>
      </c>
      <c r="R473" s="100">
        <v>0</v>
      </c>
      <c r="S473" s="98">
        <v>0</v>
      </c>
      <c r="T473" s="101">
        <f t="shared" si="435"/>
        <v>0</v>
      </c>
      <c r="U473" s="183">
        <v>1</v>
      </c>
      <c r="V473" s="99">
        <v>1</v>
      </c>
      <c r="W473" s="98">
        <v>0</v>
      </c>
      <c r="X473" s="98">
        <v>0</v>
      </c>
      <c r="Y473" s="101">
        <f t="shared" si="438"/>
        <v>0</v>
      </c>
      <c r="Z473" s="101">
        <v>1</v>
      </c>
      <c r="AA473" s="183">
        <v>0</v>
      </c>
      <c r="AB473" s="99">
        <v>1</v>
      </c>
      <c r="AC473" s="98">
        <v>0</v>
      </c>
      <c r="AD473" s="98">
        <v>0</v>
      </c>
      <c r="AE473" s="101">
        <f t="shared" si="436"/>
        <v>0</v>
      </c>
      <c r="AF473" s="100">
        <v>0</v>
      </c>
      <c r="AG473" s="98">
        <v>0</v>
      </c>
      <c r="AH473" s="99">
        <f t="shared" si="437"/>
        <v>0</v>
      </c>
      <c r="AI473" s="101">
        <v>1</v>
      </c>
      <c r="AJ473" s="106"/>
    </row>
    <row r="474" spans="2:36" s="35" customFormat="1" ht="17.100000000000001" customHeight="1">
      <c r="B474" s="105"/>
      <c r="C474" s="54"/>
      <c r="D474" s="96"/>
      <c r="E474" s="111"/>
      <c r="F474" s="112"/>
      <c r="G474" s="113"/>
      <c r="H474" s="183">
        <v>1</v>
      </c>
      <c r="I474" s="98">
        <v>0</v>
      </c>
      <c r="J474" s="98">
        <v>0</v>
      </c>
      <c r="K474" s="101">
        <f t="shared" si="432"/>
        <v>0</v>
      </c>
      <c r="L474" s="100">
        <v>0</v>
      </c>
      <c r="M474" s="98">
        <v>0</v>
      </c>
      <c r="N474" s="101">
        <f t="shared" si="433"/>
        <v>0</v>
      </c>
      <c r="O474" s="100">
        <v>0</v>
      </c>
      <c r="P474" s="98">
        <v>0</v>
      </c>
      <c r="Q474" s="101">
        <f t="shared" si="434"/>
        <v>0</v>
      </c>
      <c r="R474" s="100">
        <v>0</v>
      </c>
      <c r="S474" s="98">
        <v>0</v>
      </c>
      <c r="T474" s="101">
        <f t="shared" si="435"/>
        <v>0</v>
      </c>
      <c r="U474" s="183">
        <v>1</v>
      </c>
      <c r="V474" s="99">
        <v>1</v>
      </c>
      <c r="W474" s="98">
        <v>0</v>
      </c>
      <c r="X474" s="98">
        <v>0</v>
      </c>
      <c r="Y474" s="101">
        <f t="shared" si="438"/>
        <v>0</v>
      </c>
      <c r="Z474" s="101">
        <v>1</v>
      </c>
      <c r="AA474" s="183">
        <v>0</v>
      </c>
      <c r="AB474" s="99">
        <v>1</v>
      </c>
      <c r="AC474" s="98">
        <v>0</v>
      </c>
      <c r="AD474" s="98">
        <v>0</v>
      </c>
      <c r="AE474" s="101">
        <f t="shared" si="436"/>
        <v>0</v>
      </c>
      <c r="AF474" s="100">
        <v>0</v>
      </c>
      <c r="AG474" s="98">
        <v>0</v>
      </c>
      <c r="AH474" s="99">
        <f t="shared" si="437"/>
        <v>0</v>
      </c>
      <c r="AI474" s="101">
        <v>1</v>
      </c>
      <c r="AJ474" s="106"/>
    </row>
    <row r="475" spans="2:36" s="35" customFormat="1" ht="17.100000000000001" customHeight="1">
      <c r="B475" s="105"/>
      <c r="C475" s="54"/>
      <c r="D475" s="96"/>
      <c r="E475" s="111"/>
      <c r="F475" s="112"/>
      <c r="G475" s="113"/>
      <c r="H475" s="183">
        <v>1</v>
      </c>
      <c r="I475" s="98">
        <v>0</v>
      </c>
      <c r="J475" s="98">
        <v>0</v>
      </c>
      <c r="K475" s="101">
        <f t="shared" si="432"/>
        <v>0</v>
      </c>
      <c r="L475" s="100">
        <v>0</v>
      </c>
      <c r="M475" s="98">
        <v>0</v>
      </c>
      <c r="N475" s="101">
        <f t="shared" si="433"/>
        <v>0</v>
      </c>
      <c r="O475" s="100">
        <v>0</v>
      </c>
      <c r="P475" s="98">
        <v>0</v>
      </c>
      <c r="Q475" s="101">
        <f t="shared" si="434"/>
        <v>0</v>
      </c>
      <c r="R475" s="100">
        <v>0</v>
      </c>
      <c r="S475" s="98">
        <v>0</v>
      </c>
      <c r="T475" s="101">
        <f t="shared" si="435"/>
        <v>0</v>
      </c>
      <c r="U475" s="183">
        <v>1</v>
      </c>
      <c r="V475" s="99">
        <v>1</v>
      </c>
      <c r="W475" s="98">
        <v>0</v>
      </c>
      <c r="X475" s="98">
        <v>0</v>
      </c>
      <c r="Y475" s="101">
        <f t="shared" si="438"/>
        <v>0</v>
      </c>
      <c r="Z475" s="101">
        <v>1</v>
      </c>
      <c r="AA475" s="183">
        <v>0</v>
      </c>
      <c r="AB475" s="99">
        <v>1</v>
      </c>
      <c r="AC475" s="98">
        <v>0</v>
      </c>
      <c r="AD475" s="98">
        <v>0</v>
      </c>
      <c r="AE475" s="101">
        <f t="shared" si="436"/>
        <v>0</v>
      </c>
      <c r="AF475" s="100">
        <v>0</v>
      </c>
      <c r="AG475" s="98">
        <v>0</v>
      </c>
      <c r="AH475" s="99">
        <f t="shared" si="437"/>
        <v>0</v>
      </c>
      <c r="AI475" s="101">
        <v>1</v>
      </c>
      <c r="AJ475" s="106"/>
    </row>
    <row r="476" spans="2:36" s="126" customFormat="1" ht="17.100000000000001" customHeight="1">
      <c r="B476" s="118"/>
      <c r="C476" s="119"/>
      <c r="D476" s="120"/>
      <c r="E476" s="121"/>
      <c r="F476" s="122"/>
      <c r="G476" s="123"/>
      <c r="H476" s="183">
        <v>1</v>
      </c>
      <c r="I476" s="363" t="s">
        <v>201</v>
      </c>
      <c r="J476" s="363"/>
      <c r="K476" s="124">
        <f>SUM(K469:K475)</f>
        <v>0</v>
      </c>
      <c r="L476" s="341" t="s">
        <v>201</v>
      </c>
      <c r="M476" s="342"/>
      <c r="N476" s="124">
        <f>SUM(N469:N475)</f>
        <v>0</v>
      </c>
      <c r="O476" s="341" t="s">
        <v>201</v>
      </c>
      <c r="P476" s="342"/>
      <c r="Q476" s="124">
        <f>SUM(Q469:Q475)</f>
        <v>0</v>
      </c>
      <c r="R476" s="341" t="s">
        <v>201</v>
      </c>
      <c r="S476" s="342"/>
      <c r="T476" s="124">
        <f>SUM(T469:T475)</f>
        <v>0</v>
      </c>
      <c r="U476" s="183">
        <v>1</v>
      </c>
      <c r="V476" s="99">
        <v>1</v>
      </c>
      <c r="W476" s="363" t="s">
        <v>201</v>
      </c>
      <c r="X476" s="363"/>
      <c r="Y476" s="124">
        <f>SUM(Y469:Y475)</f>
        <v>300</v>
      </c>
      <c r="Z476" s="101">
        <v>1</v>
      </c>
      <c r="AA476" s="183">
        <v>0</v>
      </c>
      <c r="AB476" s="99">
        <v>1</v>
      </c>
      <c r="AC476" s="363" t="s">
        <v>201</v>
      </c>
      <c r="AD476" s="363"/>
      <c r="AE476" s="124">
        <f>SUM(AE469:AE475)</f>
        <v>0</v>
      </c>
      <c r="AF476" s="364" t="s">
        <v>201</v>
      </c>
      <c r="AG476" s="363"/>
      <c r="AH476" s="143">
        <f>SUM(AH469:AH475)</f>
        <v>0</v>
      </c>
      <c r="AI476" s="101">
        <v>1</v>
      </c>
      <c r="AJ476" s="125"/>
    </row>
    <row r="477" spans="2:36" s="35" customFormat="1" ht="16.95" customHeight="1">
      <c r="B477" s="105"/>
      <c r="C477" s="54">
        <f>'3. Rekap Back Up Non Aspal '!C80</f>
        <v>9100</v>
      </c>
      <c r="D477" s="96">
        <f>'3. Rekap Back Up Non Aspal '!D80</f>
        <v>9200</v>
      </c>
      <c r="E477" s="111">
        <f>'3. Rekap Back Up Non Aspal '!E80</f>
        <v>3</v>
      </c>
      <c r="F477" s="112">
        <f>(100/((D477-C477)*E477))*((K484*0.05)+(N484*0.05)+(Q484*0.05)+(T484)+(Y484)+(AE484*1.5)+(AH484*1))</f>
        <v>66.666666666666657</v>
      </c>
      <c r="G477" s="113" t="str">
        <f>IF(F477&lt;=25,"RB",IF(F477&lt;=75,"RB",IF(F477&lt;=100,"RB","RB")))</f>
        <v>RB</v>
      </c>
      <c r="H477" s="183">
        <v>1</v>
      </c>
      <c r="I477" s="98">
        <v>0</v>
      </c>
      <c r="J477" s="98">
        <v>0</v>
      </c>
      <c r="K477" s="101">
        <f t="shared" ref="K477:K483" si="439">I477*J477</f>
        <v>0</v>
      </c>
      <c r="L477" s="98">
        <v>0</v>
      </c>
      <c r="M477" s="98">
        <v>0</v>
      </c>
      <c r="N477" s="101">
        <f t="shared" ref="N477:N483" si="440">L477*M477</f>
        <v>0</v>
      </c>
      <c r="O477" s="98">
        <v>0</v>
      </c>
      <c r="P477" s="98">
        <v>0</v>
      </c>
      <c r="Q477" s="101">
        <f t="shared" ref="Q477:Q483" si="441">O477*P477</f>
        <v>0</v>
      </c>
      <c r="R477" s="98">
        <v>0</v>
      </c>
      <c r="S477" s="98">
        <v>0</v>
      </c>
      <c r="T477" s="101">
        <f t="shared" ref="T477:T483" si="442">R477*S477</f>
        <v>0</v>
      </c>
      <c r="U477" s="183">
        <v>2</v>
      </c>
      <c r="V477" s="99">
        <v>2</v>
      </c>
      <c r="W477" s="98">
        <v>100</v>
      </c>
      <c r="X477" s="98">
        <v>2</v>
      </c>
      <c r="Y477" s="101">
        <f>W477*X477</f>
        <v>200</v>
      </c>
      <c r="Z477" s="101">
        <v>1</v>
      </c>
      <c r="AA477" s="183">
        <v>0</v>
      </c>
      <c r="AB477" s="99">
        <v>1</v>
      </c>
      <c r="AC477" s="98">
        <v>0</v>
      </c>
      <c r="AD477" s="98">
        <v>0</v>
      </c>
      <c r="AE477" s="101">
        <f t="shared" ref="AE477:AE483" si="443">AC477*AD477</f>
        <v>0</v>
      </c>
      <c r="AF477" s="98">
        <v>0</v>
      </c>
      <c r="AG477" s="98">
        <v>3</v>
      </c>
      <c r="AH477" s="99">
        <f t="shared" ref="AH477:AH483" si="444">AF477*AG477</f>
        <v>0</v>
      </c>
      <c r="AI477" s="101">
        <v>1</v>
      </c>
      <c r="AJ477" s="106"/>
    </row>
    <row r="478" spans="2:36" s="35" customFormat="1" ht="17.100000000000001" customHeight="1">
      <c r="B478" s="105"/>
      <c r="C478" s="54"/>
      <c r="D478" s="96"/>
      <c r="E478" s="111"/>
      <c r="F478" s="112"/>
      <c r="G478" s="113"/>
      <c r="H478" s="183">
        <v>1</v>
      </c>
      <c r="I478" s="98">
        <v>0</v>
      </c>
      <c r="J478" s="98">
        <v>0</v>
      </c>
      <c r="K478" s="101">
        <f t="shared" si="439"/>
        <v>0</v>
      </c>
      <c r="L478" s="100">
        <v>0</v>
      </c>
      <c r="M478" s="98">
        <v>0</v>
      </c>
      <c r="N478" s="101">
        <f t="shared" si="440"/>
        <v>0</v>
      </c>
      <c r="O478" s="100">
        <v>0</v>
      </c>
      <c r="P478" s="98">
        <v>0</v>
      </c>
      <c r="Q478" s="101">
        <f t="shared" si="441"/>
        <v>0</v>
      </c>
      <c r="R478" s="100">
        <v>0</v>
      </c>
      <c r="S478" s="98">
        <v>0</v>
      </c>
      <c r="T478" s="101">
        <f t="shared" si="442"/>
        <v>0</v>
      </c>
      <c r="U478" s="183">
        <v>1</v>
      </c>
      <c r="V478" s="99">
        <v>1</v>
      </c>
      <c r="W478" s="98">
        <v>0</v>
      </c>
      <c r="X478" s="98">
        <v>0</v>
      </c>
      <c r="Y478" s="101">
        <f t="shared" ref="Y478:Y483" si="445">W478*X478</f>
        <v>0</v>
      </c>
      <c r="Z478" s="101">
        <v>1</v>
      </c>
      <c r="AA478" s="183">
        <v>0</v>
      </c>
      <c r="AB478" s="99">
        <v>1</v>
      </c>
      <c r="AC478" s="98">
        <v>0</v>
      </c>
      <c r="AD478" s="98">
        <v>0</v>
      </c>
      <c r="AE478" s="101">
        <f t="shared" si="443"/>
        <v>0</v>
      </c>
      <c r="AF478" s="100">
        <v>0</v>
      </c>
      <c r="AG478" s="98">
        <v>0</v>
      </c>
      <c r="AH478" s="99">
        <f t="shared" si="444"/>
        <v>0</v>
      </c>
      <c r="AI478" s="101">
        <v>1</v>
      </c>
      <c r="AJ478" s="106"/>
    </row>
    <row r="479" spans="2:36" s="35" customFormat="1" ht="17.100000000000001" customHeight="1">
      <c r="B479" s="105"/>
      <c r="C479" s="54"/>
      <c r="D479" s="96"/>
      <c r="E479" s="111"/>
      <c r="F479" s="112"/>
      <c r="G479" s="113"/>
      <c r="H479" s="183">
        <v>1</v>
      </c>
      <c r="I479" s="98">
        <v>0</v>
      </c>
      <c r="J479" s="98">
        <v>0</v>
      </c>
      <c r="K479" s="101">
        <f t="shared" si="439"/>
        <v>0</v>
      </c>
      <c r="L479" s="100">
        <v>0</v>
      </c>
      <c r="M479" s="98">
        <v>0</v>
      </c>
      <c r="N479" s="101">
        <f t="shared" si="440"/>
        <v>0</v>
      </c>
      <c r="O479" s="100">
        <v>0</v>
      </c>
      <c r="P479" s="98">
        <v>0</v>
      </c>
      <c r="Q479" s="101">
        <f t="shared" si="441"/>
        <v>0</v>
      </c>
      <c r="R479" s="100">
        <v>0</v>
      </c>
      <c r="S479" s="98">
        <v>0</v>
      </c>
      <c r="T479" s="101">
        <f t="shared" si="442"/>
        <v>0</v>
      </c>
      <c r="U479" s="183">
        <v>1</v>
      </c>
      <c r="V479" s="99">
        <v>1</v>
      </c>
      <c r="W479" s="98">
        <v>0</v>
      </c>
      <c r="X479" s="98">
        <v>0</v>
      </c>
      <c r="Y479" s="101">
        <f t="shared" si="445"/>
        <v>0</v>
      </c>
      <c r="Z479" s="101">
        <v>1</v>
      </c>
      <c r="AA479" s="183">
        <v>0</v>
      </c>
      <c r="AB479" s="99">
        <v>1</v>
      </c>
      <c r="AC479" s="98">
        <v>0</v>
      </c>
      <c r="AD479" s="98">
        <v>0</v>
      </c>
      <c r="AE479" s="101">
        <f t="shared" si="443"/>
        <v>0</v>
      </c>
      <c r="AF479" s="100">
        <v>0</v>
      </c>
      <c r="AG479" s="98">
        <v>0</v>
      </c>
      <c r="AH479" s="99">
        <f t="shared" si="444"/>
        <v>0</v>
      </c>
      <c r="AI479" s="101">
        <v>1</v>
      </c>
      <c r="AJ479" s="106"/>
    </row>
    <row r="480" spans="2:36" s="35" customFormat="1" ht="17.100000000000001" customHeight="1">
      <c r="B480" s="105"/>
      <c r="C480" s="54"/>
      <c r="D480" s="96"/>
      <c r="E480" s="111"/>
      <c r="F480" s="112"/>
      <c r="G480" s="113"/>
      <c r="H480" s="183">
        <v>1</v>
      </c>
      <c r="I480" s="98">
        <v>0</v>
      </c>
      <c r="J480" s="98">
        <v>0</v>
      </c>
      <c r="K480" s="101">
        <f t="shared" si="439"/>
        <v>0</v>
      </c>
      <c r="L480" s="100">
        <v>0</v>
      </c>
      <c r="M480" s="98">
        <v>0</v>
      </c>
      <c r="N480" s="101">
        <f t="shared" si="440"/>
        <v>0</v>
      </c>
      <c r="O480" s="100">
        <v>0</v>
      </c>
      <c r="P480" s="98">
        <v>0</v>
      </c>
      <c r="Q480" s="101">
        <f t="shared" si="441"/>
        <v>0</v>
      </c>
      <c r="R480" s="100">
        <v>0</v>
      </c>
      <c r="S480" s="98">
        <v>0</v>
      </c>
      <c r="T480" s="101">
        <f t="shared" si="442"/>
        <v>0</v>
      </c>
      <c r="U480" s="183">
        <v>1</v>
      </c>
      <c r="V480" s="99">
        <v>1</v>
      </c>
      <c r="W480" s="98">
        <v>0</v>
      </c>
      <c r="X480" s="98">
        <v>0</v>
      </c>
      <c r="Y480" s="101">
        <f t="shared" si="445"/>
        <v>0</v>
      </c>
      <c r="Z480" s="101">
        <v>1</v>
      </c>
      <c r="AA480" s="183">
        <v>0</v>
      </c>
      <c r="AB480" s="99">
        <v>1</v>
      </c>
      <c r="AC480" s="98">
        <v>0</v>
      </c>
      <c r="AD480" s="98">
        <v>0</v>
      </c>
      <c r="AE480" s="101">
        <f t="shared" si="443"/>
        <v>0</v>
      </c>
      <c r="AF480" s="100">
        <v>0</v>
      </c>
      <c r="AG480" s="98">
        <v>0</v>
      </c>
      <c r="AH480" s="99">
        <f t="shared" si="444"/>
        <v>0</v>
      </c>
      <c r="AI480" s="101">
        <v>1</v>
      </c>
      <c r="AJ480" s="106"/>
    </row>
    <row r="481" spans="2:36" s="35" customFormat="1" ht="17.100000000000001" customHeight="1">
      <c r="B481" s="105"/>
      <c r="C481" s="54"/>
      <c r="D481" s="96"/>
      <c r="E481" s="111"/>
      <c r="F481" s="112"/>
      <c r="G481" s="113"/>
      <c r="H481" s="183">
        <v>1</v>
      </c>
      <c r="I481" s="98">
        <v>0</v>
      </c>
      <c r="J481" s="98">
        <v>0</v>
      </c>
      <c r="K481" s="101">
        <f t="shared" si="439"/>
        <v>0</v>
      </c>
      <c r="L481" s="100">
        <v>0</v>
      </c>
      <c r="M481" s="98">
        <v>0</v>
      </c>
      <c r="N481" s="101">
        <f t="shared" si="440"/>
        <v>0</v>
      </c>
      <c r="O481" s="100">
        <v>0</v>
      </c>
      <c r="P481" s="98">
        <v>0</v>
      </c>
      <c r="Q481" s="101">
        <f t="shared" si="441"/>
        <v>0</v>
      </c>
      <c r="R481" s="100">
        <v>0</v>
      </c>
      <c r="S481" s="98">
        <v>0</v>
      </c>
      <c r="T481" s="101">
        <f t="shared" si="442"/>
        <v>0</v>
      </c>
      <c r="U481" s="183">
        <v>1</v>
      </c>
      <c r="V481" s="99">
        <v>1</v>
      </c>
      <c r="W481" s="98">
        <v>0</v>
      </c>
      <c r="X481" s="98">
        <v>0</v>
      </c>
      <c r="Y481" s="101">
        <f t="shared" si="445"/>
        <v>0</v>
      </c>
      <c r="Z481" s="101">
        <v>1</v>
      </c>
      <c r="AA481" s="183">
        <v>0</v>
      </c>
      <c r="AB481" s="99">
        <v>1</v>
      </c>
      <c r="AC481" s="98">
        <v>0</v>
      </c>
      <c r="AD481" s="98">
        <v>0</v>
      </c>
      <c r="AE481" s="101">
        <f t="shared" si="443"/>
        <v>0</v>
      </c>
      <c r="AF481" s="100">
        <v>0</v>
      </c>
      <c r="AG481" s="98">
        <v>0</v>
      </c>
      <c r="AH481" s="99">
        <f t="shared" si="444"/>
        <v>0</v>
      </c>
      <c r="AI481" s="101">
        <v>1</v>
      </c>
      <c r="AJ481" s="106"/>
    </row>
    <row r="482" spans="2:36" s="35" customFormat="1" ht="17.100000000000001" customHeight="1">
      <c r="B482" s="105"/>
      <c r="C482" s="54"/>
      <c r="D482" s="96"/>
      <c r="E482" s="111"/>
      <c r="F482" s="112"/>
      <c r="G482" s="113"/>
      <c r="H482" s="183">
        <v>1</v>
      </c>
      <c r="I482" s="98">
        <v>0</v>
      </c>
      <c r="J482" s="98">
        <v>0</v>
      </c>
      <c r="K482" s="101">
        <f t="shared" si="439"/>
        <v>0</v>
      </c>
      <c r="L482" s="100">
        <v>0</v>
      </c>
      <c r="M482" s="98">
        <v>0</v>
      </c>
      <c r="N482" s="101">
        <f t="shared" si="440"/>
        <v>0</v>
      </c>
      <c r="O482" s="100">
        <v>0</v>
      </c>
      <c r="P482" s="98">
        <v>0</v>
      </c>
      <c r="Q482" s="101">
        <f t="shared" si="441"/>
        <v>0</v>
      </c>
      <c r="R482" s="100">
        <v>0</v>
      </c>
      <c r="S482" s="98">
        <v>0</v>
      </c>
      <c r="T482" s="101">
        <f t="shared" si="442"/>
        <v>0</v>
      </c>
      <c r="U482" s="183">
        <v>1</v>
      </c>
      <c r="V482" s="99">
        <v>1</v>
      </c>
      <c r="W482" s="98">
        <v>0</v>
      </c>
      <c r="X482" s="98">
        <v>0</v>
      </c>
      <c r="Y482" s="101">
        <f t="shared" si="445"/>
        <v>0</v>
      </c>
      <c r="Z482" s="101">
        <v>1</v>
      </c>
      <c r="AA482" s="183">
        <v>0</v>
      </c>
      <c r="AB482" s="99">
        <v>1</v>
      </c>
      <c r="AC482" s="98">
        <v>0</v>
      </c>
      <c r="AD482" s="98">
        <v>0</v>
      </c>
      <c r="AE482" s="101">
        <f t="shared" si="443"/>
        <v>0</v>
      </c>
      <c r="AF482" s="100">
        <v>0</v>
      </c>
      <c r="AG482" s="98">
        <v>0</v>
      </c>
      <c r="AH482" s="99">
        <f t="shared" si="444"/>
        <v>0</v>
      </c>
      <c r="AI482" s="101">
        <v>1</v>
      </c>
      <c r="AJ482" s="106"/>
    </row>
    <row r="483" spans="2:36" s="35" customFormat="1" ht="17.100000000000001" customHeight="1">
      <c r="B483" s="105"/>
      <c r="C483" s="54"/>
      <c r="D483" s="96"/>
      <c r="E483" s="111"/>
      <c r="F483" s="112"/>
      <c r="G483" s="113"/>
      <c r="H483" s="183">
        <v>1</v>
      </c>
      <c r="I483" s="98">
        <v>0</v>
      </c>
      <c r="J483" s="98">
        <v>0</v>
      </c>
      <c r="K483" s="101">
        <f t="shared" si="439"/>
        <v>0</v>
      </c>
      <c r="L483" s="100">
        <v>0</v>
      </c>
      <c r="M483" s="98">
        <v>0</v>
      </c>
      <c r="N483" s="101">
        <f t="shared" si="440"/>
        <v>0</v>
      </c>
      <c r="O483" s="100">
        <v>0</v>
      </c>
      <c r="P483" s="98">
        <v>0</v>
      </c>
      <c r="Q483" s="101">
        <f t="shared" si="441"/>
        <v>0</v>
      </c>
      <c r="R483" s="100">
        <v>0</v>
      </c>
      <c r="S483" s="98">
        <v>0</v>
      </c>
      <c r="T483" s="101">
        <f t="shared" si="442"/>
        <v>0</v>
      </c>
      <c r="U483" s="183">
        <v>1</v>
      </c>
      <c r="V483" s="99">
        <v>1</v>
      </c>
      <c r="W483" s="98">
        <v>0</v>
      </c>
      <c r="X483" s="98">
        <v>0</v>
      </c>
      <c r="Y483" s="101">
        <f t="shared" si="445"/>
        <v>0</v>
      </c>
      <c r="Z483" s="101">
        <v>1</v>
      </c>
      <c r="AA483" s="183">
        <v>0</v>
      </c>
      <c r="AB483" s="99">
        <v>1</v>
      </c>
      <c r="AC483" s="98">
        <v>0</v>
      </c>
      <c r="AD483" s="98">
        <v>0</v>
      </c>
      <c r="AE483" s="101">
        <f t="shared" si="443"/>
        <v>0</v>
      </c>
      <c r="AF483" s="100">
        <v>0</v>
      </c>
      <c r="AG483" s="98">
        <v>0</v>
      </c>
      <c r="AH483" s="99">
        <f t="shared" si="444"/>
        <v>0</v>
      </c>
      <c r="AI483" s="101">
        <v>1</v>
      </c>
      <c r="AJ483" s="106"/>
    </row>
    <row r="484" spans="2:36" s="126" customFormat="1" ht="17.100000000000001" customHeight="1">
      <c r="B484" s="118"/>
      <c r="C484" s="119"/>
      <c r="D484" s="120"/>
      <c r="E484" s="121"/>
      <c r="F484" s="122"/>
      <c r="G484" s="123"/>
      <c r="H484" s="183">
        <v>1</v>
      </c>
      <c r="I484" s="363" t="s">
        <v>201</v>
      </c>
      <c r="J484" s="363"/>
      <c r="K484" s="124">
        <f>SUM(K477:K483)</f>
        <v>0</v>
      </c>
      <c r="L484" s="341" t="s">
        <v>201</v>
      </c>
      <c r="M484" s="342"/>
      <c r="N484" s="124">
        <f>SUM(N477:N483)</f>
        <v>0</v>
      </c>
      <c r="O484" s="341" t="s">
        <v>201</v>
      </c>
      <c r="P484" s="342"/>
      <c r="Q484" s="124">
        <f>SUM(Q477:Q483)</f>
        <v>0</v>
      </c>
      <c r="R484" s="341" t="s">
        <v>201</v>
      </c>
      <c r="S484" s="342"/>
      <c r="T484" s="124">
        <f>SUM(T477:T483)</f>
        <v>0</v>
      </c>
      <c r="U484" s="183">
        <v>1</v>
      </c>
      <c r="V484" s="99">
        <v>1</v>
      </c>
      <c r="W484" s="363" t="s">
        <v>201</v>
      </c>
      <c r="X484" s="363"/>
      <c r="Y484" s="124">
        <f>SUM(Y477:Y483)</f>
        <v>200</v>
      </c>
      <c r="Z484" s="101">
        <v>1</v>
      </c>
      <c r="AA484" s="183">
        <v>0</v>
      </c>
      <c r="AB484" s="99">
        <v>1</v>
      </c>
      <c r="AC484" s="363" t="s">
        <v>201</v>
      </c>
      <c r="AD484" s="363"/>
      <c r="AE484" s="124">
        <f>SUM(AE477:AE483)</f>
        <v>0</v>
      </c>
      <c r="AF484" s="364" t="s">
        <v>201</v>
      </c>
      <c r="AG484" s="363"/>
      <c r="AH484" s="143">
        <f>SUM(AH477:AH483)</f>
        <v>0</v>
      </c>
      <c r="AI484" s="101">
        <v>1</v>
      </c>
      <c r="AJ484" s="125"/>
    </row>
    <row r="485" spans="2:36" s="35" customFormat="1" ht="16.95" customHeight="1">
      <c r="B485" s="248"/>
      <c r="C485" s="249">
        <f>'3. Rekap Back Up Non Aspal '!C81</f>
        <v>9200</v>
      </c>
      <c r="D485" s="250">
        <f>'3. Rekap Back Up Non Aspal '!D81</f>
        <v>9280</v>
      </c>
      <c r="E485" s="251">
        <f>'3. Rekap Back Up Non Aspal '!E81</f>
        <v>3</v>
      </c>
      <c r="F485" s="112">
        <f>(100/((D485-C485)*E485))*((K492*0.05)+(N492*0.05)+(Q492*0.05)+(T492)+(Y492)+(AE492*1.5)+(AH492*1))</f>
        <v>50</v>
      </c>
      <c r="G485" s="113" t="str">
        <f>IF(F485&lt;=25,"RB",IF(F485&lt;=75,"RB",IF(F485&lt;=100,"RB","RB")))</f>
        <v>RB</v>
      </c>
      <c r="H485" s="183">
        <v>1</v>
      </c>
      <c r="I485" s="98">
        <v>0</v>
      </c>
      <c r="J485" s="98">
        <v>0</v>
      </c>
      <c r="K485" s="101">
        <f t="shared" ref="K485:K491" si="446">I485*J485</f>
        <v>0</v>
      </c>
      <c r="L485" s="98">
        <v>0</v>
      </c>
      <c r="M485" s="98">
        <v>0</v>
      </c>
      <c r="N485" s="101">
        <f t="shared" ref="N485:N491" si="447">L485*M485</f>
        <v>0</v>
      </c>
      <c r="O485" s="98">
        <v>0</v>
      </c>
      <c r="P485" s="98">
        <v>0</v>
      </c>
      <c r="Q485" s="101">
        <f t="shared" ref="Q485:Q491" si="448">O485*P485</f>
        <v>0</v>
      </c>
      <c r="R485" s="98">
        <v>20</v>
      </c>
      <c r="S485" s="98">
        <v>3</v>
      </c>
      <c r="T485" s="101">
        <f t="shared" ref="T485:T491" si="449">R485*S485</f>
        <v>60</v>
      </c>
      <c r="U485" s="183">
        <v>5</v>
      </c>
      <c r="V485" s="99">
        <v>4</v>
      </c>
      <c r="W485" s="98">
        <v>20</v>
      </c>
      <c r="X485" s="98">
        <v>3</v>
      </c>
      <c r="Y485" s="101">
        <f>W485*X485</f>
        <v>60</v>
      </c>
      <c r="Z485" s="101">
        <v>1</v>
      </c>
      <c r="AA485" s="183">
        <v>0</v>
      </c>
      <c r="AB485" s="99">
        <v>1</v>
      </c>
      <c r="AC485" s="98">
        <v>0</v>
      </c>
      <c r="AD485" s="98">
        <v>0</v>
      </c>
      <c r="AE485" s="101">
        <f t="shared" ref="AE485:AE491" si="450">AC485*AD485</f>
        <v>0</v>
      </c>
      <c r="AF485" s="98">
        <v>0</v>
      </c>
      <c r="AG485" s="98">
        <v>3</v>
      </c>
      <c r="AH485" s="99">
        <f t="shared" ref="AH485:AH491" si="451">AF485*AG485</f>
        <v>0</v>
      </c>
      <c r="AI485" s="101">
        <v>1</v>
      </c>
      <c r="AJ485" s="106"/>
    </row>
    <row r="486" spans="2:36" s="35" customFormat="1" ht="17.100000000000001" customHeight="1">
      <c r="B486" s="105"/>
      <c r="C486" s="54"/>
      <c r="D486" s="96"/>
      <c r="E486" s="111"/>
      <c r="F486" s="112"/>
      <c r="G486" s="113"/>
      <c r="H486" s="183">
        <v>1</v>
      </c>
      <c r="I486" s="98">
        <v>0</v>
      </c>
      <c r="J486" s="98">
        <v>0</v>
      </c>
      <c r="K486" s="101">
        <f t="shared" si="446"/>
        <v>0</v>
      </c>
      <c r="L486" s="100">
        <v>0</v>
      </c>
      <c r="M486" s="98">
        <v>0</v>
      </c>
      <c r="N486" s="101">
        <f t="shared" si="447"/>
        <v>0</v>
      </c>
      <c r="O486" s="100">
        <v>0</v>
      </c>
      <c r="P486" s="98">
        <v>0</v>
      </c>
      <c r="Q486" s="101">
        <f t="shared" si="448"/>
        <v>0</v>
      </c>
      <c r="R486" s="100">
        <v>0</v>
      </c>
      <c r="S486" s="98">
        <v>0</v>
      </c>
      <c r="T486" s="101">
        <f t="shared" si="449"/>
        <v>0</v>
      </c>
      <c r="U486" s="183">
        <v>1</v>
      </c>
      <c r="V486" s="99">
        <v>1</v>
      </c>
      <c r="W486" s="98">
        <v>0</v>
      </c>
      <c r="X486" s="98">
        <v>0</v>
      </c>
      <c r="Y486" s="101">
        <f t="shared" ref="Y486:Y491" si="452">W486*X486</f>
        <v>0</v>
      </c>
      <c r="Z486" s="101">
        <v>1</v>
      </c>
      <c r="AA486" s="183">
        <v>0</v>
      </c>
      <c r="AB486" s="99">
        <v>1</v>
      </c>
      <c r="AC486" s="98">
        <v>0</v>
      </c>
      <c r="AD486" s="98">
        <v>0</v>
      </c>
      <c r="AE486" s="101">
        <f t="shared" si="450"/>
        <v>0</v>
      </c>
      <c r="AF486" s="100">
        <v>0</v>
      </c>
      <c r="AG486" s="98">
        <v>0</v>
      </c>
      <c r="AH486" s="99">
        <f t="shared" si="451"/>
        <v>0</v>
      </c>
      <c r="AI486" s="101">
        <v>1</v>
      </c>
      <c r="AJ486" s="106"/>
    </row>
    <row r="487" spans="2:36" s="35" customFormat="1" ht="17.100000000000001" customHeight="1">
      <c r="B487" s="105"/>
      <c r="C487" s="54"/>
      <c r="D487" s="96"/>
      <c r="E487" s="111"/>
      <c r="F487" s="112"/>
      <c r="G487" s="113"/>
      <c r="H487" s="183">
        <v>1</v>
      </c>
      <c r="I487" s="98">
        <v>0</v>
      </c>
      <c r="J487" s="98">
        <v>0</v>
      </c>
      <c r="K487" s="101">
        <f t="shared" si="446"/>
        <v>0</v>
      </c>
      <c r="L487" s="100">
        <v>0</v>
      </c>
      <c r="M487" s="98">
        <v>0</v>
      </c>
      <c r="N487" s="101">
        <f t="shared" si="447"/>
        <v>0</v>
      </c>
      <c r="O487" s="100">
        <v>0</v>
      </c>
      <c r="P487" s="98">
        <v>0</v>
      </c>
      <c r="Q487" s="101">
        <f t="shared" si="448"/>
        <v>0</v>
      </c>
      <c r="R487" s="100">
        <v>0</v>
      </c>
      <c r="S487" s="98">
        <v>0</v>
      </c>
      <c r="T487" s="101">
        <f t="shared" si="449"/>
        <v>0</v>
      </c>
      <c r="U487" s="183">
        <v>1</v>
      </c>
      <c r="V487" s="99">
        <v>1</v>
      </c>
      <c r="W487" s="98">
        <v>0</v>
      </c>
      <c r="X487" s="98">
        <v>0</v>
      </c>
      <c r="Y487" s="101">
        <f t="shared" si="452"/>
        <v>0</v>
      </c>
      <c r="Z487" s="101">
        <v>1</v>
      </c>
      <c r="AA487" s="183">
        <v>0</v>
      </c>
      <c r="AB487" s="99">
        <v>1</v>
      </c>
      <c r="AC487" s="98">
        <v>0</v>
      </c>
      <c r="AD487" s="98">
        <v>0</v>
      </c>
      <c r="AE487" s="101">
        <f t="shared" si="450"/>
        <v>0</v>
      </c>
      <c r="AF487" s="100">
        <v>0</v>
      </c>
      <c r="AG487" s="98">
        <v>0</v>
      </c>
      <c r="AH487" s="99">
        <f t="shared" si="451"/>
        <v>0</v>
      </c>
      <c r="AI487" s="101">
        <v>1</v>
      </c>
      <c r="AJ487" s="106"/>
    </row>
    <row r="488" spans="2:36" s="35" customFormat="1" ht="17.100000000000001" customHeight="1">
      <c r="B488" s="105"/>
      <c r="C488" s="54"/>
      <c r="D488" s="96"/>
      <c r="E488" s="111"/>
      <c r="F488" s="112"/>
      <c r="G488" s="113"/>
      <c r="H488" s="183">
        <v>1</v>
      </c>
      <c r="I488" s="98">
        <v>0</v>
      </c>
      <c r="J488" s="98">
        <v>0</v>
      </c>
      <c r="K488" s="101">
        <f t="shared" si="446"/>
        <v>0</v>
      </c>
      <c r="L488" s="100">
        <v>0</v>
      </c>
      <c r="M488" s="98">
        <v>0</v>
      </c>
      <c r="N488" s="101">
        <f t="shared" si="447"/>
        <v>0</v>
      </c>
      <c r="O488" s="100">
        <v>0</v>
      </c>
      <c r="P488" s="98">
        <v>0</v>
      </c>
      <c r="Q488" s="101">
        <f t="shared" si="448"/>
        <v>0</v>
      </c>
      <c r="R488" s="100">
        <v>0</v>
      </c>
      <c r="S488" s="98">
        <v>0</v>
      </c>
      <c r="T488" s="101">
        <f t="shared" si="449"/>
        <v>0</v>
      </c>
      <c r="U488" s="183">
        <v>1</v>
      </c>
      <c r="V488" s="99">
        <v>1</v>
      </c>
      <c r="W488" s="98">
        <v>0</v>
      </c>
      <c r="X488" s="98">
        <v>0</v>
      </c>
      <c r="Y488" s="101">
        <f t="shared" si="452"/>
        <v>0</v>
      </c>
      <c r="Z488" s="101">
        <v>1</v>
      </c>
      <c r="AA488" s="183">
        <v>0</v>
      </c>
      <c r="AB488" s="99">
        <v>1</v>
      </c>
      <c r="AC488" s="98">
        <v>0</v>
      </c>
      <c r="AD488" s="98">
        <v>0</v>
      </c>
      <c r="AE488" s="101">
        <f t="shared" si="450"/>
        <v>0</v>
      </c>
      <c r="AF488" s="100">
        <v>0</v>
      </c>
      <c r="AG488" s="98">
        <v>0</v>
      </c>
      <c r="AH488" s="99">
        <f t="shared" si="451"/>
        <v>0</v>
      </c>
      <c r="AI488" s="101">
        <v>1</v>
      </c>
      <c r="AJ488" s="106"/>
    </row>
    <row r="489" spans="2:36" s="35" customFormat="1" ht="17.100000000000001" customHeight="1">
      <c r="B489" s="105"/>
      <c r="C489" s="54"/>
      <c r="D489" s="96"/>
      <c r="E489" s="111"/>
      <c r="F489" s="112"/>
      <c r="G489" s="113"/>
      <c r="H489" s="183">
        <v>1</v>
      </c>
      <c r="I489" s="98">
        <v>0</v>
      </c>
      <c r="J489" s="98">
        <v>0</v>
      </c>
      <c r="K489" s="101">
        <f t="shared" si="446"/>
        <v>0</v>
      </c>
      <c r="L489" s="100">
        <v>0</v>
      </c>
      <c r="M489" s="98">
        <v>0</v>
      </c>
      <c r="N489" s="101">
        <f t="shared" si="447"/>
        <v>0</v>
      </c>
      <c r="O489" s="100">
        <v>0</v>
      </c>
      <c r="P489" s="98">
        <v>0</v>
      </c>
      <c r="Q489" s="101">
        <f t="shared" si="448"/>
        <v>0</v>
      </c>
      <c r="R489" s="100">
        <v>0</v>
      </c>
      <c r="S489" s="98">
        <v>0</v>
      </c>
      <c r="T489" s="101">
        <f t="shared" si="449"/>
        <v>0</v>
      </c>
      <c r="U489" s="183">
        <v>1</v>
      </c>
      <c r="V489" s="99">
        <v>1</v>
      </c>
      <c r="W489" s="98">
        <v>0</v>
      </c>
      <c r="X489" s="98">
        <v>0</v>
      </c>
      <c r="Y489" s="101">
        <f t="shared" si="452"/>
        <v>0</v>
      </c>
      <c r="Z489" s="101">
        <v>1</v>
      </c>
      <c r="AA489" s="183">
        <v>0</v>
      </c>
      <c r="AB489" s="99">
        <v>1</v>
      </c>
      <c r="AC489" s="98">
        <v>0</v>
      </c>
      <c r="AD489" s="98">
        <v>0</v>
      </c>
      <c r="AE489" s="101">
        <f t="shared" si="450"/>
        <v>0</v>
      </c>
      <c r="AF489" s="100">
        <v>0</v>
      </c>
      <c r="AG489" s="98">
        <v>0</v>
      </c>
      <c r="AH489" s="99">
        <f t="shared" si="451"/>
        <v>0</v>
      </c>
      <c r="AI489" s="101">
        <v>1</v>
      </c>
      <c r="AJ489" s="106"/>
    </row>
    <row r="490" spans="2:36" s="35" customFormat="1" ht="17.100000000000001" customHeight="1">
      <c r="B490" s="105"/>
      <c r="C490" s="54"/>
      <c r="D490" s="96"/>
      <c r="E490" s="111"/>
      <c r="F490" s="112"/>
      <c r="G490" s="113"/>
      <c r="H490" s="183">
        <v>1</v>
      </c>
      <c r="I490" s="98">
        <v>0</v>
      </c>
      <c r="J490" s="98">
        <v>0</v>
      </c>
      <c r="K490" s="101">
        <f t="shared" si="446"/>
        <v>0</v>
      </c>
      <c r="L490" s="100">
        <v>0</v>
      </c>
      <c r="M490" s="98">
        <v>0</v>
      </c>
      <c r="N490" s="101">
        <f t="shared" si="447"/>
        <v>0</v>
      </c>
      <c r="O490" s="100">
        <v>0</v>
      </c>
      <c r="P490" s="98">
        <v>0</v>
      </c>
      <c r="Q490" s="101">
        <f t="shared" si="448"/>
        <v>0</v>
      </c>
      <c r="R490" s="100">
        <v>0</v>
      </c>
      <c r="S490" s="98">
        <v>0</v>
      </c>
      <c r="T490" s="101">
        <f t="shared" si="449"/>
        <v>0</v>
      </c>
      <c r="U490" s="183">
        <v>1</v>
      </c>
      <c r="V490" s="99">
        <v>1</v>
      </c>
      <c r="W490" s="98">
        <v>0</v>
      </c>
      <c r="X490" s="98">
        <v>0</v>
      </c>
      <c r="Y490" s="101">
        <f t="shared" si="452"/>
        <v>0</v>
      </c>
      <c r="Z490" s="101">
        <v>1</v>
      </c>
      <c r="AA490" s="183">
        <v>0</v>
      </c>
      <c r="AB490" s="99">
        <v>1</v>
      </c>
      <c r="AC490" s="98">
        <v>0</v>
      </c>
      <c r="AD490" s="98">
        <v>0</v>
      </c>
      <c r="AE490" s="101">
        <f t="shared" si="450"/>
        <v>0</v>
      </c>
      <c r="AF490" s="100">
        <v>0</v>
      </c>
      <c r="AG490" s="98">
        <v>0</v>
      </c>
      <c r="AH490" s="99">
        <f t="shared" si="451"/>
        <v>0</v>
      </c>
      <c r="AI490" s="101">
        <v>1</v>
      </c>
      <c r="AJ490" s="106"/>
    </row>
    <row r="491" spans="2:36" s="35" customFormat="1" ht="17.100000000000001" customHeight="1">
      <c r="B491" s="105"/>
      <c r="C491" s="54"/>
      <c r="D491" s="96"/>
      <c r="E491" s="111"/>
      <c r="F491" s="112"/>
      <c r="G491" s="113"/>
      <c r="H491" s="183">
        <v>1</v>
      </c>
      <c r="I491" s="98">
        <v>0</v>
      </c>
      <c r="J491" s="98">
        <v>0</v>
      </c>
      <c r="K491" s="101">
        <f t="shared" si="446"/>
        <v>0</v>
      </c>
      <c r="L491" s="100">
        <v>0</v>
      </c>
      <c r="M491" s="98">
        <v>0</v>
      </c>
      <c r="N491" s="101">
        <f t="shared" si="447"/>
        <v>0</v>
      </c>
      <c r="O491" s="100">
        <v>0</v>
      </c>
      <c r="P491" s="98">
        <v>0</v>
      </c>
      <c r="Q491" s="101">
        <f t="shared" si="448"/>
        <v>0</v>
      </c>
      <c r="R491" s="100">
        <v>0</v>
      </c>
      <c r="S491" s="98">
        <v>0</v>
      </c>
      <c r="T491" s="101">
        <f t="shared" si="449"/>
        <v>0</v>
      </c>
      <c r="U491" s="183">
        <v>1</v>
      </c>
      <c r="V491" s="99">
        <v>1</v>
      </c>
      <c r="W491" s="98">
        <v>0</v>
      </c>
      <c r="X491" s="98">
        <v>0</v>
      </c>
      <c r="Y491" s="101">
        <f t="shared" si="452"/>
        <v>0</v>
      </c>
      <c r="Z491" s="101">
        <v>1</v>
      </c>
      <c r="AA491" s="183">
        <v>0</v>
      </c>
      <c r="AB491" s="99">
        <v>1</v>
      </c>
      <c r="AC491" s="98">
        <v>0</v>
      </c>
      <c r="AD491" s="98">
        <v>0</v>
      </c>
      <c r="AE491" s="101">
        <f t="shared" si="450"/>
        <v>0</v>
      </c>
      <c r="AF491" s="100">
        <v>0</v>
      </c>
      <c r="AG491" s="98">
        <v>0</v>
      </c>
      <c r="AH491" s="99">
        <f t="shared" si="451"/>
        <v>0</v>
      </c>
      <c r="AI491" s="101">
        <v>1</v>
      </c>
      <c r="AJ491" s="106"/>
    </row>
    <row r="492" spans="2:36" s="126" customFormat="1" ht="17.100000000000001" customHeight="1">
      <c r="B492" s="118"/>
      <c r="C492" s="119"/>
      <c r="D492" s="120"/>
      <c r="E492" s="121"/>
      <c r="F492" s="122"/>
      <c r="G492" s="123"/>
      <c r="H492" s="183">
        <v>1</v>
      </c>
      <c r="I492" s="363" t="s">
        <v>201</v>
      </c>
      <c r="J492" s="363"/>
      <c r="K492" s="124">
        <f>SUM(K485:K491)</f>
        <v>0</v>
      </c>
      <c r="L492" s="341" t="s">
        <v>201</v>
      </c>
      <c r="M492" s="342"/>
      <c r="N492" s="124">
        <f>SUM(N485:N491)</f>
        <v>0</v>
      </c>
      <c r="O492" s="341" t="s">
        <v>201</v>
      </c>
      <c r="P492" s="342"/>
      <c r="Q492" s="124">
        <f>SUM(Q485:Q491)</f>
        <v>0</v>
      </c>
      <c r="R492" s="341" t="s">
        <v>201</v>
      </c>
      <c r="S492" s="342"/>
      <c r="T492" s="124">
        <f>SUM(T485:T491)</f>
        <v>60</v>
      </c>
      <c r="U492" s="183">
        <v>1</v>
      </c>
      <c r="V492" s="99">
        <v>1</v>
      </c>
      <c r="W492" s="363" t="s">
        <v>201</v>
      </c>
      <c r="X492" s="363"/>
      <c r="Y492" s="124">
        <f>SUM(Y485:Y491)</f>
        <v>60</v>
      </c>
      <c r="Z492" s="101">
        <v>1</v>
      </c>
      <c r="AA492" s="183">
        <v>0</v>
      </c>
      <c r="AB492" s="99">
        <v>1</v>
      </c>
      <c r="AC492" s="363" t="s">
        <v>201</v>
      </c>
      <c r="AD492" s="363"/>
      <c r="AE492" s="124">
        <f>SUM(AE485:AE491)</f>
        <v>0</v>
      </c>
      <c r="AF492" s="364" t="s">
        <v>201</v>
      </c>
      <c r="AG492" s="363"/>
      <c r="AH492" s="143">
        <f>SUM(AH485:AH491)</f>
        <v>0</v>
      </c>
      <c r="AI492" s="101">
        <v>1</v>
      </c>
      <c r="AJ492" s="125"/>
    </row>
    <row r="493" spans="2:36" s="35" customFormat="1" ht="16.95" customHeight="1">
      <c r="B493" s="105"/>
      <c r="C493" s="54">
        <f>'3. Rekap Back Up Non Aspal '!C82</f>
        <v>9960</v>
      </c>
      <c r="D493" s="96">
        <f>'3. Rekap Back Up Non Aspal '!D82</f>
        <v>10000</v>
      </c>
      <c r="E493" s="111">
        <f>'3. Rekap Back Up Non Aspal '!E82</f>
        <v>3</v>
      </c>
      <c r="F493" s="112">
        <f>(100/((D493-C493)*E493))*((K500*0.05)+(N500*0.05)+(Q500*0.05)+(T500)+(Y500)+(AE500*1.5)+(AH500*1))</f>
        <v>225</v>
      </c>
      <c r="G493" s="113" t="str">
        <f>IF(F493&lt;=25,"RB",IF(F493&lt;=75,"RB",IF(F493&lt;=100,"RB","RB")))</f>
        <v>RB</v>
      </c>
      <c r="H493" s="183">
        <v>1</v>
      </c>
      <c r="I493" s="98">
        <v>0</v>
      </c>
      <c r="J493" s="98">
        <v>0</v>
      </c>
      <c r="K493" s="101">
        <f t="shared" ref="K493:K499" si="453">I493*J493</f>
        <v>0</v>
      </c>
      <c r="L493" s="98">
        <v>0</v>
      </c>
      <c r="M493" s="98">
        <v>0</v>
      </c>
      <c r="N493" s="101">
        <f t="shared" ref="N493:N499" si="454">L493*M493</f>
        <v>0</v>
      </c>
      <c r="O493" s="98">
        <v>0</v>
      </c>
      <c r="P493" s="98">
        <v>0</v>
      </c>
      <c r="Q493" s="101">
        <f t="shared" ref="Q493:Q499" si="455">O493*P493</f>
        <v>0</v>
      </c>
      <c r="R493" s="98">
        <v>5</v>
      </c>
      <c r="S493" s="98">
        <v>3</v>
      </c>
      <c r="T493" s="101">
        <f t="shared" ref="T493:T499" si="456">R493*S493</f>
        <v>15</v>
      </c>
      <c r="U493" s="183">
        <v>3</v>
      </c>
      <c r="V493" s="99">
        <v>3</v>
      </c>
      <c r="W493" s="98">
        <v>80</v>
      </c>
      <c r="X493" s="98">
        <v>3</v>
      </c>
      <c r="Y493" s="101">
        <f>W493*X493</f>
        <v>240</v>
      </c>
      <c r="Z493" s="101">
        <v>1</v>
      </c>
      <c r="AA493" s="183">
        <v>0</v>
      </c>
      <c r="AB493" s="99">
        <v>1</v>
      </c>
      <c r="AC493" s="98">
        <v>0</v>
      </c>
      <c r="AD493" s="98">
        <v>0</v>
      </c>
      <c r="AE493" s="101">
        <f t="shared" ref="AE493:AE499" si="457">AC493*AD493</f>
        <v>0</v>
      </c>
      <c r="AF493" s="98">
        <v>0</v>
      </c>
      <c r="AG493" s="98">
        <v>3</v>
      </c>
      <c r="AH493" s="99">
        <f t="shared" ref="AH493:AH499" si="458">AF493*AG493</f>
        <v>0</v>
      </c>
      <c r="AI493" s="101">
        <v>1</v>
      </c>
      <c r="AJ493" s="106"/>
    </row>
    <row r="494" spans="2:36" s="35" customFormat="1" ht="17.100000000000001" customHeight="1">
      <c r="B494" s="105"/>
      <c r="C494" s="54"/>
      <c r="D494" s="96"/>
      <c r="E494" s="111"/>
      <c r="F494" s="112"/>
      <c r="G494" s="113"/>
      <c r="H494" s="183">
        <v>1</v>
      </c>
      <c r="I494" s="98">
        <v>0</v>
      </c>
      <c r="J494" s="98">
        <v>0</v>
      </c>
      <c r="K494" s="101">
        <f t="shared" si="453"/>
        <v>0</v>
      </c>
      <c r="L494" s="100">
        <v>0</v>
      </c>
      <c r="M494" s="98">
        <v>0</v>
      </c>
      <c r="N494" s="101">
        <f t="shared" si="454"/>
        <v>0</v>
      </c>
      <c r="O494" s="100">
        <v>0</v>
      </c>
      <c r="P494" s="98">
        <v>0</v>
      </c>
      <c r="Q494" s="101">
        <f t="shared" si="455"/>
        <v>0</v>
      </c>
      <c r="R494" s="100">
        <v>5</v>
      </c>
      <c r="S494" s="98">
        <v>3</v>
      </c>
      <c r="T494" s="101">
        <f t="shared" si="456"/>
        <v>15</v>
      </c>
      <c r="U494" s="183">
        <v>1</v>
      </c>
      <c r="V494" s="99">
        <v>1</v>
      </c>
      <c r="W494" s="98">
        <v>0</v>
      </c>
      <c r="X494" s="98">
        <v>0</v>
      </c>
      <c r="Y494" s="101">
        <f t="shared" ref="Y494:Y499" si="459">W494*X494</f>
        <v>0</v>
      </c>
      <c r="Z494" s="101">
        <v>1</v>
      </c>
      <c r="AA494" s="183">
        <v>0</v>
      </c>
      <c r="AB494" s="99">
        <v>1</v>
      </c>
      <c r="AC494" s="98">
        <v>0</v>
      </c>
      <c r="AD494" s="98">
        <v>0</v>
      </c>
      <c r="AE494" s="101">
        <f t="shared" si="457"/>
        <v>0</v>
      </c>
      <c r="AF494" s="100">
        <v>0</v>
      </c>
      <c r="AG494" s="98">
        <v>0</v>
      </c>
      <c r="AH494" s="99">
        <f t="shared" si="458"/>
        <v>0</v>
      </c>
      <c r="AI494" s="101">
        <v>1</v>
      </c>
      <c r="AJ494" s="106"/>
    </row>
    <row r="495" spans="2:36" s="35" customFormat="1" ht="17.100000000000001" customHeight="1">
      <c r="B495" s="105"/>
      <c r="C495" s="54"/>
      <c r="D495" s="96"/>
      <c r="E495" s="111"/>
      <c r="F495" s="112"/>
      <c r="G495" s="113"/>
      <c r="H495" s="183">
        <v>1</v>
      </c>
      <c r="I495" s="98">
        <v>0</v>
      </c>
      <c r="J495" s="98">
        <v>0</v>
      </c>
      <c r="K495" s="101">
        <f t="shared" si="453"/>
        <v>0</v>
      </c>
      <c r="L495" s="100">
        <v>0</v>
      </c>
      <c r="M495" s="98">
        <v>0</v>
      </c>
      <c r="N495" s="101">
        <f t="shared" si="454"/>
        <v>0</v>
      </c>
      <c r="O495" s="100">
        <v>0</v>
      </c>
      <c r="P495" s="98">
        <v>0</v>
      </c>
      <c r="Q495" s="101">
        <f t="shared" si="455"/>
        <v>0</v>
      </c>
      <c r="R495" s="100">
        <v>0</v>
      </c>
      <c r="S495" s="98">
        <v>0</v>
      </c>
      <c r="T495" s="101">
        <f t="shared" si="456"/>
        <v>0</v>
      </c>
      <c r="U495" s="183">
        <v>1</v>
      </c>
      <c r="V495" s="99">
        <v>1</v>
      </c>
      <c r="W495" s="98">
        <v>0</v>
      </c>
      <c r="X495" s="98">
        <v>0</v>
      </c>
      <c r="Y495" s="101">
        <f t="shared" si="459"/>
        <v>0</v>
      </c>
      <c r="Z495" s="101">
        <v>1</v>
      </c>
      <c r="AA495" s="183">
        <v>0</v>
      </c>
      <c r="AB495" s="99">
        <v>1</v>
      </c>
      <c r="AC495" s="98">
        <v>0</v>
      </c>
      <c r="AD495" s="98">
        <v>0</v>
      </c>
      <c r="AE495" s="101">
        <f t="shared" si="457"/>
        <v>0</v>
      </c>
      <c r="AF495" s="100">
        <v>0</v>
      </c>
      <c r="AG495" s="98">
        <v>0</v>
      </c>
      <c r="AH495" s="99">
        <f t="shared" si="458"/>
        <v>0</v>
      </c>
      <c r="AI495" s="101">
        <v>1</v>
      </c>
      <c r="AJ495" s="106"/>
    </row>
    <row r="496" spans="2:36" s="35" customFormat="1" ht="17.100000000000001" customHeight="1">
      <c r="B496" s="105"/>
      <c r="C496" s="54"/>
      <c r="D496" s="96"/>
      <c r="E496" s="111"/>
      <c r="F496" s="112"/>
      <c r="G496" s="113"/>
      <c r="H496" s="183">
        <v>1</v>
      </c>
      <c r="I496" s="98">
        <v>0</v>
      </c>
      <c r="J496" s="98">
        <v>0</v>
      </c>
      <c r="K496" s="101">
        <f t="shared" si="453"/>
        <v>0</v>
      </c>
      <c r="L496" s="100">
        <v>0</v>
      </c>
      <c r="M496" s="98">
        <v>0</v>
      </c>
      <c r="N496" s="101">
        <f t="shared" si="454"/>
        <v>0</v>
      </c>
      <c r="O496" s="100">
        <v>0</v>
      </c>
      <c r="P496" s="98">
        <v>0</v>
      </c>
      <c r="Q496" s="101">
        <f t="shared" si="455"/>
        <v>0</v>
      </c>
      <c r="R496" s="100">
        <v>0</v>
      </c>
      <c r="S496" s="98">
        <v>0</v>
      </c>
      <c r="T496" s="101">
        <f t="shared" si="456"/>
        <v>0</v>
      </c>
      <c r="U496" s="183">
        <v>1</v>
      </c>
      <c r="V496" s="99">
        <v>1</v>
      </c>
      <c r="W496" s="98">
        <v>0</v>
      </c>
      <c r="X496" s="98">
        <v>0</v>
      </c>
      <c r="Y496" s="101">
        <f t="shared" si="459"/>
        <v>0</v>
      </c>
      <c r="Z496" s="101">
        <v>1</v>
      </c>
      <c r="AA496" s="183">
        <v>0</v>
      </c>
      <c r="AB496" s="99">
        <v>1</v>
      </c>
      <c r="AC496" s="98">
        <v>0</v>
      </c>
      <c r="AD496" s="98">
        <v>0</v>
      </c>
      <c r="AE496" s="101">
        <f t="shared" si="457"/>
        <v>0</v>
      </c>
      <c r="AF496" s="100">
        <v>0</v>
      </c>
      <c r="AG496" s="98">
        <v>0</v>
      </c>
      <c r="AH496" s="99">
        <f t="shared" si="458"/>
        <v>0</v>
      </c>
      <c r="AI496" s="101">
        <v>1</v>
      </c>
      <c r="AJ496" s="106"/>
    </row>
    <row r="497" spans="2:36" s="35" customFormat="1" ht="17.100000000000001" customHeight="1">
      <c r="B497" s="105"/>
      <c r="C497" s="54"/>
      <c r="D497" s="96"/>
      <c r="E497" s="111"/>
      <c r="F497" s="112"/>
      <c r="G497" s="113"/>
      <c r="H497" s="183">
        <v>1</v>
      </c>
      <c r="I497" s="98">
        <v>0</v>
      </c>
      <c r="J497" s="98">
        <v>0</v>
      </c>
      <c r="K497" s="101">
        <f t="shared" si="453"/>
        <v>0</v>
      </c>
      <c r="L497" s="100">
        <v>0</v>
      </c>
      <c r="M497" s="98">
        <v>0</v>
      </c>
      <c r="N497" s="101">
        <f t="shared" si="454"/>
        <v>0</v>
      </c>
      <c r="O497" s="100">
        <v>0</v>
      </c>
      <c r="P497" s="98">
        <v>0</v>
      </c>
      <c r="Q497" s="101">
        <f t="shared" si="455"/>
        <v>0</v>
      </c>
      <c r="R497" s="100">
        <v>0</v>
      </c>
      <c r="S497" s="98">
        <v>0</v>
      </c>
      <c r="T497" s="101">
        <f t="shared" si="456"/>
        <v>0</v>
      </c>
      <c r="U497" s="183">
        <v>1</v>
      </c>
      <c r="V497" s="99">
        <v>1</v>
      </c>
      <c r="W497" s="98">
        <v>0</v>
      </c>
      <c r="X497" s="98">
        <v>0</v>
      </c>
      <c r="Y497" s="101">
        <f t="shared" si="459"/>
        <v>0</v>
      </c>
      <c r="Z497" s="101">
        <v>1</v>
      </c>
      <c r="AA497" s="183">
        <v>0</v>
      </c>
      <c r="AB497" s="99">
        <v>1</v>
      </c>
      <c r="AC497" s="98">
        <v>0</v>
      </c>
      <c r="AD497" s="98">
        <v>0</v>
      </c>
      <c r="AE497" s="101">
        <f t="shared" si="457"/>
        <v>0</v>
      </c>
      <c r="AF497" s="100">
        <v>0</v>
      </c>
      <c r="AG497" s="98">
        <v>0</v>
      </c>
      <c r="AH497" s="99">
        <f t="shared" si="458"/>
        <v>0</v>
      </c>
      <c r="AI497" s="101">
        <v>1</v>
      </c>
      <c r="AJ497" s="106"/>
    </row>
    <row r="498" spans="2:36" s="35" customFormat="1" ht="17.100000000000001" customHeight="1">
      <c r="B498" s="105"/>
      <c r="C498" s="54"/>
      <c r="D498" s="96"/>
      <c r="E498" s="111"/>
      <c r="F498" s="112"/>
      <c r="G498" s="113"/>
      <c r="H498" s="183">
        <v>1</v>
      </c>
      <c r="I498" s="98">
        <v>0</v>
      </c>
      <c r="J498" s="98">
        <v>0</v>
      </c>
      <c r="K498" s="101">
        <f t="shared" si="453"/>
        <v>0</v>
      </c>
      <c r="L498" s="100">
        <v>0</v>
      </c>
      <c r="M498" s="98">
        <v>0</v>
      </c>
      <c r="N498" s="101">
        <f t="shared" si="454"/>
        <v>0</v>
      </c>
      <c r="O498" s="100">
        <v>0</v>
      </c>
      <c r="P498" s="98">
        <v>0</v>
      </c>
      <c r="Q498" s="101">
        <f t="shared" si="455"/>
        <v>0</v>
      </c>
      <c r="R498" s="100">
        <v>0</v>
      </c>
      <c r="S498" s="98">
        <v>0</v>
      </c>
      <c r="T498" s="101">
        <f t="shared" si="456"/>
        <v>0</v>
      </c>
      <c r="U498" s="183">
        <v>1</v>
      </c>
      <c r="V498" s="99">
        <v>1</v>
      </c>
      <c r="W498" s="98">
        <v>0</v>
      </c>
      <c r="X498" s="98">
        <v>0</v>
      </c>
      <c r="Y498" s="101">
        <f t="shared" si="459"/>
        <v>0</v>
      </c>
      <c r="Z498" s="101">
        <v>1</v>
      </c>
      <c r="AA498" s="183">
        <v>0</v>
      </c>
      <c r="AB498" s="99">
        <v>1</v>
      </c>
      <c r="AC498" s="98">
        <v>0</v>
      </c>
      <c r="AD498" s="98">
        <v>0</v>
      </c>
      <c r="AE498" s="101">
        <f t="shared" si="457"/>
        <v>0</v>
      </c>
      <c r="AF498" s="100">
        <v>0</v>
      </c>
      <c r="AG498" s="98">
        <v>0</v>
      </c>
      <c r="AH498" s="99">
        <f t="shared" si="458"/>
        <v>0</v>
      </c>
      <c r="AI498" s="101">
        <v>1</v>
      </c>
      <c r="AJ498" s="106"/>
    </row>
    <row r="499" spans="2:36" s="35" customFormat="1" ht="17.100000000000001" customHeight="1">
      <c r="B499" s="105"/>
      <c r="C499" s="54"/>
      <c r="D499" s="96"/>
      <c r="E499" s="111"/>
      <c r="F499" s="112"/>
      <c r="G499" s="113"/>
      <c r="H499" s="183">
        <v>1</v>
      </c>
      <c r="I499" s="98">
        <v>0</v>
      </c>
      <c r="J499" s="98">
        <v>0</v>
      </c>
      <c r="K499" s="101">
        <f t="shared" si="453"/>
        <v>0</v>
      </c>
      <c r="L499" s="100">
        <v>0</v>
      </c>
      <c r="M499" s="98">
        <v>0</v>
      </c>
      <c r="N499" s="101">
        <f t="shared" si="454"/>
        <v>0</v>
      </c>
      <c r="O499" s="100">
        <v>0</v>
      </c>
      <c r="P499" s="98">
        <v>0</v>
      </c>
      <c r="Q499" s="101">
        <f t="shared" si="455"/>
        <v>0</v>
      </c>
      <c r="R499" s="100">
        <v>0</v>
      </c>
      <c r="S499" s="98">
        <v>0</v>
      </c>
      <c r="T499" s="101">
        <f t="shared" si="456"/>
        <v>0</v>
      </c>
      <c r="U499" s="183">
        <v>1</v>
      </c>
      <c r="V499" s="99">
        <v>1</v>
      </c>
      <c r="W499" s="98">
        <v>0</v>
      </c>
      <c r="X499" s="98">
        <v>0</v>
      </c>
      <c r="Y499" s="101">
        <f t="shared" si="459"/>
        <v>0</v>
      </c>
      <c r="Z499" s="101">
        <v>1</v>
      </c>
      <c r="AA499" s="183">
        <v>0</v>
      </c>
      <c r="AB499" s="99">
        <v>1</v>
      </c>
      <c r="AC499" s="98">
        <v>0</v>
      </c>
      <c r="AD499" s="98">
        <v>0</v>
      </c>
      <c r="AE499" s="101">
        <f t="shared" si="457"/>
        <v>0</v>
      </c>
      <c r="AF499" s="100">
        <v>0</v>
      </c>
      <c r="AG499" s="98">
        <v>0</v>
      </c>
      <c r="AH499" s="99">
        <f t="shared" si="458"/>
        <v>0</v>
      </c>
      <c r="AI499" s="101">
        <v>1</v>
      </c>
      <c r="AJ499" s="106"/>
    </row>
    <row r="500" spans="2:36" s="126" customFormat="1" ht="17.100000000000001" customHeight="1">
      <c r="B500" s="118"/>
      <c r="C500" s="119"/>
      <c r="D500" s="120"/>
      <c r="E500" s="121"/>
      <c r="F500" s="122"/>
      <c r="G500" s="123"/>
      <c r="H500" s="183">
        <v>1</v>
      </c>
      <c r="I500" s="363" t="s">
        <v>201</v>
      </c>
      <c r="J500" s="363"/>
      <c r="K500" s="124">
        <f>SUM(K493:K499)</f>
        <v>0</v>
      </c>
      <c r="L500" s="341" t="s">
        <v>201</v>
      </c>
      <c r="M500" s="342"/>
      <c r="N500" s="124">
        <f>SUM(N493:N499)</f>
        <v>0</v>
      </c>
      <c r="O500" s="341" t="s">
        <v>201</v>
      </c>
      <c r="P500" s="342"/>
      <c r="Q500" s="124">
        <f>SUM(Q493:Q499)</f>
        <v>0</v>
      </c>
      <c r="R500" s="341" t="s">
        <v>201</v>
      </c>
      <c r="S500" s="342"/>
      <c r="T500" s="124">
        <f>SUM(T493:T499)</f>
        <v>30</v>
      </c>
      <c r="U500" s="183">
        <v>1</v>
      </c>
      <c r="V500" s="99">
        <v>1</v>
      </c>
      <c r="W500" s="363" t="s">
        <v>201</v>
      </c>
      <c r="X500" s="363"/>
      <c r="Y500" s="124">
        <f>SUM(Y493:Y499)</f>
        <v>240</v>
      </c>
      <c r="Z500" s="101">
        <v>1</v>
      </c>
      <c r="AA500" s="183">
        <v>0</v>
      </c>
      <c r="AB500" s="99">
        <v>1</v>
      </c>
      <c r="AC500" s="363" t="s">
        <v>201</v>
      </c>
      <c r="AD500" s="363"/>
      <c r="AE500" s="124">
        <f>SUM(AE493:AE499)</f>
        <v>0</v>
      </c>
      <c r="AF500" s="364" t="s">
        <v>201</v>
      </c>
      <c r="AG500" s="363"/>
      <c r="AH500" s="143">
        <f>SUM(AH493:AH499)</f>
        <v>0</v>
      </c>
      <c r="AI500" s="101">
        <v>1</v>
      </c>
      <c r="AJ500" s="125"/>
    </row>
    <row r="501" spans="2:36" s="35" customFormat="1" ht="16.95" customHeight="1">
      <c r="B501" s="105"/>
      <c r="C501" s="54">
        <f>'3. Rekap Back Up Non Aspal '!C83</f>
        <v>10000</v>
      </c>
      <c r="D501" s="96">
        <f>'3. Rekap Back Up Non Aspal '!D83</f>
        <v>10100</v>
      </c>
      <c r="E501" s="111">
        <f>'3. Rekap Back Up Non Aspal '!E83</f>
        <v>3</v>
      </c>
      <c r="F501" s="112">
        <f>(100/((D501-C501)*E501))*((K508*0.05)+(N508*0.05)+(Q508*0.05)+(T508)+(Y508)+(AE508*1.5)+(AH508*1))</f>
        <v>66.666666666666657</v>
      </c>
      <c r="G501" s="113" t="str">
        <f>IF(F501&lt;=25,"RB",IF(F501&lt;=75,"RB",IF(F501&lt;=100,"RB","RB")))</f>
        <v>RB</v>
      </c>
      <c r="H501" s="183">
        <v>1</v>
      </c>
      <c r="I501" s="98">
        <v>0</v>
      </c>
      <c r="J501" s="98">
        <v>0</v>
      </c>
      <c r="K501" s="101">
        <f t="shared" ref="K501:K507" si="460">I501*J501</f>
        <v>0</v>
      </c>
      <c r="L501" s="98">
        <v>0</v>
      </c>
      <c r="M501" s="98">
        <v>0</v>
      </c>
      <c r="N501" s="101">
        <f t="shared" ref="N501:N507" si="461">L501*M501</f>
        <v>0</v>
      </c>
      <c r="O501" s="98">
        <v>0</v>
      </c>
      <c r="P501" s="98">
        <v>0</v>
      </c>
      <c r="Q501" s="101">
        <f t="shared" ref="Q501:Q507" si="462">O501*P501</f>
        <v>0</v>
      </c>
      <c r="R501" s="98">
        <v>0</v>
      </c>
      <c r="S501" s="98">
        <v>0</v>
      </c>
      <c r="T501" s="101">
        <f t="shared" ref="T501:T507" si="463">R501*S501</f>
        <v>0</v>
      </c>
      <c r="U501" s="183">
        <v>3</v>
      </c>
      <c r="V501" s="99">
        <v>2</v>
      </c>
      <c r="W501" s="98">
        <v>100</v>
      </c>
      <c r="X501" s="98">
        <v>2</v>
      </c>
      <c r="Y501" s="101">
        <f>W501*X501</f>
        <v>200</v>
      </c>
      <c r="Z501" s="101">
        <v>1</v>
      </c>
      <c r="AA501" s="183">
        <v>0</v>
      </c>
      <c r="AB501" s="99">
        <v>1</v>
      </c>
      <c r="AC501" s="98">
        <v>0</v>
      </c>
      <c r="AD501" s="98">
        <v>0</v>
      </c>
      <c r="AE501" s="101">
        <f t="shared" ref="AE501:AE507" si="464">AC501*AD501</f>
        <v>0</v>
      </c>
      <c r="AF501" s="98">
        <v>0</v>
      </c>
      <c r="AG501" s="98">
        <v>3</v>
      </c>
      <c r="AH501" s="99">
        <f t="shared" ref="AH501:AH507" si="465">AF501*AG501</f>
        <v>0</v>
      </c>
      <c r="AI501" s="101">
        <v>1</v>
      </c>
      <c r="AJ501" s="106"/>
    </row>
    <row r="502" spans="2:36" s="35" customFormat="1" ht="17.100000000000001" customHeight="1">
      <c r="B502" s="105"/>
      <c r="C502" s="54"/>
      <c r="D502" s="96"/>
      <c r="E502" s="111"/>
      <c r="F502" s="112"/>
      <c r="G502" s="113"/>
      <c r="H502" s="183">
        <v>1</v>
      </c>
      <c r="I502" s="98">
        <v>0</v>
      </c>
      <c r="J502" s="98">
        <v>0</v>
      </c>
      <c r="K502" s="101">
        <f t="shared" si="460"/>
        <v>0</v>
      </c>
      <c r="L502" s="100">
        <v>0</v>
      </c>
      <c r="M502" s="98">
        <v>0</v>
      </c>
      <c r="N502" s="101">
        <f t="shared" si="461"/>
        <v>0</v>
      </c>
      <c r="O502" s="100">
        <v>0</v>
      </c>
      <c r="P502" s="98">
        <v>0</v>
      </c>
      <c r="Q502" s="101">
        <f t="shared" si="462"/>
        <v>0</v>
      </c>
      <c r="R502" s="100">
        <v>0</v>
      </c>
      <c r="S502" s="98">
        <v>0</v>
      </c>
      <c r="T502" s="101">
        <f t="shared" si="463"/>
        <v>0</v>
      </c>
      <c r="U502" s="183">
        <v>1</v>
      </c>
      <c r="V502" s="99">
        <v>1</v>
      </c>
      <c r="W502" s="98">
        <v>0</v>
      </c>
      <c r="X502" s="98">
        <v>0</v>
      </c>
      <c r="Y502" s="101">
        <f t="shared" ref="Y502:Y507" si="466">W502*X502</f>
        <v>0</v>
      </c>
      <c r="Z502" s="101">
        <v>1</v>
      </c>
      <c r="AA502" s="183">
        <v>0</v>
      </c>
      <c r="AB502" s="99">
        <v>1</v>
      </c>
      <c r="AC502" s="98">
        <v>0</v>
      </c>
      <c r="AD502" s="98">
        <v>0</v>
      </c>
      <c r="AE502" s="101">
        <f t="shared" si="464"/>
        <v>0</v>
      </c>
      <c r="AF502" s="100">
        <v>0</v>
      </c>
      <c r="AG502" s="98">
        <v>0</v>
      </c>
      <c r="AH502" s="99">
        <f t="shared" si="465"/>
        <v>0</v>
      </c>
      <c r="AI502" s="101">
        <v>1</v>
      </c>
      <c r="AJ502" s="106"/>
    </row>
    <row r="503" spans="2:36" s="35" customFormat="1" ht="17.100000000000001" customHeight="1">
      <c r="B503" s="105"/>
      <c r="C503" s="54"/>
      <c r="D503" s="96"/>
      <c r="E503" s="111"/>
      <c r="F503" s="112"/>
      <c r="G503" s="113"/>
      <c r="H503" s="183">
        <v>1</v>
      </c>
      <c r="I503" s="98">
        <v>0</v>
      </c>
      <c r="J503" s="98">
        <v>0</v>
      </c>
      <c r="K503" s="101">
        <f t="shared" si="460"/>
        <v>0</v>
      </c>
      <c r="L503" s="100">
        <v>0</v>
      </c>
      <c r="M503" s="98">
        <v>0</v>
      </c>
      <c r="N503" s="101">
        <f t="shared" si="461"/>
        <v>0</v>
      </c>
      <c r="O503" s="100">
        <v>0</v>
      </c>
      <c r="P503" s="98">
        <v>0</v>
      </c>
      <c r="Q503" s="101">
        <f t="shared" si="462"/>
        <v>0</v>
      </c>
      <c r="R503" s="100">
        <v>0</v>
      </c>
      <c r="S503" s="98">
        <v>0</v>
      </c>
      <c r="T503" s="101">
        <f t="shared" si="463"/>
        <v>0</v>
      </c>
      <c r="U503" s="183">
        <v>1</v>
      </c>
      <c r="V503" s="99">
        <v>1</v>
      </c>
      <c r="W503" s="98">
        <v>0</v>
      </c>
      <c r="X503" s="98">
        <v>0</v>
      </c>
      <c r="Y503" s="101">
        <f t="shared" si="466"/>
        <v>0</v>
      </c>
      <c r="Z503" s="101">
        <v>1</v>
      </c>
      <c r="AA503" s="183">
        <v>0</v>
      </c>
      <c r="AB503" s="99">
        <v>1</v>
      </c>
      <c r="AC503" s="98">
        <v>0</v>
      </c>
      <c r="AD503" s="98">
        <v>0</v>
      </c>
      <c r="AE503" s="101">
        <f t="shared" si="464"/>
        <v>0</v>
      </c>
      <c r="AF503" s="100">
        <v>0</v>
      </c>
      <c r="AG503" s="98">
        <v>0</v>
      </c>
      <c r="AH503" s="99">
        <f t="shared" si="465"/>
        <v>0</v>
      </c>
      <c r="AI503" s="101">
        <v>1</v>
      </c>
      <c r="AJ503" s="106"/>
    </row>
    <row r="504" spans="2:36" s="35" customFormat="1" ht="17.100000000000001" customHeight="1">
      <c r="B504" s="105"/>
      <c r="C504" s="54"/>
      <c r="D504" s="96"/>
      <c r="E504" s="111"/>
      <c r="F504" s="112"/>
      <c r="G504" s="113"/>
      <c r="H504" s="183">
        <v>1</v>
      </c>
      <c r="I504" s="98">
        <v>0</v>
      </c>
      <c r="J504" s="98">
        <v>0</v>
      </c>
      <c r="K504" s="101">
        <f t="shared" si="460"/>
        <v>0</v>
      </c>
      <c r="L504" s="100">
        <v>0</v>
      </c>
      <c r="M504" s="98">
        <v>0</v>
      </c>
      <c r="N504" s="101">
        <f t="shared" si="461"/>
        <v>0</v>
      </c>
      <c r="O504" s="100">
        <v>0</v>
      </c>
      <c r="P504" s="98">
        <v>0</v>
      </c>
      <c r="Q504" s="101">
        <f t="shared" si="462"/>
        <v>0</v>
      </c>
      <c r="R504" s="100">
        <v>0</v>
      </c>
      <c r="S504" s="98">
        <v>0</v>
      </c>
      <c r="T504" s="101">
        <f t="shared" si="463"/>
        <v>0</v>
      </c>
      <c r="U504" s="183">
        <v>1</v>
      </c>
      <c r="V504" s="99">
        <v>1</v>
      </c>
      <c r="W504" s="98">
        <v>0</v>
      </c>
      <c r="X504" s="98">
        <v>0</v>
      </c>
      <c r="Y504" s="101">
        <f t="shared" si="466"/>
        <v>0</v>
      </c>
      <c r="Z504" s="101">
        <v>1</v>
      </c>
      <c r="AA504" s="183">
        <v>0</v>
      </c>
      <c r="AB504" s="99">
        <v>1</v>
      </c>
      <c r="AC504" s="98">
        <v>0</v>
      </c>
      <c r="AD504" s="98">
        <v>0</v>
      </c>
      <c r="AE504" s="101">
        <f t="shared" si="464"/>
        <v>0</v>
      </c>
      <c r="AF504" s="100">
        <v>0</v>
      </c>
      <c r="AG504" s="98">
        <v>0</v>
      </c>
      <c r="AH504" s="99">
        <f t="shared" si="465"/>
        <v>0</v>
      </c>
      <c r="AI504" s="101">
        <v>1</v>
      </c>
      <c r="AJ504" s="106"/>
    </row>
    <row r="505" spans="2:36" s="35" customFormat="1" ht="17.100000000000001" customHeight="1">
      <c r="B505" s="105"/>
      <c r="C505" s="54"/>
      <c r="D505" s="96"/>
      <c r="E505" s="111"/>
      <c r="F505" s="112"/>
      <c r="G505" s="113"/>
      <c r="H505" s="183">
        <v>1</v>
      </c>
      <c r="I505" s="98">
        <v>0</v>
      </c>
      <c r="J505" s="98">
        <v>0</v>
      </c>
      <c r="K505" s="101">
        <f t="shared" si="460"/>
        <v>0</v>
      </c>
      <c r="L505" s="100">
        <v>0</v>
      </c>
      <c r="M505" s="98">
        <v>0</v>
      </c>
      <c r="N505" s="101">
        <f t="shared" si="461"/>
        <v>0</v>
      </c>
      <c r="O505" s="100">
        <v>0</v>
      </c>
      <c r="P505" s="98">
        <v>0</v>
      </c>
      <c r="Q505" s="101">
        <f t="shared" si="462"/>
        <v>0</v>
      </c>
      <c r="R505" s="100">
        <v>0</v>
      </c>
      <c r="S505" s="98">
        <v>0</v>
      </c>
      <c r="T505" s="101">
        <f t="shared" si="463"/>
        <v>0</v>
      </c>
      <c r="U505" s="183">
        <v>1</v>
      </c>
      <c r="V505" s="99">
        <v>1</v>
      </c>
      <c r="W505" s="98">
        <v>0</v>
      </c>
      <c r="X505" s="98">
        <v>0</v>
      </c>
      <c r="Y505" s="101">
        <f t="shared" si="466"/>
        <v>0</v>
      </c>
      <c r="Z505" s="101">
        <v>1</v>
      </c>
      <c r="AA505" s="183">
        <v>0</v>
      </c>
      <c r="AB505" s="99">
        <v>1</v>
      </c>
      <c r="AC505" s="98">
        <v>0</v>
      </c>
      <c r="AD505" s="98">
        <v>0</v>
      </c>
      <c r="AE505" s="101">
        <f t="shared" si="464"/>
        <v>0</v>
      </c>
      <c r="AF505" s="100">
        <v>0</v>
      </c>
      <c r="AG505" s="98">
        <v>0</v>
      </c>
      <c r="AH505" s="99">
        <f t="shared" si="465"/>
        <v>0</v>
      </c>
      <c r="AI505" s="101">
        <v>1</v>
      </c>
      <c r="AJ505" s="106"/>
    </row>
    <row r="506" spans="2:36" s="35" customFormat="1" ht="17.100000000000001" customHeight="1">
      <c r="B506" s="105"/>
      <c r="C506" s="54"/>
      <c r="D506" s="96"/>
      <c r="E506" s="111"/>
      <c r="F506" s="112"/>
      <c r="G506" s="113"/>
      <c r="H506" s="183">
        <v>1</v>
      </c>
      <c r="I506" s="98">
        <v>0</v>
      </c>
      <c r="J506" s="98">
        <v>0</v>
      </c>
      <c r="K506" s="101">
        <f t="shared" si="460"/>
        <v>0</v>
      </c>
      <c r="L506" s="100">
        <v>0</v>
      </c>
      <c r="M506" s="98">
        <v>0</v>
      </c>
      <c r="N506" s="101">
        <f t="shared" si="461"/>
        <v>0</v>
      </c>
      <c r="O506" s="100">
        <v>0</v>
      </c>
      <c r="P506" s="98">
        <v>0</v>
      </c>
      <c r="Q506" s="101">
        <f t="shared" si="462"/>
        <v>0</v>
      </c>
      <c r="R506" s="100">
        <v>0</v>
      </c>
      <c r="S506" s="98">
        <v>0</v>
      </c>
      <c r="T506" s="101">
        <f t="shared" si="463"/>
        <v>0</v>
      </c>
      <c r="U506" s="183">
        <v>1</v>
      </c>
      <c r="V506" s="99">
        <v>1</v>
      </c>
      <c r="W506" s="98">
        <v>0</v>
      </c>
      <c r="X506" s="98">
        <v>0</v>
      </c>
      <c r="Y506" s="101">
        <f t="shared" si="466"/>
        <v>0</v>
      </c>
      <c r="Z506" s="101">
        <v>1</v>
      </c>
      <c r="AA506" s="183">
        <v>0</v>
      </c>
      <c r="AB506" s="99">
        <v>1</v>
      </c>
      <c r="AC506" s="98">
        <v>0</v>
      </c>
      <c r="AD506" s="98">
        <v>0</v>
      </c>
      <c r="AE506" s="101">
        <f t="shared" si="464"/>
        <v>0</v>
      </c>
      <c r="AF506" s="100">
        <v>0</v>
      </c>
      <c r="AG506" s="98">
        <v>0</v>
      </c>
      <c r="AH506" s="99">
        <f t="shared" si="465"/>
        <v>0</v>
      </c>
      <c r="AI506" s="101">
        <v>1</v>
      </c>
      <c r="AJ506" s="106"/>
    </row>
    <row r="507" spans="2:36" s="35" customFormat="1" ht="17.100000000000001" customHeight="1">
      <c r="B507" s="105"/>
      <c r="C507" s="54"/>
      <c r="D507" s="96"/>
      <c r="E507" s="111"/>
      <c r="F507" s="112"/>
      <c r="G507" s="113"/>
      <c r="H507" s="183">
        <v>1</v>
      </c>
      <c r="I507" s="98">
        <v>0</v>
      </c>
      <c r="J507" s="98">
        <v>0</v>
      </c>
      <c r="K507" s="101">
        <f t="shared" si="460"/>
        <v>0</v>
      </c>
      <c r="L507" s="100">
        <v>0</v>
      </c>
      <c r="M507" s="98">
        <v>0</v>
      </c>
      <c r="N507" s="101">
        <f t="shared" si="461"/>
        <v>0</v>
      </c>
      <c r="O507" s="100">
        <v>0</v>
      </c>
      <c r="P507" s="98">
        <v>0</v>
      </c>
      <c r="Q507" s="101">
        <f t="shared" si="462"/>
        <v>0</v>
      </c>
      <c r="R507" s="100">
        <v>0</v>
      </c>
      <c r="S507" s="98">
        <v>0</v>
      </c>
      <c r="T507" s="101">
        <f t="shared" si="463"/>
        <v>0</v>
      </c>
      <c r="U507" s="183">
        <v>1</v>
      </c>
      <c r="V507" s="99">
        <v>1</v>
      </c>
      <c r="W507" s="98">
        <v>0</v>
      </c>
      <c r="X507" s="98">
        <v>0</v>
      </c>
      <c r="Y507" s="101">
        <f t="shared" si="466"/>
        <v>0</v>
      </c>
      <c r="Z507" s="101">
        <v>1</v>
      </c>
      <c r="AA507" s="183">
        <v>0</v>
      </c>
      <c r="AB507" s="99">
        <v>1</v>
      </c>
      <c r="AC507" s="98">
        <v>0</v>
      </c>
      <c r="AD507" s="98">
        <v>0</v>
      </c>
      <c r="AE507" s="101">
        <f t="shared" si="464"/>
        <v>0</v>
      </c>
      <c r="AF507" s="100">
        <v>0</v>
      </c>
      <c r="AG507" s="98">
        <v>0</v>
      </c>
      <c r="AH507" s="99">
        <f t="shared" si="465"/>
        <v>0</v>
      </c>
      <c r="AI507" s="101">
        <v>1</v>
      </c>
      <c r="AJ507" s="106"/>
    </row>
    <row r="508" spans="2:36" s="126" customFormat="1" ht="17.100000000000001" customHeight="1">
      <c r="B508" s="118"/>
      <c r="C508" s="119"/>
      <c r="D508" s="120"/>
      <c r="E508" s="121"/>
      <c r="F508" s="122"/>
      <c r="G508" s="123"/>
      <c r="H508" s="183">
        <v>1</v>
      </c>
      <c r="I508" s="363" t="s">
        <v>201</v>
      </c>
      <c r="J508" s="363"/>
      <c r="K508" s="124">
        <f>SUM(K501:K507)</f>
        <v>0</v>
      </c>
      <c r="L508" s="341" t="s">
        <v>201</v>
      </c>
      <c r="M508" s="342"/>
      <c r="N508" s="124">
        <f>SUM(N501:N507)</f>
        <v>0</v>
      </c>
      <c r="O508" s="341" t="s">
        <v>201</v>
      </c>
      <c r="P508" s="342"/>
      <c r="Q508" s="124">
        <f>SUM(Q501:Q507)</f>
        <v>0</v>
      </c>
      <c r="R508" s="341" t="s">
        <v>201</v>
      </c>
      <c r="S508" s="342"/>
      <c r="T508" s="124">
        <f>SUM(T501:T507)</f>
        <v>0</v>
      </c>
      <c r="U508" s="183">
        <v>1</v>
      </c>
      <c r="V508" s="99">
        <v>1</v>
      </c>
      <c r="W508" s="363" t="s">
        <v>201</v>
      </c>
      <c r="X508" s="363"/>
      <c r="Y508" s="124">
        <f>SUM(Y501:Y507)</f>
        <v>200</v>
      </c>
      <c r="Z508" s="101">
        <v>1</v>
      </c>
      <c r="AA508" s="183">
        <v>0</v>
      </c>
      <c r="AB508" s="99">
        <v>1</v>
      </c>
      <c r="AC508" s="363" t="s">
        <v>201</v>
      </c>
      <c r="AD508" s="363"/>
      <c r="AE508" s="124">
        <f>SUM(AE501:AE507)</f>
        <v>0</v>
      </c>
      <c r="AF508" s="364" t="s">
        <v>201</v>
      </c>
      <c r="AG508" s="363"/>
      <c r="AH508" s="143">
        <f>SUM(AH501:AH507)</f>
        <v>0</v>
      </c>
      <c r="AI508" s="101">
        <v>1</v>
      </c>
      <c r="AJ508" s="125"/>
    </row>
    <row r="509" spans="2:36" s="35" customFormat="1" ht="16.95" customHeight="1">
      <c r="B509" s="105"/>
      <c r="C509" s="54">
        <f>'3. Rekap Back Up Non Aspal '!C84</f>
        <v>10100</v>
      </c>
      <c r="D509" s="96">
        <f>'3. Rekap Back Up Non Aspal '!D84</f>
        <v>10200</v>
      </c>
      <c r="E509" s="111">
        <f>'3. Rekap Back Up Non Aspal '!E84</f>
        <v>3</v>
      </c>
      <c r="F509" s="112">
        <f>(100/((D509-C509)*E509))*((K516*0.05)+(N516*0.05)+(Q516*0.05)+(T516)+(Y516)+(AE516*1.5)+(AH516*1))</f>
        <v>66.666666666666657</v>
      </c>
      <c r="G509" s="113" t="str">
        <f>IF(F509&lt;=25,"RB",IF(F509&lt;=75,"RB",IF(F509&lt;=100,"RB","RB")))</f>
        <v>RB</v>
      </c>
      <c r="H509" s="183">
        <v>1</v>
      </c>
      <c r="I509" s="98">
        <v>0</v>
      </c>
      <c r="J509" s="98">
        <v>0</v>
      </c>
      <c r="K509" s="101">
        <f t="shared" ref="K509:K515" si="467">I509*J509</f>
        <v>0</v>
      </c>
      <c r="L509" s="98">
        <v>0</v>
      </c>
      <c r="M509" s="98">
        <v>0</v>
      </c>
      <c r="N509" s="101">
        <f t="shared" ref="N509:N515" si="468">L509*M509</f>
        <v>0</v>
      </c>
      <c r="O509" s="98">
        <v>0</v>
      </c>
      <c r="P509" s="98">
        <v>0</v>
      </c>
      <c r="Q509" s="101">
        <f t="shared" ref="Q509:Q515" si="469">O509*P509</f>
        <v>0</v>
      </c>
      <c r="R509" s="98">
        <v>0</v>
      </c>
      <c r="S509" s="98">
        <v>0</v>
      </c>
      <c r="T509" s="101">
        <f t="shared" ref="T509:T515" si="470">R509*S509</f>
        <v>0</v>
      </c>
      <c r="U509" s="183">
        <v>2</v>
      </c>
      <c r="V509" s="99">
        <v>2</v>
      </c>
      <c r="W509" s="98">
        <v>100</v>
      </c>
      <c r="X509" s="98">
        <v>2</v>
      </c>
      <c r="Y509" s="101">
        <f>W509*X509</f>
        <v>200</v>
      </c>
      <c r="Z509" s="101">
        <v>1</v>
      </c>
      <c r="AA509" s="183">
        <v>0</v>
      </c>
      <c r="AB509" s="99">
        <v>1</v>
      </c>
      <c r="AC509" s="98">
        <v>0</v>
      </c>
      <c r="AD509" s="98">
        <v>0</v>
      </c>
      <c r="AE509" s="101">
        <f t="shared" ref="AE509:AE515" si="471">AC509*AD509</f>
        <v>0</v>
      </c>
      <c r="AF509" s="98">
        <v>0</v>
      </c>
      <c r="AG509" s="98">
        <v>3</v>
      </c>
      <c r="AH509" s="99">
        <f t="shared" ref="AH509:AH515" si="472">AF509*AG509</f>
        <v>0</v>
      </c>
      <c r="AI509" s="101">
        <v>1</v>
      </c>
      <c r="AJ509" s="106"/>
    </row>
    <row r="510" spans="2:36" s="35" customFormat="1" ht="17.100000000000001" customHeight="1">
      <c r="B510" s="105"/>
      <c r="C510" s="54"/>
      <c r="D510" s="96"/>
      <c r="E510" s="111"/>
      <c r="F510" s="112"/>
      <c r="G510" s="113"/>
      <c r="H510" s="183">
        <v>1</v>
      </c>
      <c r="I510" s="98">
        <v>0</v>
      </c>
      <c r="J510" s="98">
        <v>0</v>
      </c>
      <c r="K510" s="101">
        <f t="shared" si="467"/>
        <v>0</v>
      </c>
      <c r="L510" s="100">
        <v>0</v>
      </c>
      <c r="M510" s="98">
        <v>0</v>
      </c>
      <c r="N510" s="101">
        <f t="shared" si="468"/>
        <v>0</v>
      </c>
      <c r="O510" s="100">
        <v>0</v>
      </c>
      <c r="P510" s="98">
        <v>0</v>
      </c>
      <c r="Q510" s="101">
        <f t="shared" si="469"/>
        <v>0</v>
      </c>
      <c r="R510" s="100">
        <v>0</v>
      </c>
      <c r="S510" s="98">
        <v>0</v>
      </c>
      <c r="T510" s="101">
        <f t="shared" si="470"/>
        <v>0</v>
      </c>
      <c r="U510" s="183">
        <v>1</v>
      </c>
      <c r="V510" s="99">
        <v>1</v>
      </c>
      <c r="W510" s="98">
        <v>0</v>
      </c>
      <c r="X510" s="98">
        <v>0</v>
      </c>
      <c r="Y510" s="101">
        <f t="shared" ref="Y510:Y515" si="473">W510*X510</f>
        <v>0</v>
      </c>
      <c r="Z510" s="101">
        <v>1</v>
      </c>
      <c r="AA510" s="183">
        <v>0</v>
      </c>
      <c r="AB510" s="99">
        <v>1</v>
      </c>
      <c r="AC510" s="98">
        <v>0</v>
      </c>
      <c r="AD510" s="98">
        <v>0</v>
      </c>
      <c r="AE510" s="101">
        <f t="shared" si="471"/>
        <v>0</v>
      </c>
      <c r="AF510" s="100">
        <v>0</v>
      </c>
      <c r="AG510" s="98">
        <v>0</v>
      </c>
      <c r="AH510" s="99">
        <f t="shared" si="472"/>
        <v>0</v>
      </c>
      <c r="AI510" s="101">
        <v>1</v>
      </c>
      <c r="AJ510" s="106"/>
    </row>
    <row r="511" spans="2:36" s="35" customFormat="1" ht="17.100000000000001" customHeight="1">
      <c r="B511" s="105"/>
      <c r="C511" s="54"/>
      <c r="D511" s="96"/>
      <c r="E511" s="111"/>
      <c r="F511" s="112"/>
      <c r="G511" s="113"/>
      <c r="H511" s="183">
        <v>1</v>
      </c>
      <c r="I511" s="98">
        <v>0</v>
      </c>
      <c r="J511" s="98">
        <v>0</v>
      </c>
      <c r="K511" s="101">
        <f t="shared" si="467"/>
        <v>0</v>
      </c>
      <c r="L511" s="100">
        <v>0</v>
      </c>
      <c r="M511" s="98">
        <v>0</v>
      </c>
      <c r="N511" s="101">
        <f t="shared" si="468"/>
        <v>0</v>
      </c>
      <c r="O511" s="100">
        <v>0</v>
      </c>
      <c r="P511" s="98">
        <v>0</v>
      </c>
      <c r="Q511" s="101">
        <f t="shared" si="469"/>
        <v>0</v>
      </c>
      <c r="R511" s="100">
        <v>0</v>
      </c>
      <c r="S511" s="98">
        <v>0</v>
      </c>
      <c r="T511" s="101">
        <f t="shared" si="470"/>
        <v>0</v>
      </c>
      <c r="U511" s="183">
        <v>1</v>
      </c>
      <c r="V511" s="99">
        <v>1</v>
      </c>
      <c r="W511" s="98">
        <v>0</v>
      </c>
      <c r="X511" s="98">
        <v>0</v>
      </c>
      <c r="Y511" s="101">
        <f t="shared" si="473"/>
        <v>0</v>
      </c>
      <c r="Z511" s="101">
        <v>1</v>
      </c>
      <c r="AA511" s="183">
        <v>0</v>
      </c>
      <c r="AB511" s="99">
        <v>1</v>
      </c>
      <c r="AC511" s="98">
        <v>0</v>
      </c>
      <c r="AD511" s="98">
        <v>0</v>
      </c>
      <c r="AE511" s="101">
        <f t="shared" si="471"/>
        <v>0</v>
      </c>
      <c r="AF511" s="100">
        <v>0</v>
      </c>
      <c r="AG511" s="98">
        <v>0</v>
      </c>
      <c r="AH511" s="99">
        <f t="shared" si="472"/>
        <v>0</v>
      </c>
      <c r="AI511" s="101">
        <v>1</v>
      </c>
      <c r="AJ511" s="106"/>
    </row>
    <row r="512" spans="2:36" s="35" customFormat="1" ht="17.100000000000001" customHeight="1">
      <c r="B512" s="105"/>
      <c r="C512" s="54"/>
      <c r="D512" s="96"/>
      <c r="E512" s="111"/>
      <c r="F512" s="112"/>
      <c r="G512" s="113"/>
      <c r="H512" s="183">
        <v>1</v>
      </c>
      <c r="I512" s="98">
        <v>0</v>
      </c>
      <c r="J512" s="98">
        <v>0</v>
      </c>
      <c r="K512" s="101">
        <f t="shared" si="467"/>
        <v>0</v>
      </c>
      <c r="L512" s="100">
        <v>0</v>
      </c>
      <c r="M512" s="98">
        <v>0</v>
      </c>
      <c r="N512" s="101">
        <f t="shared" si="468"/>
        <v>0</v>
      </c>
      <c r="O512" s="100">
        <v>0</v>
      </c>
      <c r="P512" s="98">
        <v>0</v>
      </c>
      <c r="Q512" s="101">
        <f t="shared" si="469"/>
        <v>0</v>
      </c>
      <c r="R512" s="100">
        <v>0</v>
      </c>
      <c r="S512" s="98">
        <v>0</v>
      </c>
      <c r="T512" s="101">
        <f t="shared" si="470"/>
        <v>0</v>
      </c>
      <c r="U512" s="183">
        <v>1</v>
      </c>
      <c r="V512" s="99">
        <v>1</v>
      </c>
      <c r="W512" s="98">
        <v>0</v>
      </c>
      <c r="X512" s="98">
        <v>0</v>
      </c>
      <c r="Y512" s="101">
        <f t="shared" si="473"/>
        <v>0</v>
      </c>
      <c r="Z512" s="101">
        <v>1</v>
      </c>
      <c r="AA512" s="183">
        <v>0</v>
      </c>
      <c r="AB512" s="99">
        <v>1</v>
      </c>
      <c r="AC512" s="98">
        <v>0</v>
      </c>
      <c r="AD512" s="98">
        <v>0</v>
      </c>
      <c r="AE512" s="101">
        <f t="shared" si="471"/>
        <v>0</v>
      </c>
      <c r="AF512" s="100">
        <v>0</v>
      </c>
      <c r="AG512" s="98">
        <v>0</v>
      </c>
      <c r="AH512" s="99">
        <f t="shared" si="472"/>
        <v>0</v>
      </c>
      <c r="AI512" s="101">
        <v>1</v>
      </c>
      <c r="AJ512" s="106"/>
    </row>
    <row r="513" spans="2:36" s="35" customFormat="1" ht="17.100000000000001" customHeight="1">
      <c r="B513" s="105"/>
      <c r="C513" s="54"/>
      <c r="D513" s="96"/>
      <c r="E513" s="111"/>
      <c r="F513" s="112"/>
      <c r="G513" s="113"/>
      <c r="H513" s="183">
        <v>1</v>
      </c>
      <c r="I513" s="98">
        <v>0</v>
      </c>
      <c r="J513" s="98">
        <v>0</v>
      </c>
      <c r="K513" s="101">
        <f t="shared" si="467"/>
        <v>0</v>
      </c>
      <c r="L513" s="100">
        <v>0</v>
      </c>
      <c r="M513" s="98">
        <v>0</v>
      </c>
      <c r="N513" s="101">
        <f t="shared" si="468"/>
        <v>0</v>
      </c>
      <c r="O513" s="100">
        <v>0</v>
      </c>
      <c r="P513" s="98">
        <v>0</v>
      </c>
      <c r="Q513" s="101">
        <f t="shared" si="469"/>
        <v>0</v>
      </c>
      <c r="R513" s="100">
        <v>0</v>
      </c>
      <c r="S513" s="98">
        <v>0</v>
      </c>
      <c r="T513" s="101">
        <f t="shared" si="470"/>
        <v>0</v>
      </c>
      <c r="U513" s="183">
        <v>1</v>
      </c>
      <c r="V513" s="99">
        <v>1</v>
      </c>
      <c r="W513" s="98">
        <v>0</v>
      </c>
      <c r="X513" s="98">
        <v>0</v>
      </c>
      <c r="Y513" s="101">
        <f t="shared" si="473"/>
        <v>0</v>
      </c>
      <c r="Z513" s="101">
        <v>1</v>
      </c>
      <c r="AA513" s="183">
        <v>0</v>
      </c>
      <c r="AB513" s="99">
        <v>1</v>
      </c>
      <c r="AC513" s="98">
        <v>0</v>
      </c>
      <c r="AD513" s="98">
        <v>0</v>
      </c>
      <c r="AE513" s="101">
        <f t="shared" si="471"/>
        <v>0</v>
      </c>
      <c r="AF513" s="100">
        <v>0</v>
      </c>
      <c r="AG513" s="98">
        <v>0</v>
      </c>
      <c r="AH513" s="99">
        <f t="shared" si="472"/>
        <v>0</v>
      </c>
      <c r="AI513" s="101">
        <v>1</v>
      </c>
      <c r="AJ513" s="106"/>
    </row>
    <row r="514" spans="2:36" s="35" customFormat="1" ht="17.100000000000001" customHeight="1">
      <c r="B514" s="105"/>
      <c r="C514" s="54"/>
      <c r="D514" s="96"/>
      <c r="E514" s="111"/>
      <c r="F514" s="112"/>
      <c r="G514" s="113"/>
      <c r="H514" s="183">
        <v>1</v>
      </c>
      <c r="I514" s="98">
        <v>0</v>
      </c>
      <c r="J514" s="98">
        <v>0</v>
      </c>
      <c r="K514" s="101">
        <f t="shared" si="467"/>
        <v>0</v>
      </c>
      <c r="L514" s="100">
        <v>0</v>
      </c>
      <c r="M514" s="98">
        <v>0</v>
      </c>
      <c r="N514" s="101">
        <f t="shared" si="468"/>
        <v>0</v>
      </c>
      <c r="O514" s="100">
        <v>0</v>
      </c>
      <c r="P514" s="98">
        <v>0</v>
      </c>
      <c r="Q514" s="101">
        <f t="shared" si="469"/>
        <v>0</v>
      </c>
      <c r="R514" s="100">
        <v>0</v>
      </c>
      <c r="S514" s="98">
        <v>0</v>
      </c>
      <c r="T514" s="101">
        <f t="shared" si="470"/>
        <v>0</v>
      </c>
      <c r="U514" s="183">
        <v>1</v>
      </c>
      <c r="V514" s="99">
        <v>1</v>
      </c>
      <c r="W514" s="98">
        <v>0</v>
      </c>
      <c r="X514" s="98">
        <v>0</v>
      </c>
      <c r="Y514" s="101">
        <f t="shared" si="473"/>
        <v>0</v>
      </c>
      <c r="Z514" s="101">
        <v>1</v>
      </c>
      <c r="AA514" s="183">
        <v>0</v>
      </c>
      <c r="AB514" s="99">
        <v>1</v>
      </c>
      <c r="AC514" s="98">
        <v>0</v>
      </c>
      <c r="AD514" s="98">
        <v>0</v>
      </c>
      <c r="AE514" s="101">
        <f t="shared" si="471"/>
        <v>0</v>
      </c>
      <c r="AF514" s="100">
        <v>0</v>
      </c>
      <c r="AG514" s="98">
        <v>0</v>
      </c>
      <c r="AH514" s="99">
        <f t="shared" si="472"/>
        <v>0</v>
      </c>
      <c r="AI514" s="101">
        <v>1</v>
      </c>
      <c r="AJ514" s="106"/>
    </row>
    <row r="515" spans="2:36" s="35" customFormat="1" ht="17.100000000000001" customHeight="1">
      <c r="B515" s="105"/>
      <c r="C515" s="54"/>
      <c r="D515" s="96"/>
      <c r="E515" s="111"/>
      <c r="F515" s="112"/>
      <c r="G515" s="113"/>
      <c r="H515" s="183">
        <v>1</v>
      </c>
      <c r="I515" s="98">
        <v>0</v>
      </c>
      <c r="J515" s="98">
        <v>0</v>
      </c>
      <c r="K515" s="101">
        <f t="shared" si="467"/>
        <v>0</v>
      </c>
      <c r="L515" s="100">
        <v>0</v>
      </c>
      <c r="M515" s="98">
        <v>0</v>
      </c>
      <c r="N515" s="101">
        <f t="shared" si="468"/>
        <v>0</v>
      </c>
      <c r="O515" s="100">
        <v>0</v>
      </c>
      <c r="P515" s="98">
        <v>0</v>
      </c>
      <c r="Q515" s="101">
        <f t="shared" si="469"/>
        <v>0</v>
      </c>
      <c r="R515" s="100">
        <v>0</v>
      </c>
      <c r="S515" s="98">
        <v>0</v>
      </c>
      <c r="T515" s="101">
        <f t="shared" si="470"/>
        <v>0</v>
      </c>
      <c r="U515" s="183">
        <v>1</v>
      </c>
      <c r="V515" s="99">
        <v>1</v>
      </c>
      <c r="W515" s="98">
        <v>0</v>
      </c>
      <c r="X515" s="98">
        <v>0</v>
      </c>
      <c r="Y515" s="101">
        <f t="shared" si="473"/>
        <v>0</v>
      </c>
      <c r="Z515" s="101">
        <v>1</v>
      </c>
      <c r="AA515" s="183">
        <v>0</v>
      </c>
      <c r="AB515" s="99">
        <v>1</v>
      </c>
      <c r="AC515" s="98">
        <v>0</v>
      </c>
      <c r="AD515" s="98">
        <v>0</v>
      </c>
      <c r="AE515" s="101">
        <f t="shared" si="471"/>
        <v>0</v>
      </c>
      <c r="AF515" s="100">
        <v>0</v>
      </c>
      <c r="AG515" s="98">
        <v>0</v>
      </c>
      <c r="AH515" s="99">
        <f t="shared" si="472"/>
        <v>0</v>
      </c>
      <c r="AI515" s="101">
        <v>1</v>
      </c>
      <c r="AJ515" s="106"/>
    </row>
    <row r="516" spans="2:36" s="126" customFormat="1" ht="17.100000000000001" customHeight="1">
      <c r="B516" s="118"/>
      <c r="C516" s="119"/>
      <c r="D516" s="120"/>
      <c r="E516" s="121"/>
      <c r="F516" s="122"/>
      <c r="G516" s="123"/>
      <c r="H516" s="183">
        <v>1</v>
      </c>
      <c r="I516" s="363" t="s">
        <v>201</v>
      </c>
      <c r="J516" s="363"/>
      <c r="K516" s="124">
        <f>SUM(K509:K515)</f>
        <v>0</v>
      </c>
      <c r="L516" s="341" t="s">
        <v>201</v>
      </c>
      <c r="M516" s="342"/>
      <c r="N516" s="124">
        <f>SUM(N509:N515)</f>
        <v>0</v>
      </c>
      <c r="O516" s="341" t="s">
        <v>201</v>
      </c>
      <c r="P516" s="342"/>
      <c r="Q516" s="124">
        <f>SUM(Q509:Q515)</f>
        <v>0</v>
      </c>
      <c r="R516" s="341" t="s">
        <v>201</v>
      </c>
      <c r="S516" s="342"/>
      <c r="T516" s="124">
        <f>SUM(T509:T515)</f>
        <v>0</v>
      </c>
      <c r="U516" s="183">
        <v>1</v>
      </c>
      <c r="V516" s="99">
        <v>1</v>
      </c>
      <c r="W516" s="363" t="s">
        <v>201</v>
      </c>
      <c r="X516" s="363"/>
      <c r="Y516" s="124">
        <f>SUM(Y509:Y515)</f>
        <v>200</v>
      </c>
      <c r="Z516" s="101">
        <v>1</v>
      </c>
      <c r="AA516" s="183">
        <v>0</v>
      </c>
      <c r="AB516" s="99">
        <v>1</v>
      </c>
      <c r="AC516" s="363" t="s">
        <v>201</v>
      </c>
      <c r="AD516" s="363"/>
      <c r="AE516" s="124">
        <f>SUM(AE509:AE515)</f>
        <v>0</v>
      </c>
      <c r="AF516" s="364" t="s">
        <v>201</v>
      </c>
      <c r="AG516" s="363"/>
      <c r="AH516" s="143">
        <f>SUM(AH509:AH515)</f>
        <v>0</v>
      </c>
      <c r="AI516" s="101">
        <v>1</v>
      </c>
      <c r="AJ516" s="125"/>
    </row>
    <row r="517" spans="2:36" s="35" customFormat="1" ht="16.95" customHeight="1">
      <c r="B517" s="105"/>
      <c r="C517" s="54">
        <f>'3. Rekap Back Up Non Aspal '!C85</f>
        <v>10200</v>
      </c>
      <c r="D517" s="96">
        <f>'3. Rekap Back Up Non Aspal '!D85</f>
        <v>10300</v>
      </c>
      <c r="E517" s="111">
        <f>'3. Rekap Back Up Non Aspal '!E85</f>
        <v>3</v>
      </c>
      <c r="F517" s="112">
        <f>(100/((D517-C517)*E517))*((K524*0.05)+(N524*0.05)+(Q524*0.05)+(T524)+(Y524)+(AE524*1.5)+(AH524*1))</f>
        <v>83.333333333333329</v>
      </c>
      <c r="G517" s="113" t="str">
        <f>IF(F517&lt;=25,"RB",IF(F517&lt;=75,"RB",IF(F517&lt;=100,"RB","RB")))</f>
        <v>RB</v>
      </c>
      <c r="H517" s="183">
        <v>1</v>
      </c>
      <c r="I517" s="98">
        <v>0</v>
      </c>
      <c r="J517" s="98">
        <v>0</v>
      </c>
      <c r="K517" s="101">
        <f t="shared" ref="K517:K523" si="474">I517*J517</f>
        <v>0</v>
      </c>
      <c r="L517" s="98">
        <v>0</v>
      </c>
      <c r="M517" s="98">
        <v>0</v>
      </c>
      <c r="N517" s="101">
        <f t="shared" ref="N517:N523" si="475">L517*M517</f>
        <v>0</v>
      </c>
      <c r="O517" s="98">
        <v>0</v>
      </c>
      <c r="P517" s="98">
        <v>0</v>
      </c>
      <c r="Q517" s="101">
        <f t="shared" ref="Q517:Q523" si="476">O517*P517</f>
        <v>0</v>
      </c>
      <c r="R517" s="98">
        <v>0</v>
      </c>
      <c r="S517" s="98">
        <v>0</v>
      </c>
      <c r="T517" s="101">
        <f t="shared" ref="T517:T523" si="477">R517*S517</f>
        <v>0</v>
      </c>
      <c r="U517" s="183">
        <v>2</v>
      </c>
      <c r="V517" s="99">
        <v>2</v>
      </c>
      <c r="W517" s="98">
        <v>100</v>
      </c>
      <c r="X517" s="187">
        <v>2.5</v>
      </c>
      <c r="Y517" s="101">
        <f>W517*X517</f>
        <v>250</v>
      </c>
      <c r="Z517" s="101">
        <v>1</v>
      </c>
      <c r="AA517" s="183">
        <v>0</v>
      </c>
      <c r="AB517" s="99">
        <v>1</v>
      </c>
      <c r="AC517" s="98">
        <v>0</v>
      </c>
      <c r="AD517" s="98">
        <v>0</v>
      </c>
      <c r="AE517" s="101">
        <f t="shared" ref="AE517:AE523" si="478">AC517*AD517</f>
        <v>0</v>
      </c>
      <c r="AF517" s="98">
        <v>0</v>
      </c>
      <c r="AG517" s="98">
        <v>3</v>
      </c>
      <c r="AH517" s="99">
        <f t="shared" ref="AH517:AH523" si="479">AF517*AG517</f>
        <v>0</v>
      </c>
      <c r="AI517" s="101">
        <v>1</v>
      </c>
      <c r="AJ517" s="106"/>
    </row>
    <row r="518" spans="2:36" s="35" customFormat="1" ht="17.100000000000001" customHeight="1">
      <c r="B518" s="105"/>
      <c r="C518" s="54"/>
      <c r="D518" s="96"/>
      <c r="E518" s="111"/>
      <c r="F518" s="112"/>
      <c r="G518" s="113"/>
      <c r="H518" s="183">
        <v>1</v>
      </c>
      <c r="I518" s="98">
        <v>0</v>
      </c>
      <c r="J518" s="98">
        <v>0</v>
      </c>
      <c r="K518" s="101">
        <f t="shared" si="474"/>
        <v>0</v>
      </c>
      <c r="L518" s="100">
        <v>0</v>
      </c>
      <c r="M518" s="98">
        <v>0</v>
      </c>
      <c r="N518" s="101">
        <f t="shared" si="475"/>
        <v>0</v>
      </c>
      <c r="O518" s="100">
        <v>0</v>
      </c>
      <c r="P518" s="98">
        <v>0</v>
      </c>
      <c r="Q518" s="101">
        <f t="shared" si="476"/>
        <v>0</v>
      </c>
      <c r="R518" s="100">
        <v>0</v>
      </c>
      <c r="S518" s="98">
        <v>0</v>
      </c>
      <c r="T518" s="101">
        <f t="shared" si="477"/>
        <v>0</v>
      </c>
      <c r="U518" s="183">
        <v>1</v>
      </c>
      <c r="V518" s="99">
        <v>1</v>
      </c>
      <c r="W518" s="98">
        <v>0</v>
      </c>
      <c r="X518" s="98">
        <v>0</v>
      </c>
      <c r="Y518" s="101">
        <f t="shared" ref="Y518:Y523" si="480">W518*X518</f>
        <v>0</v>
      </c>
      <c r="Z518" s="101">
        <v>1</v>
      </c>
      <c r="AA518" s="183">
        <v>0</v>
      </c>
      <c r="AB518" s="99">
        <v>1</v>
      </c>
      <c r="AC518" s="98">
        <v>0</v>
      </c>
      <c r="AD518" s="98">
        <v>0</v>
      </c>
      <c r="AE518" s="101">
        <f t="shared" si="478"/>
        <v>0</v>
      </c>
      <c r="AF518" s="100">
        <v>0</v>
      </c>
      <c r="AG518" s="98">
        <v>0</v>
      </c>
      <c r="AH518" s="99">
        <f t="shared" si="479"/>
        <v>0</v>
      </c>
      <c r="AI518" s="101">
        <v>1</v>
      </c>
      <c r="AJ518" s="106"/>
    </row>
    <row r="519" spans="2:36" s="35" customFormat="1" ht="17.100000000000001" customHeight="1">
      <c r="B519" s="105"/>
      <c r="C519" s="54"/>
      <c r="D519" s="96"/>
      <c r="E519" s="111"/>
      <c r="F519" s="112"/>
      <c r="G519" s="113"/>
      <c r="H519" s="183">
        <v>1</v>
      </c>
      <c r="I519" s="98">
        <v>0</v>
      </c>
      <c r="J519" s="98">
        <v>0</v>
      </c>
      <c r="K519" s="101">
        <f t="shared" si="474"/>
        <v>0</v>
      </c>
      <c r="L519" s="100">
        <v>0</v>
      </c>
      <c r="M519" s="98">
        <v>0</v>
      </c>
      <c r="N519" s="101">
        <f t="shared" si="475"/>
        <v>0</v>
      </c>
      <c r="O519" s="100">
        <v>0</v>
      </c>
      <c r="P519" s="98">
        <v>0</v>
      </c>
      <c r="Q519" s="101">
        <f t="shared" si="476"/>
        <v>0</v>
      </c>
      <c r="R519" s="100">
        <v>0</v>
      </c>
      <c r="S519" s="98">
        <v>0</v>
      </c>
      <c r="T519" s="101">
        <f t="shared" si="477"/>
        <v>0</v>
      </c>
      <c r="U519" s="183">
        <v>1</v>
      </c>
      <c r="V519" s="99">
        <v>1</v>
      </c>
      <c r="W519" s="98">
        <v>0</v>
      </c>
      <c r="X519" s="98">
        <v>0</v>
      </c>
      <c r="Y519" s="101">
        <f t="shared" si="480"/>
        <v>0</v>
      </c>
      <c r="Z519" s="101">
        <v>1</v>
      </c>
      <c r="AA519" s="183">
        <v>0</v>
      </c>
      <c r="AB519" s="99">
        <v>1</v>
      </c>
      <c r="AC519" s="98">
        <v>0</v>
      </c>
      <c r="AD519" s="98">
        <v>0</v>
      </c>
      <c r="AE519" s="101">
        <f t="shared" si="478"/>
        <v>0</v>
      </c>
      <c r="AF519" s="100">
        <v>0</v>
      </c>
      <c r="AG519" s="98">
        <v>0</v>
      </c>
      <c r="AH519" s="99">
        <f t="shared" si="479"/>
        <v>0</v>
      </c>
      <c r="AI519" s="101">
        <v>1</v>
      </c>
      <c r="AJ519" s="106"/>
    </row>
    <row r="520" spans="2:36" s="35" customFormat="1" ht="17.100000000000001" customHeight="1">
      <c r="B520" s="105"/>
      <c r="C520" s="54"/>
      <c r="D520" s="96"/>
      <c r="E520" s="111"/>
      <c r="F520" s="112"/>
      <c r="G520" s="113"/>
      <c r="H520" s="183">
        <v>1</v>
      </c>
      <c r="I520" s="98">
        <v>0</v>
      </c>
      <c r="J520" s="98">
        <v>0</v>
      </c>
      <c r="K520" s="101">
        <f t="shared" si="474"/>
        <v>0</v>
      </c>
      <c r="L520" s="100">
        <v>0</v>
      </c>
      <c r="M520" s="98">
        <v>0</v>
      </c>
      <c r="N520" s="101">
        <f t="shared" si="475"/>
        <v>0</v>
      </c>
      <c r="O520" s="100">
        <v>0</v>
      </c>
      <c r="P520" s="98">
        <v>0</v>
      </c>
      <c r="Q520" s="101">
        <f t="shared" si="476"/>
        <v>0</v>
      </c>
      <c r="R520" s="100">
        <v>0</v>
      </c>
      <c r="S520" s="98">
        <v>0</v>
      </c>
      <c r="T520" s="101">
        <f t="shared" si="477"/>
        <v>0</v>
      </c>
      <c r="U520" s="183">
        <v>1</v>
      </c>
      <c r="V520" s="99">
        <v>1</v>
      </c>
      <c r="W520" s="98">
        <v>0</v>
      </c>
      <c r="X520" s="98">
        <v>0</v>
      </c>
      <c r="Y520" s="101">
        <f t="shared" si="480"/>
        <v>0</v>
      </c>
      <c r="Z520" s="101">
        <v>1</v>
      </c>
      <c r="AA520" s="183">
        <v>0</v>
      </c>
      <c r="AB520" s="99">
        <v>1</v>
      </c>
      <c r="AC520" s="98">
        <v>0</v>
      </c>
      <c r="AD520" s="98">
        <v>0</v>
      </c>
      <c r="AE520" s="101">
        <f t="shared" si="478"/>
        <v>0</v>
      </c>
      <c r="AF520" s="100">
        <v>0</v>
      </c>
      <c r="AG520" s="98">
        <v>0</v>
      </c>
      <c r="AH520" s="99">
        <f t="shared" si="479"/>
        <v>0</v>
      </c>
      <c r="AI520" s="101">
        <v>1</v>
      </c>
      <c r="AJ520" s="106"/>
    </row>
    <row r="521" spans="2:36" s="35" customFormat="1" ht="17.100000000000001" customHeight="1">
      <c r="B521" s="105"/>
      <c r="C521" s="54"/>
      <c r="D521" s="96"/>
      <c r="E521" s="111"/>
      <c r="F521" s="112"/>
      <c r="G521" s="113"/>
      <c r="H521" s="183">
        <v>1</v>
      </c>
      <c r="I521" s="98">
        <v>0</v>
      </c>
      <c r="J521" s="98">
        <v>0</v>
      </c>
      <c r="K521" s="101">
        <f t="shared" si="474"/>
        <v>0</v>
      </c>
      <c r="L521" s="100">
        <v>0</v>
      </c>
      <c r="M521" s="98">
        <v>0</v>
      </c>
      <c r="N521" s="101">
        <f t="shared" si="475"/>
        <v>0</v>
      </c>
      <c r="O521" s="100">
        <v>0</v>
      </c>
      <c r="P521" s="98">
        <v>0</v>
      </c>
      <c r="Q521" s="101">
        <f t="shared" si="476"/>
        <v>0</v>
      </c>
      <c r="R521" s="100">
        <v>0</v>
      </c>
      <c r="S521" s="98">
        <v>0</v>
      </c>
      <c r="T521" s="101">
        <f t="shared" si="477"/>
        <v>0</v>
      </c>
      <c r="U521" s="183">
        <v>1</v>
      </c>
      <c r="V521" s="99">
        <v>1</v>
      </c>
      <c r="W521" s="98">
        <v>0</v>
      </c>
      <c r="X521" s="98">
        <v>0</v>
      </c>
      <c r="Y521" s="101">
        <f t="shared" si="480"/>
        <v>0</v>
      </c>
      <c r="Z521" s="101">
        <v>1</v>
      </c>
      <c r="AA521" s="183">
        <v>0</v>
      </c>
      <c r="AB521" s="99">
        <v>1</v>
      </c>
      <c r="AC521" s="98">
        <v>0</v>
      </c>
      <c r="AD521" s="98">
        <v>0</v>
      </c>
      <c r="AE521" s="101">
        <f t="shared" si="478"/>
        <v>0</v>
      </c>
      <c r="AF521" s="100">
        <v>0</v>
      </c>
      <c r="AG521" s="98">
        <v>0</v>
      </c>
      <c r="AH521" s="99">
        <f t="shared" si="479"/>
        <v>0</v>
      </c>
      <c r="AI521" s="101">
        <v>1</v>
      </c>
      <c r="AJ521" s="106"/>
    </row>
    <row r="522" spans="2:36" s="35" customFormat="1" ht="17.100000000000001" customHeight="1">
      <c r="B522" s="105"/>
      <c r="C522" s="54"/>
      <c r="D522" s="96"/>
      <c r="E522" s="111"/>
      <c r="F522" s="112"/>
      <c r="G522" s="113"/>
      <c r="H522" s="183">
        <v>1</v>
      </c>
      <c r="I522" s="98">
        <v>0</v>
      </c>
      <c r="J522" s="98">
        <v>0</v>
      </c>
      <c r="K522" s="101">
        <f t="shared" si="474"/>
        <v>0</v>
      </c>
      <c r="L522" s="100">
        <v>0</v>
      </c>
      <c r="M522" s="98">
        <v>0</v>
      </c>
      <c r="N522" s="101">
        <f t="shared" si="475"/>
        <v>0</v>
      </c>
      <c r="O522" s="100">
        <v>0</v>
      </c>
      <c r="P522" s="98">
        <v>0</v>
      </c>
      <c r="Q522" s="101">
        <f t="shared" si="476"/>
        <v>0</v>
      </c>
      <c r="R522" s="100">
        <v>0</v>
      </c>
      <c r="S522" s="98">
        <v>0</v>
      </c>
      <c r="T522" s="101">
        <f t="shared" si="477"/>
        <v>0</v>
      </c>
      <c r="U522" s="183">
        <v>1</v>
      </c>
      <c r="V522" s="99">
        <v>1</v>
      </c>
      <c r="W522" s="98">
        <v>0</v>
      </c>
      <c r="X522" s="98">
        <v>0</v>
      </c>
      <c r="Y522" s="101">
        <f t="shared" si="480"/>
        <v>0</v>
      </c>
      <c r="Z522" s="101">
        <v>1</v>
      </c>
      <c r="AA522" s="183">
        <v>0</v>
      </c>
      <c r="AB522" s="99">
        <v>1</v>
      </c>
      <c r="AC522" s="98">
        <v>0</v>
      </c>
      <c r="AD522" s="98">
        <v>0</v>
      </c>
      <c r="AE522" s="101">
        <f t="shared" si="478"/>
        <v>0</v>
      </c>
      <c r="AF522" s="100">
        <v>0</v>
      </c>
      <c r="AG522" s="98">
        <v>0</v>
      </c>
      <c r="AH522" s="99">
        <f t="shared" si="479"/>
        <v>0</v>
      </c>
      <c r="AI522" s="101">
        <v>1</v>
      </c>
      <c r="AJ522" s="106"/>
    </row>
    <row r="523" spans="2:36" s="35" customFormat="1" ht="17.100000000000001" customHeight="1">
      <c r="B523" s="105"/>
      <c r="C523" s="54"/>
      <c r="D523" s="96"/>
      <c r="E523" s="111"/>
      <c r="F523" s="112"/>
      <c r="G523" s="113"/>
      <c r="H523" s="183">
        <v>1</v>
      </c>
      <c r="I523" s="98">
        <v>0</v>
      </c>
      <c r="J523" s="98">
        <v>0</v>
      </c>
      <c r="K523" s="101">
        <f t="shared" si="474"/>
        <v>0</v>
      </c>
      <c r="L523" s="100">
        <v>0</v>
      </c>
      <c r="M523" s="98">
        <v>0</v>
      </c>
      <c r="N523" s="101">
        <f t="shared" si="475"/>
        <v>0</v>
      </c>
      <c r="O523" s="100">
        <v>0</v>
      </c>
      <c r="P523" s="98">
        <v>0</v>
      </c>
      <c r="Q523" s="101">
        <f t="shared" si="476"/>
        <v>0</v>
      </c>
      <c r="R523" s="100">
        <v>0</v>
      </c>
      <c r="S523" s="98">
        <v>0</v>
      </c>
      <c r="T523" s="101">
        <f t="shared" si="477"/>
        <v>0</v>
      </c>
      <c r="U523" s="183">
        <v>1</v>
      </c>
      <c r="V523" s="99">
        <v>1</v>
      </c>
      <c r="W523" s="98">
        <v>0</v>
      </c>
      <c r="X523" s="98">
        <v>0</v>
      </c>
      <c r="Y523" s="101">
        <f t="shared" si="480"/>
        <v>0</v>
      </c>
      <c r="Z523" s="101">
        <v>1</v>
      </c>
      <c r="AA523" s="183">
        <v>0</v>
      </c>
      <c r="AB523" s="99">
        <v>1</v>
      </c>
      <c r="AC523" s="98">
        <v>0</v>
      </c>
      <c r="AD523" s="98">
        <v>0</v>
      </c>
      <c r="AE523" s="101">
        <f t="shared" si="478"/>
        <v>0</v>
      </c>
      <c r="AF523" s="100">
        <v>0</v>
      </c>
      <c r="AG523" s="98">
        <v>0</v>
      </c>
      <c r="AH523" s="99">
        <f t="shared" si="479"/>
        <v>0</v>
      </c>
      <c r="AI523" s="101">
        <v>1</v>
      </c>
      <c r="AJ523" s="106"/>
    </row>
    <row r="524" spans="2:36" s="126" customFormat="1" ht="17.100000000000001" customHeight="1" thickBot="1">
      <c r="B524" s="128"/>
      <c r="C524" s="154"/>
      <c r="D524" s="155"/>
      <c r="E524" s="156"/>
      <c r="F524" s="129"/>
      <c r="G524" s="130"/>
      <c r="H524" s="184">
        <v>1</v>
      </c>
      <c r="I524" s="361" t="s">
        <v>201</v>
      </c>
      <c r="J524" s="361"/>
      <c r="K524" s="131">
        <f>SUM(K517:K523)</f>
        <v>0</v>
      </c>
      <c r="L524" s="344" t="s">
        <v>201</v>
      </c>
      <c r="M524" s="345"/>
      <c r="N524" s="131">
        <f>SUM(N517:N523)</f>
        <v>0</v>
      </c>
      <c r="O524" s="344" t="s">
        <v>201</v>
      </c>
      <c r="P524" s="345"/>
      <c r="Q524" s="131">
        <f>SUM(Q517:Q523)</f>
        <v>0</v>
      </c>
      <c r="R524" s="344" t="s">
        <v>201</v>
      </c>
      <c r="S524" s="345"/>
      <c r="T524" s="131">
        <f>SUM(T517:T523)</f>
        <v>0</v>
      </c>
      <c r="U524" s="184">
        <v>1</v>
      </c>
      <c r="V524" s="160">
        <v>1</v>
      </c>
      <c r="W524" s="361" t="s">
        <v>201</v>
      </c>
      <c r="X524" s="361"/>
      <c r="Y524" s="131">
        <f>SUM(Y517:Y523)</f>
        <v>250</v>
      </c>
      <c r="Z524" s="133">
        <v>1</v>
      </c>
      <c r="AA524" s="184">
        <v>0</v>
      </c>
      <c r="AB524" s="160">
        <v>1</v>
      </c>
      <c r="AC524" s="361" t="s">
        <v>201</v>
      </c>
      <c r="AD524" s="361"/>
      <c r="AE524" s="131">
        <f>SUM(AE517:AE523)</f>
        <v>0</v>
      </c>
      <c r="AF524" s="362" t="s">
        <v>201</v>
      </c>
      <c r="AG524" s="361"/>
      <c r="AH524" s="144">
        <f>SUM(AH517:AH523)</f>
        <v>0</v>
      </c>
      <c r="AI524" s="133">
        <v>1</v>
      </c>
      <c r="AJ524" s="134"/>
    </row>
    <row r="525" spans="2:36" s="35" customFormat="1" ht="16.95" customHeight="1">
      <c r="B525" s="114"/>
      <c r="C525" s="157">
        <f>'3. Rekap Back Up Non Aspal '!C86</f>
        <v>10300</v>
      </c>
      <c r="D525" s="158">
        <f>'3. Rekap Back Up Non Aspal '!D86</f>
        <v>10400</v>
      </c>
      <c r="E525" s="159">
        <f>'3. Rekap Back Up Non Aspal '!E86</f>
        <v>3</v>
      </c>
      <c r="F525" s="115">
        <f>(100/((D525-C525)*E525))*((K532*0.05)+(N532*0.05)+(Q532*0.05)+(T532)+(Y532)+(AE532*1.5)+(AH532*1))</f>
        <v>83.333333333333329</v>
      </c>
      <c r="G525" s="116" t="str">
        <f>IF(F525&lt;=25,"RB",IF(F525&lt;=75,"RB",IF(F525&lt;=100,"RB","RB")))</f>
        <v>RB</v>
      </c>
      <c r="H525" s="185">
        <v>1</v>
      </c>
      <c r="I525" s="136">
        <v>0</v>
      </c>
      <c r="J525" s="136">
        <v>0</v>
      </c>
      <c r="K525" s="137">
        <f t="shared" ref="K525:K531" si="481">I525*J525</f>
        <v>0</v>
      </c>
      <c r="L525" s="136">
        <v>0</v>
      </c>
      <c r="M525" s="136">
        <v>0</v>
      </c>
      <c r="N525" s="137">
        <f t="shared" ref="N525:N531" si="482">L525*M525</f>
        <v>0</v>
      </c>
      <c r="O525" s="136">
        <v>0</v>
      </c>
      <c r="P525" s="136">
        <v>3</v>
      </c>
      <c r="Q525" s="137">
        <f t="shared" ref="Q525:Q531" si="483">O525*P525</f>
        <v>0</v>
      </c>
      <c r="R525" s="136">
        <v>0</v>
      </c>
      <c r="S525" s="136">
        <v>0</v>
      </c>
      <c r="T525" s="137">
        <f t="shared" ref="T525:T531" si="484">R525*S525</f>
        <v>0</v>
      </c>
      <c r="U525" s="185">
        <v>3</v>
      </c>
      <c r="V525" s="138">
        <v>3</v>
      </c>
      <c r="W525" s="136">
        <v>100</v>
      </c>
      <c r="X525" s="297">
        <v>2.5</v>
      </c>
      <c r="Y525" s="137">
        <f>W525*X525</f>
        <v>250</v>
      </c>
      <c r="Z525" s="137">
        <v>1</v>
      </c>
      <c r="AA525" s="185">
        <v>0</v>
      </c>
      <c r="AB525" s="138">
        <v>1</v>
      </c>
      <c r="AC525" s="136">
        <v>0</v>
      </c>
      <c r="AD525" s="136">
        <v>0</v>
      </c>
      <c r="AE525" s="137">
        <f t="shared" ref="AE525:AE531" si="485">AC525*AD525</f>
        <v>0</v>
      </c>
      <c r="AF525" s="136">
        <v>0</v>
      </c>
      <c r="AG525" s="136">
        <v>0</v>
      </c>
      <c r="AH525" s="138">
        <f t="shared" ref="AH525:AH531" si="486">AF525*AG525</f>
        <v>0</v>
      </c>
      <c r="AI525" s="137">
        <v>1</v>
      </c>
      <c r="AJ525" s="139"/>
    </row>
    <row r="526" spans="2:36" s="35" customFormat="1" ht="17.100000000000001" customHeight="1">
      <c r="B526" s="105"/>
      <c r="C526" s="54"/>
      <c r="D526" s="96"/>
      <c r="E526" s="111"/>
      <c r="F526" s="112"/>
      <c r="G526" s="113"/>
      <c r="H526" s="183">
        <v>1</v>
      </c>
      <c r="I526" s="98">
        <v>0</v>
      </c>
      <c r="J526" s="98">
        <v>0</v>
      </c>
      <c r="K526" s="101">
        <f t="shared" si="481"/>
        <v>0</v>
      </c>
      <c r="L526" s="100">
        <v>0</v>
      </c>
      <c r="M526" s="98">
        <v>0</v>
      </c>
      <c r="N526" s="101">
        <f t="shared" si="482"/>
        <v>0</v>
      </c>
      <c r="O526" s="100">
        <v>0</v>
      </c>
      <c r="P526" s="98">
        <v>0</v>
      </c>
      <c r="Q526" s="101">
        <f t="shared" si="483"/>
        <v>0</v>
      </c>
      <c r="R526" s="100">
        <v>0</v>
      </c>
      <c r="S526" s="98">
        <v>0</v>
      </c>
      <c r="T526" s="101">
        <f t="shared" si="484"/>
        <v>0</v>
      </c>
      <c r="U526" s="183">
        <v>1</v>
      </c>
      <c r="V526" s="99">
        <v>1</v>
      </c>
      <c r="W526" s="98">
        <v>0</v>
      </c>
      <c r="X526" s="98">
        <v>0</v>
      </c>
      <c r="Y526" s="101">
        <f t="shared" ref="Y526:Y531" si="487">W526*X526</f>
        <v>0</v>
      </c>
      <c r="Z526" s="101">
        <v>1</v>
      </c>
      <c r="AA526" s="183">
        <v>0</v>
      </c>
      <c r="AB526" s="99">
        <v>1</v>
      </c>
      <c r="AC526" s="98">
        <v>0</v>
      </c>
      <c r="AD526" s="98">
        <v>0</v>
      </c>
      <c r="AE526" s="101">
        <f t="shared" si="485"/>
        <v>0</v>
      </c>
      <c r="AF526" s="100">
        <v>0</v>
      </c>
      <c r="AG526" s="98">
        <v>0</v>
      </c>
      <c r="AH526" s="99">
        <f t="shared" si="486"/>
        <v>0</v>
      </c>
      <c r="AI526" s="101">
        <v>1</v>
      </c>
      <c r="AJ526" s="106"/>
    </row>
    <row r="527" spans="2:36" s="35" customFormat="1" ht="17.100000000000001" customHeight="1">
      <c r="B527" s="105"/>
      <c r="C527" s="54"/>
      <c r="D527" s="96"/>
      <c r="E527" s="111"/>
      <c r="F527" s="112"/>
      <c r="G527" s="113"/>
      <c r="H527" s="183">
        <v>1</v>
      </c>
      <c r="I527" s="98">
        <v>0</v>
      </c>
      <c r="J527" s="98">
        <v>0</v>
      </c>
      <c r="K527" s="101">
        <f t="shared" si="481"/>
        <v>0</v>
      </c>
      <c r="L527" s="100">
        <v>0</v>
      </c>
      <c r="M527" s="98">
        <v>0</v>
      </c>
      <c r="N527" s="101">
        <f t="shared" si="482"/>
        <v>0</v>
      </c>
      <c r="O527" s="100">
        <v>0</v>
      </c>
      <c r="P527" s="98">
        <v>0</v>
      </c>
      <c r="Q527" s="101">
        <f t="shared" si="483"/>
        <v>0</v>
      </c>
      <c r="R527" s="100">
        <v>0</v>
      </c>
      <c r="S527" s="98">
        <v>0</v>
      </c>
      <c r="T527" s="101">
        <f t="shared" si="484"/>
        <v>0</v>
      </c>
      <c r="U527" s="183">
        <v>1</v>
      </c>
      <c r="V527" s="99">
        <v>1</v>
      </c>
      <c r="W527" s="98">
        <v>0</v>
      </c>
      <c r="X527" s="98">
        <v>0</v>
      </c>
      <c r="Y527" s="101">
        <f t="shared" si="487"/>
        <v>0</v>
      </c>
      <c r="Z527" s="101">
        <v>1</v>
      </c>
      <c r="AA527" s="183">
        <v>0</v>
      </c>
      <c r="AB527" s="99">
        <v>1</v>
      </c>
      <c r="AC527" s="98">
        <v>0</v>
      </c>
      <c r="AD527" s="98">
        <v>0</v>
      </c>
      <c r="AE527" s="101">
        <f t="shared" si="485"/>
        <v>0</v>
      </c>
      <c r="AF527" s="100">
        <v>0</v>
      </c>
      <c r="AG527" s="98">
        <v>0</v>
      </c>
      <c r="AH527" s="99">
        <f t="shared" si="486"/>
        <v>0</v>
      </c>
      <c r="AI527" s="101">
        <v>1</v>
      </c>
      <c r="AJ527" s="106"/>
    </row>
    <row r="528" spans="2:36" s="35" customFormat="1" ht="17.100000000000001" customHeight="1">
      <c r="B528" s="105"/>
      <c r="C528" s="54"/>
      <c r="D528" s="96"/>
      <c r="E528" s="111"/>
      <c r="F528" s="112"/>
      <c r="G528" s="113"/>
      <c r="H528" s="183">
        <v>1</v>
      </c>
      <c r="I528" s="98">
        <v>0</v>
      </c>
      <c r="J528" s="98">
        <v>0</v>
      </c>
      <c r="K528" s="101">
        <f t="shared" si="481"/>
        <v>0</v>
      </c>
      <c r="L528" s="100">
        <v>0</v>
      </c>
      <c r="M528" s="98">
        <v>0</v>
      </c>
      <c r="N528" s="101">
        <f t="shared" si="482"/>
        <v>0</v>
      </c>
      <c r="O528" s="100">
        <v>0</v>
      </c>
      <c r="P528" s="98">
        <v>0</v>
      </c>
      <c r="Q528" s="101">
        <f t="shared" si="483"/>
        <v>0</v>
      </c>
      <c r="R528" s="100">
        <v>0</v>
      </c>
      <c r="S528" s="98">
        <v>0</v>
      </c>
      <c r="T528" s="101">
        <f t="shared" si="484"/>
        <v>0</v>
      </c>
      <c r="U528" s="183">
        <v>1</v>
      </c>
      <c r="V528" s="99">
        <v>1</v>
      </c>
      <c r="W528" s="98">
        <v>0</v>
      </c>
      <c r="X528" s="98">
        <v>0</v>
      </c>
      <c r="Y528" s="101">
        <f t="shared" si="487"/>
        <v>0</v>
      </c>
      <c r="Z528" s="101">
        <v>1</v>
      </c>
      <c r="AA528" s="183">
        <v>0</v>
      </c>
      <c r="AB528" s="99">
        <v>1</v>
      </c>
      <c r="AC528" s="98">
        <v>0</v>
      </c>
      <c r="AD528" s="98">
        <v>0</v>
      </c>
      <c r="AE528" s="101">
        <f t="shared" si="485"/>
        <v>0</v>
      </c>
      <c r="AF528" s="100">
        <v>0</v>
      </c>
      <c r="AG528" s="98">
        <v>0</v>
      </c>
      <c r="AH528" s="99">
        <f t="shared" si="486"/>
        <v>0</v>
      </c>
      <c r="AI528" s="101">
        <v>1</v>
      </c>
      <c r="AJ528" s="106"/>
    </row>
    <row r="529" spans="2:36" s="35" customFormat="1" ht="17.100000000000001" customHeight="1">
      <c r="B529" s="105"/>
      <c r="C529" s="54"/>
      <c r="D529" s="96"/>
      <c r="E529" s="111"/>
      <c r="F529" s="112"/>
      <c r="G529" s="113"/>
      <c r="H529" s="183">
        <v>1</v>
      </c>
      <c r="I529" s="98">
        <v>0</v>
      </c>
      <c r="J529" s="98">
        <v>0</v>
      </c>
      <c r="K529" s="101">
        <f t="shared" si="481"/>
        <v>0</v>
      </c>
      <c r="L529" s="100">
        <v>0</v>
      </c>
      <c r="M529" s="98">
        <v>0</v>
      </c>
      <c r="N529" s="101">
        <f t="shared" si="482"/>
        <v>0</v>
      </c>
      <c r="O529" s="100">
        <v>0</v>
      </c>
      <c r="P529" s="98">
        <v>0</v>
      </c>
      <c r="Q529" s="101">
        <f t="shared" si="483"/>
        <v>0</v>
      </c>
      <c r="R529" s="100">
        <v>0</v>
      </c>
      <c r="S529" s="98">
        <v>0</v>
      </c>
      <c r="T529" s="101">
        <f t="shared" si="484"/>
        <v>0</v>
      </c>
      <c r="U529" s="183">
        <v>1</v>
      </c>
      <c r="V529" s="99">
        <v>1</v>
      </c>
      <c r="W529" s="98">
        <v>0</v>
      </c>
      <c r="X529" s="98">
        <v>0</v>
      </c>
      <c r="Y529" s="101">
        <f t="shared" si="487"/>
        <v>0</v>
      </c>
      <c r="Z529" s="101">
        <v>1</v>
      </c>
      <c r="AA529" s="183">
        <v>0</v>
      </c>
      <c r="AB529" s="99">
        <v>1</v>
      </c>
      <c r="AC529" s="98">
        <v>0</v>
      </c>
      <c r="AD529" s="98">
        <v>0</v>
      </c>
      <c r="AE529" s="101">
        <f t="shared" si="485"/>
        <v>0</v>
      </c>
      <c r="AF529" s="100">
        <v>0</v>
      </c>
      <c r="AG529" s="98">
        <v>0</v>
      </c>
      <c r="AH529" s="99">
        <f t="shared" si="486"/>
        <v>0</v>
      </c>
      <c r="AI529" s="101">
        <v>1</v>
      </c>
      <c r="AJ529" s="106"/>
    </row>
    <row r="530" spans="2:36" s="35" customFormat="1" ht="17.100000000000001" customHeight="1">
      <c r="B530" s="105"/>
      <c r="C530" s="54"/>
      <c r="D530" s="96"/>
      <c r="E530" s="111"/>
      <c r="F530" s="112"/>
      <c r="G530" s="113"/>
      <c r="H530" s="183">
        <v>1</v>
      </c>
      <c r="I530" s="98">
        <v>0</v>
      </c>
      <c r="J530" s="98">
        <v>0</v>
      </c>
      <c r="K530" s="101">
        <f t="shared" si="481"/>
        <v>0</v>
      </c>
      <c r="L530" s="100">
        <v>0</v>
      </c>
      <c r="M530" s="98">
        <v>0</v>
      </c>
      <c r="N530" s="101">
        <f t="shared" si="482"/>
        <v>0</v>
      </c>
      <c r="O530" s="100">
        <v>0</v>
      </c>
      <c r="P530" s="98">
        <v>0</v>
      </c>
      <c r="Q530" s="101">
        <f t="shared" si="483"/>
        <v>0</v>
      </c>
      <c r="R530" s="100">
        <v>0</v>
      </c>
      <c r="S530" s="98">
        <v>0</v>
      </c>
      <c r="T530" s="101">
        <f t="shared" si="484"/>
        <v>0</v>
      </c>
      <c r="U530" s="183">
        <v>1</v>
      </c>
      <c r="V530" s="99">
        <v>1</v>
      </c>
      <c r="W530" s="98">
        <v>0</v>
      </c>
      <c r="X530" s="98">
        <v>0</v>
      </c>
      <c r="Y530" s="101">
        <f t="shared" si="487"/>
        <v>0</v>
      </c>
      <c r="Z530" s="101">
        <v>1</v>
      </c>
      <c r="AA530" s="183">
        <v>0</v>
      </c>
      <c r="AB530" s="99">
        <v>1</v>
      </c>
      <c r="AC530" s="98">
        <v>0</v>
      </c>
      <c r="AD530" s="98">
        <v>0</v>
      </c>
      <c r="AE530" s="101">
        <f t="shared" si="485"/>
        <v>0</v>
      </c>
      <c r="AF530" s="100">
        <v>0</v>
      </c>
      <c r="AG530" s="98">
        <v>0</v>
      </c>
      <c r="AH530" s="99">
        <f t="shared" si="486"/>
        <v>0</v>
      </c>
      <c r="AI530" s="101">
        <v>1</v>
      </c>
      <c r="AJ530" s="106"/>
    </row>
    <row r="531" spans="2:36" s="35" customFormat="1" ht="17.100000000000001" customHeight="1">
      <c r="B531" s="105"/>
      <c r="C531" s="54"/>
      <c r="D531" s="96"/>
      <c r="E531" s="111"/>
      <c r="F531" s="112"/>
      <c r="G531" s="113"/>
      <c r="H531" s="183">
        <v>1</v>
      </c>
      <c r="I531" s="98">
        <v>0</v>
      </c>
      <c r="J531" s="98">
        <v>0</v>
      </c>
      <c r="K531" s="101">
        <f t="shared" si="481"/>
        <v>0</v>
      </c>
      <c r="L531" s="100">
        <v>0</v>
      </c>
      <c r="M531" s="98">
        <v>0</v>
      </c>
      <c r="N531" s="101">
        <f t="shared" si="482"/>
        <v>0</v>
      </c>
      <c r="O531" s="100">
        <v>0</v>
      </c>
      <c r="P531" s="98">
        <v>0</v>
      </c>
      <c r="Q531" s="101">
        <f t="shared" si="483"/>
        <v>0</v>
      </c>
      <c r="R531" s="100">
        <v>0</v>
      </c>
      <c r="S531" s="98">
        <v>0</v>
      </c>
      <c r="T531" s="101">
        <f t="shared" si="484"/>
        <v>0</v>
      </c>
      <c r="U531" s="183">
        <v>1</v>
      </c>
      <c r="V531" s="99">
        <v>1</v>
      </c>
      <c r="W531" s="98">
        <v>0</v>
      </c>
      <c r="X531" s="98">
        <v>0</v>
      </c>
      <c r="Y531" s="101">
        <f t="shared" si="487"/>
        <v>0</v>
      </c>
      <c r="Z531" s="101">
        <v>1</v>
      </c>
      <c r="AA531" s="183">
        <v>0</v>
      </c>
      <c r="AB531" s="99">
        <v>1</v>
      </c>
      <c r="AC531" s="98">
        <v>0</v>
      </c>
      <c r="AD531" s="98">
        <v>0</v>
      </c>
      <c r="AE531" s="101">
        <f t="shared" si="485"/>
        <v>0</v>
      </c>
      <c r="AF531" s="100">
        <v>0</v>
      </c>
      <c r="AG531" s="98">
        <v>0</v>
      </c>
      <c r="AH531" s="99">
        <f t="shared" si="486"/>
        <v>0</v>
      </c>
      <c r="AI531" s="101">
        <v>1</v>
      </c>
      <c r="AJ531" s="106"/>
    </row>
    <row r="532" spans="2:36" s="126" customFormat="1" ht="17.100000000000001" customHeight="1">
      <c r="B532" s="118"/>
      <c r="C532" s="119"/>
      <c r="D532" s="120"/>
      <c r="E532" s="121"/>
      <c r="F532" s="122"/>
      <c r="G532" s="123"/>
      <c r="H532" s="183">
        <v>1</v>
      </c>
      <c r="I532" s="363" t="s">
        <v>201</v>
      </c>
      <c r="J532" s="363"/>
      <c r="K532" s="124">
        <f>SUM(K525:K531)</f>
        <v>0</v>
      </c>
      <c r="L532" s="341" t="s">
        <v>201</v>
      </c>
      <c r="M532" s="342"/>
      <c r="N532" s="124">
        <f>SUM(N525:N531)</f>
        <v>0</v>
      </c>
      <c r="O532" s="341" t="s">
        <v>201</v>
      </c>
      <c r="P532" s="342"/>
      <c r="Q532" s="124">
        <f>SUM(Q525:Q531)</f>
        <v>0</v>
      </c>
      <c r="R532" s="341" t="s">
        <v>201</v>
      </c>
      <c r="S532" s="342"/>
      <c r="T532" s="124">
        <f>SUM(T525:T531)</f>
        <v>0</v>
      </c>
      <c r="U532" s="183">
        <v>1</v>
      </c>
      <c r="V532" s="99">
        <v>1</v>
      </c>
      <c r="W532" s="363" t="s">
        <v>201</v>
      </c>
      <c r="X532" s="363"/>
      <c r="Y532" s="124">
        <f>SUM(Y525:Y531)</f>
        <v>250</v>
      </c>
      <c r="Z532" s="101">
        <v>1</v>
      </c>
      <c r="AA532" s="183">
        <v>0</v>
      </c>
      <c r="AB532" s="99">
        <v>1</v>
      </c>
      <c r="AC532" s="363" t="s">
        <v>201</v>
      </c>
      <c r="AD532" s="363"/>
      <c r="AE532" s="124">
        <f>SUM(AE525:AE531)</f>
        <v>0</v>
      </c>
      <c r="AF532" s="364" t="s">
        <v>201</v>
      </c>
      <c r="AG532" s="363"/>
      <c r="AH532" s="143">
        <f>SUM(AH525:AH531)</f>
        <v>0</v>
      </c>
      <c r="AI532" s="101">
        <v>1</v>
      </c>
      <c r="AJ532" s="125"/>
    </row>
    <row r="533" spans="2:36" s="35" customFormat="1" ht="16.95" customHeight="1">
      <c r="B533" s="105"/>
      <c r="C533" s="54">
        <f>'3. Rekap Back Up Non Aspal '!C87</f>
        <v>10400</v>
      </c>
      <c r="D533" s="96">
        <f>'3. Rekap Back Up Non Aspal '!D87</f>
        <v>10500</v>
      </c>
      <c r="E533" s="111">
        <f>'3. Rekap Back Up Non Aspal '!E87</f>
        <v>3</v>
      </c>
      <c r="F533" s="112">
        <f>(100/((D533-C533)*E533))*((K540*0.05)+(N540*0.05)+(Q540*0.05)+(T540)+(Y540)+(AE540*1.5)+(AH540*1))</f>
        <v>83.333333333333329</v>
      </c>
      <c r="G533" s="113" t="str">
        <f>IF(F533&lt;=25,"RB",IF(F533&lt;=75,"RB",IF(F533&lt;=100,"RB","RB")))</f>
        <v>RB</v>
      </c>
      <c r="H533" s="183">
        <v>1</v>
      </c>
      <c r="I533" s="98">
        <v>0</v>
      </c>
      <c r="J533" s="98">
        <v>0</v>
      </c>
      <c r="K533" s="101">
        <f t="shared" ref="K533:K539" si="488">I533*J533</f>
        <v>0</v>
      </c>
      <c r="L533" s="98">
        <v>0</v>
      </c>
      <c r="M533" s="98">
        <v>0</v>
      </c>
      <c r="N533" s="101">
        <f t="shared" ref="N533:N539" si="489">L533*M533</f>
        <v>0</v>
      </c>
      <c r="O533" s="98">
        <v>0</v>
      </c>
      <c r="P533" s="98">
        <v>0</v>
      </c>
      <c r="Q533" s="101">
        <f t="shared" ref="Q533:Q539" si="490">O533*P533</f>
        <v>0</v>
      </c>
      <c r="R533" s="98">
        <v>0</v>
      </c>
      <c r="S533" s="98">
        <v>0</v>
      </c>
      <c r="T533" s="101">
        <f t="shared" ref="T533:T539" si="491">R533*S533</f>
        <v>0</v>
      </c>
      <c r="U533" s="183">
        <v>3</v>
      </c>
      <c r="V533" s="99">
        <v>2</v>
      </c>
      <c r="W533" s="98">
        <v>100</v>
      </c>
      <c r="X533" s="187">
        <v>2.5</v>
      </c>
      <c r="Y533" s="101">
        <f>W533*X533</f>
        <v>250</v>
      </c>
      <c r="Z533" s="101">
        <v>1</v>
      </c>
      <c r="AA533" s="183">
        <v>0</v>
      </c>
      <c r="AB533" s="99">
        <v>1</v>
      </c>
      <c r="AC533" s="98">
        <v>0</v>
      </c>
      <c r="AD533" s="98">
        <v>0</v>
      </c>
      <c r="AE533" s="101">
        <f t="shared" ref="AE533:AE539" si="492">AC533*AD533</f>
        <v>0</v>
      </c>
      <c r="AF533" s="98">
        <v>0</v>
      </c>
      <c r="AG533" s="98">
        <v>3</v>
      </c>
      <c r="AH533" s="99">
        <f t="shared" ref="AH533:AH539" si="493">AF533*AG533</f>
        <v>0</v>
      </c>
      <c r="AI533" s="101">
        <v>1</v>
      </c>
      <c r="AJ533" s="106"/>
    </row>
    <row r="534" spans="2:36" s="35" customFormat="1" ht="17.100000000000001" customHeight="1">
      <c r="B534" s="105"/>
      <c r="C534" s="54"/>
      <c r="D534" s="96"/>
      <c r="E534" s="111"/>
      <c r="F534" s="112"/>
      <c r="G534" s="113"/>
      <c r="H534" s="183">
        <v>1</v>
      </c>
      <c r="I534" s="98">
        <v>0</v>
      </c>
      <c r="J534" s="98">
        <v>0</v>
      </c>
      <c r="K534" s="101">
        <f t="shared" si="488"/>
        <v>0</v>
      </c>
      <c r="L534" s="100">
        <v>0</v>
      </c>
      <c r="M534" s="98">
        <v>0</v>
      </c>
      <c r="N534" s="101">
        <f t="shared" si="489"/>
        <v>0</v>
      </c>
      <c r="O534" s="100">
        <v>0</v>
      </c>
      <c r="P534" s="98">
        <v>0</v>
      </c>
      <c r="Q534" s="101">
        <f t="shared" si="490"/>
        <v>0</v>
      </c>
      <c r="R534" s="100">
        <v>0</v>
      </c>
      <c r="S534" s="98">
        <v>0</v>
      </c>
      <c r="T534" s="101">
        <f t="shared" si="491"/>
        <v>0</v>
      </c>
      <c r="U534" s="183">
        <v>1</v>
      </c>
      <c r="V534" s="99">
        <v>1</v>
      </c>
      <c r="W534" s="98">
        <v>0</v>
      </c>
      <c r="X534" s="98">
        <v>0</v>
      </c>
      <c r="Y534" s="101">
        <f t="shared" ref="Y534:Y539" si="494">W534*X534</f>
        <v>0</v>
      </c>
      <c r="Z534" s="101">
        <v>1</v>
      </c>
      <c r="AA534" s="183">
        <v>0</v>
      </c>
      <c r="AB534" s="99">
        <v>1</v>
      </c>
      <c r="AC534" s="98">
        <v>0</v>
      </c>
      <c r="AD534" s="98">
        <v>0</v>
      </c>
      <c r="AE534" s="101">
        <f t="shared" si="492"/>
        <v>0</v>
      </c>
      <c r="AF534" s="100">
        <v>0</v>
      </c>
      <c r="AG534" s="98">
        <v>0</v>
      </c>
      <c r="AH534" s="99">
        <f t="shared" si="493"/>
        <v>0</v>
      </c>
      <c r="AI534" s="101">
        <v>1</v>
      </c>
      <c r="AJ534" s="106"/>
    </row>
    <row r="535" spans="2:36" s="35" customFormat="1" ht="17.100000000000001" customHeight="1">
      <c r="B535" s="105"/>
      <c r="C535" s="54"/>
      <c r="D535" s="96"/>
      <c r="E535" s="111"/>
      <c r="F535" s="112"/>
      <c r="G535" s="113"/>
      <c r="H535" s="183">
        <v>1</v>
      </c>
      <c r="I535" s="98">
        <v>0</v>
      </c>
      <c r="J535" s="98">
        <v>0</v>
      </c>
      <c r="K535" s="101">
        <f t="shared" si="488"/>
        <v>0</v>
      </c>
      <c r="L535" s="100">
        <v>0</v>
      </c>
      <c r="M535" s="98">
        <v>0</v>
      </c>
      <c r="N535" s="101">
        <f t="shared" si="489"/>
        <v>0</v>
      </c>
      <c r="O535" s="100">
        <v>0</v>
      </c>
      <c r="P535" s="98">
        <v>0</v>
      </c>
      <c r="Q535" s="101">
        <f t="shared" si="490"/>
        <v>0</v>
      </c>
      <c r="R535" s="100">
        <v>0</v>
      </c>
      <c r="S535" s="98">
        <v>0</v>
      </c>
      <c r="T535" s="101">
        <f t="shared" si="491"/>
        <v>0</v>
      </c>
      <c r="U535" s="183">
        <v>1</v>
      </c>
      <c r="V535" s="99">
        <v>1</v>
      </c>
      <c r="W535" s="98">
        <v>0</v>
      </c>
      <c r="X535" s="98">
        <v>0</v>
      </c>
      <c r="Y535" s="101">
        <f t="shared" si="494"/>
        <v>0</v>
      </c>
      <c r="Z535" s="101">
        <v>1</v>
      </c>
      <c r="AA535" s="183">
        <v>0</v>
      </c>
      <c r="AB535" s="99">
        <v>1</v>
      </c>
      <c r="AC535" s="98">
        <v>0</v>
      </c>
      <c r="AD535" s="98">
        <v>0</v>
      </c>
      <c r="AE535" s="101">
        <f t="shared" si="492"/>
        <v>0</v>
      </c>
      <c r="AF535" s="100">
        <v>0</v>
      </c>
      <c r="AG535" s="98">
        <v>0</v>
      </c>
      <c r="AH535" s="99">
        <f t="shared" si="493"/>
        <v>0</v>
      </c>
      <c r="AI535" s="101">
        <v>1</v>
      </c>
      <c r="AJ535" s="106"/>
    </row>
    <row r="536" spans="2:36" s="35" customFormat="1" ht="17.100000000000001" customHeight="1">
      <c r="B536" s="105"/>
      <c r="C536" s="54"/>
      <c r="D536" s="96"/>
      <c r="E536" s="111"/>
      <c r="F536" s="112"/>
      <c r="G536" s="113"/>
      <c r="H536" s="183">
        <v>1</v>
      </c>
      <c r="I536" s="98">
        <v>0</v>
      </c>
      <c r="J536" s="98">
        <v>0</v>
      </c>
      <c r="K536" s="101">
        <f t="shared" si="488"/>
        <v>0</v>
      </c>
      <c r="L536" s="100">
        <v>0</v>
      </c>
      <c r="M536" s="98">
        <v>0</v>
      </c>
      <c r="N536" s="101">
        <f t="shared" si="489"/>
        <v>0</v>
      </c>
      <c r="O536" s="100">
        <v>0</v>
      </c>
      <c r="P536" s="98">
        <v>0</v>
      </c>
      <c r="Q536" s="101">
        <f t="shared" si="490"/>
        <v>0</v>
      </c>
      <c r="R536" s="100">
        <v>0</v>
      </c>
      <c r="S536" s="98">
        <v>0</v>
      </c>
      <c r="T536" s="101">
        <f t="shared" si="491"/>
        <v>0</v>
      </c>
      <c r="U536" s="183">
        <v>1</v>
      </c>
      <c r="V536" s="99">
        <v>1</v>
      </c>
      <c r="W536" s="98">
        <v>0</v>
      </c>
      <c r="X536" s="98">
        <v>0</v>
      </c>
      <c r="Y536" s="101">
        <f t="shared" si="494"/>
        <v>0</v>
      </c>
      <c r="Z536" s="101">
        <v>1</v>
      </c>
      <c r="AA536" s="183">
        <v>0</v>
      </c>
      <c r="AB536" s="99">
        <v>1</v>
      </c>
      <c r="AC536" s="98">
        <v>0</v>
      </c>
      <c r="AD536" s="98">
        <v>0</v>
      </c>
      <c r="AE536" s="101">
        <f t="shared" si="492"/>
        <v>0</v>
      </c>
      <c r="AF536" s="100">
        <v>0</v>
      </c>
      <c r="AG536" s="98">
        <v>0</v>
      </c>
      <c r="AH536" s="99">
        <f t="shared" si="493"/>
        <v>0</v>
      </c>
      <c r="AI536" s="101">
        <v>1</v>
      </c>
      <c r="AJ536" s="106"/>
    </row>
    <row r="537" spans="2:36" s="35" customFormat="1" ht="17.100000000000001" customHeight="1">
      <c r="B537" s="105"/>
      <c r="C537" s="54"/>
      <c r="D537" s="96"/>
      <c r="E537" s="111"/>
      <c r="F537" s="112"/>
      <c r="G537" s="113"/>
      <c r="H537" s="183">
        <v>1</v>
      </c>
      <c r="I537" s="98">
        <v>0</v>
      </c>
      <c r="J537" s="98">
        <v>0</v>
      </c>
      <c r="K537" s="101">
        <f t="shared" si="488"/>
        <v>0</v>
      </c>
      <c r="L537" s="100">
        <v>0</v>
      </c>
      <c r="M537" s="98">
        <v>0</v>
      </c>
      <c r="N537" s="101">
        <f t="shared" si="489"/>
        <v>0</v>
      </c>
      <c r="O537" s="100">
        <v>0</v>
      </c>
      <c r="P537" s="98">
        <v>0</v>
      </c>
      <c r="Q537" s="101">
        <f t="shared" si="490"/>
        <v>0</v>
      </c>
      <c r="R537" s="100">
        <v>0</v>
      </c>
      <c r="S537" s="98">
        <v>0</v>
      </c>
      <c r="T537" s="101">
        <f t="shared" si="491"/>
        <v>0</v>
      </c>
      <c r="U537" s="183">
        <v>1</v>
      </c>
      <c r="V537" s="99">
        <v>1</v>
      </c>
      <c r="W537" s="98">
        <v>0</v>
      </c>
      <c r="X537" s="98">
        <v>0</v>
      </c>
      <c r="Y537" s="101">
        <f t="shared" si="494"/>
        <v>0</v>
      </c>
      <c r="Z537" s="101">
        <v>1</v>
      </c>
      <c r="AA537" s="183">
        <v>0</v>
      </c>
      <c r="AB537" s="99">
        <v>1</v>
      </c>
      <c r="AC537" s="98">
        <v>0</v>
      </c>
      <c r="AD537" s="98">
        <v>0</v>
      </c>
      <c r="AE537" s="101">
        <f t="shared" si="492"/>
        <v>0</v>
      </c>
      <c r="AF537" s="100">
        <v>0</v>
      </c>
      <c r="AG537" s="98">
        <v>0</v>
      </c>
      <c r="AH537" s="99">
        <f t="shared" si="493"/>
        <v>0</v>
      </c>
      <c r="AI537" s="101">
        <v>1</v>
      </c>
      <c r="AJ537" s="106"/>
    </row>
    <row r="538" spans="2:36" s="35" customFormat="1" ht="17.100000000000001" customHeight="1">
      <c r="B538" s="105"/>
      <c r="C538" s="54"/>
      <c r="D538" s="96"/>
      <c r="E538" s="111"/>
      <c r="F538" s="112"/>
      <c r="G538" s="113"/>
      <c r="H538" s="183">
        <v>1</v>
      </c>
      <c r="I538" s="98">
        <v>0</v>
      </c>
      <c r="J538" s="98">
        <v>0</v>
      </c>
      <c r="K538" s="101">
        <f t="shared" si="488"/>
        <v>0</v>
      </c>
      <c r="L538" s="100">
        <v>0</v>
      </c>
      <c r="M538" s="98">
        <v>0</v>
      </c>
      <c r="N538" s="101">
        <f t="shared" si="489"/>
        <v>0</v>
      </c>
      <c r="O538" s="100">
        <v>0</v>
      </c>
      <c r="P538" s="98">
        <v>0</v>
      </c>
      <c r="Q538" s="101">
        <f t="shared" si="490"/>
        <v>0</v>
      </c>
      <c r="R538" s="100">
        <v>0</v>
      </c>
      <c r="S538" s="98">
        <v>0</v>
      </c>
      <c r="T538" s="101">
        <f t="shared" si="491"/>
        <v>0</v>
      </c>
      <c r="U538" s="183">
        <v>1</v>
      </c>
      <c r="V538" s="99">
        <v>1</v>
      </c>
      <c r="W538" s="98">
        <v>0</v>
      </c>
      <c r="X538" s="98">
        <v>0</v>
      </c>
      <c r="Y538" s="101">
        <f t="shared" si="494"/>
        <v>0</v>
      </c>
      <c r="Z538" s="101">
        <v>1</v>
      </c>
      <c r="AA538" s="183">
        <v>0</v>
      </c>
      <c r="AB538" s="99">
        <v>1</v>
      </c>
      <c r="AC538" s="98">
        <v>0</v>
      </c>
      <c r="AD538" s="98">
        <v>0</v>
      </c>
      <c r="AE538" s="101">
        <f t="shared" si="492"/>
        <v>0</v>
      </c>
      <c r="AF538" s="100">
        <v>0</v>
      </c>
      <c r="AG538" s="98">
        <v>0</v>
      </c>
      <c r="AH538" s="99">
        <f t="shared" si="493"/>
        <v>0</v>
      </c>
      <c r="AI538" s="101">
        <v>1</v>
      </c>
      <c r="AJ538" s="106"/>
    </row>
    <row r="539" spans="2:36" s="35" customFormat="1" ht="17.100000000000001" customHeight="1">
      <c r="B539" s="105"/>
      <c r="C539" s="54"/>
      <c r="D539" s="96"/>
      <c r="E539" s="111"/>
      <c r="F539" s="112"/>
      <c r="G539" s="113"/>
      <c r="H539" s="183">
        <v>1</v>
      </c>
      <c r="I539" s="98">
        <v>0</v>
      </c>
      <c r="J539" s="98">
        <v>0</v>
      </c>
      <c r="K539" s="101">
        <f t="shared" si="488"/>
        <v>0</v>
      </c>
      <c r="L539" s="100">
        <v>0</v>
      </c>
      <c r="M539" s="98">
        <v>0</v>
      </c>
      <c r="N539" s="101">
        <f t="shared" si="489"/>
        <v>0</v>
      </c>
      <c r="O539" s="100">
        <v>0</v>
      </c>
      <c r="P539" s="98">
        <v>0</v>
      </c>
      <c r="Q539" s="101">
        <f t="shared" si="490"/>
        <v>0</v>
      </c>
      <c r="R539" s="100">
        <v>0</v>
      </c>
      <c r="S539" s="98">
        <v>0</v>
      </c>
      <c r="T539" s="101">
        <f t="shared" si="491"/>
        <v>0</v>
      </c>
      <c r="U539" s="183">
        <v>1</v>
      </c>
      <c r="V539" s="99">
        <v>1</v>
      </c>
      <c r="W539" s="98">
        <v>0</v>
      </c>
      <c r="X539" s="98">
        <v>0</v>
      </c>
      <c r="Y539" s="101">
        <f t="shared" si="494"/>
        <v>0</v>
      </c>
      <c r="Z539" s="101">
        <v>1</v>
      </c>
      <c r="AA539" s="183">
        <v>0</v>
      </c>
      <c r="AB539" s="99">
        <v>1</v>
      </c>
      <c r="AC539" s="98">
        <v>0</v>
      </c>
      <c r="AD539" s="98">
        <v>0</v>
      </c>
      <c r="AE539" s="101">
        <f t="shared" si="492"/>
        <v>0</v>
      </c>
      <c r="AF539" s="100">
        <v>0</v>
      </c>
      <c r="AG539" s="98">
        <v>0</v>
      </c>
      <c r="AH539" s="99">
        <f t="shared" si="493"/>
        <v>0</v>
      </c>
      <c r="AI539" s="101">
        <v>1</v>
      </c>
      <c r="AJ539" s="106"/>
    </row>
    <row r="540" spans="2:36" s="126" customFormat="1" ht="17.100000000000001" customHeight="1">
      <c r="B540" s="118"/>
      <c r="C540" s="119"/>
      <c r="D540" s="120"/>
      <c r="E540" s="121"/>
      <c r="F540" s="122"/>
      <c r="G540" s="123"/>
      <c r="H540" s="183">
        <v>1</v>
      </c>
      <c r="I540" s="363" t="s">
        <v>201</v>
      </c>
      <c r="J540" s="363"/>
      <c r="K540" s="124">
        <f>SUM(K533:K539)</f>
        <v>0</v>
      </c>
      <c r="L540" s="341" t="s">
        <v>201</v>
      </c>
      <c r="M540" s="342"/>
      <c r="N540" s="124">
        <f>SUM(N533:N539)</f>
        <v>0</v>
      </c>
      <c r="O540" s="341" t="s">
        <v>201</v>
      </c>
      <c r="P540" s="342"/>
      <c r="Q540" s="124">
        <f>SUM(Q533:Q539)</f>
        <v>0</v>
      </c>
      <c r="R540" s="341" t="s">
        <v>201</v>
      </c>
      <c r="S540" s="342"/>
      <c r="T540" s="124">
        <f>SUM(T533:T539)</f>
        <v>0</v>
      </c>
      <c r="U540" s="183">
        <v>1</v>
      </c>
      <c r="V540" s="99">
        <v>1</v>
      </c>
      <c r="W540" s="363" t="s">
        <v>201</v>
      </c>
      <c r="X540" s="363"/>
      <c r="Y540" s="124">
        <f>SUM(Y533:Y539)</f>
        <v>250</v>
      </c>
      <c r="Z540" s="101">
        <v>1</v>
      </c>
      <c r="AA540" s="183">
        <v>0</v>
      </c>
      <c r="AB540" s="99">
        <v>1</v>
      </c>
      <c r="AC540" s="363" t="s">
        <v>201</v>
      </c>
      <c r="AD540" s="363"/>
      <c r="AE540" s="124">
        <f>SUM(AE533:AE539)</f>
        <v>0</v>
      </c>
      <c r="AF540" s="364" t="s">
        <v>201</v>
      </c>
      <c r="AG540" s="363"/>
      <c r="AH540" s="143">
        <f>SUM(AH533:AH539)</f>
        <v>0</v>
      </c>
      <c r="AI540" s="101">
        <v>1</v>
      </c>
      <c r="AJ540" s="125"/>
    </row>
    <row r="541" spans="2:36" s="35" customFormat="1" ht="16.95" customHeight="1">
      <c r="B541" s="105"/>
      <c r="C541" s="54">
        <f>'3. Rekap Back Up Non Aspal '!C88</f>
        <v>10500</v>
      </c>
      <c r="D541" s="96">
        <f>'3. Rekap Back Up Non Aspal '!D88</f>
        <v>10600</v>
      </c>
      <c r="E541" s="111">
        <f>'3. Rekap Back Up Non Aspal '!E88</f>
        <v>3</v>
      </c>
      <c r="F541" s="112">
        <f>(100/((D541-C541)*E541))*((K548*0.05)+(N548*0.05)+(Q548*0.05)+(T548)+(Y548)+(AE548*1.5)+(AH548*1))</f>
        <v>66.666666666666657</v>
      </c>
      <c r="G541" s="113" t="str">
        <f>IF(F541&lt;=25,"RB",IF(F541&lt;=75,"RB",IF(F541&lt;=100,"RB","RB")))</f>
        <v>RB</v>
      </c>
      <c r="H541" s="183">
        <v>1</v>
      </c>
      <c r="I541" s="98">
        <v>0</v>
      </c>
      <c r="J541" s="98">
        <v>0</v>
      </c>
      <c r="K541" s="101">
        <f t="shared" ref="K541:K547" si="495">I541*J541</f>
        <v>0</v>
      </c>
      <c r="L541" s="98">
        <v>0</v>
      </c>
      <c r="M541" s="98">
        <v>0</v>
      </c>
      <c r="N541" s="101">
        <f t="shared" ref="N541:N547" si="496">L541*M541</f>
        <v>0</v>
      </c>
      <c r="O541" s="98">
        <v>0</v>
      </c>
      <c r="P541" s="98">
        <v>0</v>
      </c>
      <c r="Q541" s="101">
        <f t="shared" ref="Q541:Q547" si="497">O541*P541</f>
        <v>0</v>
      </c>
      <c r="R541" s="98">
        <v>0</v>
      </c>
      <c r="S541" s="98">
        <v>0</v>
      </c>
      <c r="T541" s="101">
        <f t="shared" ref="T541:T547" si="498">R541*S541</f>
        <v>0</v>
      </c>
      <c r="U541" s="183">
        <v>2</v>
      </c>
      <c r="V541" s="99">
        <v>2</v>
      </c>
      <c r="W541" s="98">
        <v>100</v>
      </c>
      <c r="X541" s="98">
        <v>2</v>
      </c>
      <c r="Y541" s="101">
        <f>W541*X541</f>
        <v>200</v>
      </c>
      <c r="Z541" s="101">
        <v>1</v>
      </c>
      <c r="AA541" s="183">
        <v>0</v>
      </c>
      <c r="AB541" s="99">
        <v>1</v>
      </c>
      <c r="AC541" s="98">
        <v>0</v>
      </c>
      <c r="AD541" s="98">
        <v>0</v>
      </c>
      <c r="AE541" s="101">
        <f t="shared" ref="AE541:AE547" si="499">AC541*AD541</f>
        <v>0</v>
      </c>
      <c r="AF541" s="98">
        <v>0</v>
      </c>
      <c r="AG541" s="98">
        <v>3</v>
      </c>
      <c r="AH541" s="99">
        <f t="shared" ref="AH541:AH547" si="500">AF541*AG541</f>
        <v>0</v>
      </c>
      <c r="AI541" s="101">
        <v>1</v>
      </c>
      <c r="AJ541" s="106"/>
    </row>
    <row r="542" spans="2:36" s="35" customFormat="1" ht="17.100000000000001" customHeight="1">
      <c r="B542" s="105"/>
      <c r="C542" s="54"/>
      <c r="D542" s="96"/>
      <c r="E542" s="111"/>
      <c r="F542" s="112"/>
      <c r="G542" s="113"/>
      <c r="H542" s="183">
        <v>1</v>
      </c>
      <c r="I542" s="98">
        <v>0</v>
      </c>
      <c r="J542" s="98">
        <v>0</v>
      </c>
      <c r="K542" s="101">
        <f t="shared" si="495"/>
        <v>0</v>
      </c>
      <c r="L542" s="100">
        <v>0</v>
      </c>
      <c r="M542" s="98">
        <v>0</v>
      </c>
      <c r="N542" s="101">
        <f t="shared" si="496"/>
        <v>0</v>
      </c>
      <c r="O542" s="100">
        <v>0</v>
      </c>
      <c r="P542" s="98">
        <v>0</v>
      </c>
      <c r="Q542" s="101">
        <f t="shared" si="497"/>
        <v>0</v>
      </c>
      <c r="R542" s="100">
        <v>0</v>
      </c>
      <c r="S542" s="98">
        <v>0</v>
      </c>
      <c r="T542" s="101">
        <f t="shared" si="498"/>
        <v>0</v>
      </c>
      <c r="U542" s="183">
        <v>1</v>
      </c>
      <c r="V542" s="99">
        <v>1</v>
      </c>
      <c r="W542" s="98">
        <v>0</v>
      </c>
      <c r="X542" s="98">
        <v>0</v>
      </c>
      <c r="Y542" s="101">
        <f t="shared" ref="Y542:Y547" si="501">W542*X542</f>
        <v>0</v>
      </c>
      <c r="Z542" s="101">
        <v>1</v>
      </c>
      <c r="AA542" s="183">
        <v>0</v>
      </c>
      <c r="AB542" s="99">
        <v>1</v>
      </c>
      <c r="AC542" s="98">
        <v>0</v>
      </c>
      <c r="AD542" s="98">
        <v>0</v>
      </c>
      <c r="AE542" s="101">
        <f t="shared" si="499"/>
        <v>0</v>
      </c>
      <c r="AF542" s="100">
        <v>0</v>
      </c>
      <c r="AG542" s="98">
        <v>0</v>
      </c>
      <c r="AH542" s="99">
        <f t="shared" si="500"/>
        <v>0</v>
      </c>
      <c r="AI542" s="101">
        <v>1</v>
      </c>
      <c r="AJ542" s="106"/>
    </row>
    <row r="543" spans="2:36" s="35" customFormat="1" ht="17.100000000000001" customHeight="1">
      <c r="B543" s="105"/>
      <c r="C543" s="54"/>
      <c r="D543" s="96"/>
      <c r="E543" s="111"/>
      <c r="F543" s="112"/>
      <c r="G543" s="113"/>
      <c r="H543" s="183">
        <v>1</v>
      </c>
      <c r="I543" s="98">
        <v>0</v>
      </c>
      <c r="J543" s="98">
        <v>0</v>
      </c>
      <c r="K543" s="101">
        <f t="shared" si="495"/>
        <v>0</v>
      </c>
      <c r="L543" s="100">
        <v>0</v>
      </c>
      <c r="M543" s="98">
        <v>0</v>
      </c>
      <c r="N543" s="101">
        <f t="shared" si="496"/>
        <v>0</v>
      </c>
      <c r="O543" s="100">
        <v>0</v>
      </c>
      <c r="P543" s="98">
        <v>0</v>
      </c>
      <c r="Q543" s="101">
        <f t="shared" si="497"/>
        <v>0</v>
      </c>
      <c r="R543" s="100">
        <v>0</v>
      </c>
      <c r="S543" s="98">
        <v>0</v>
      </c>
      <c r="T543" s="101">
        <f t="shared" si="498"/>
        <v>0</v>
      </c>
      <c r="U543" s="183">
        <v>1</v>
      </c>
      <c r="V543" s="99">
        <v>1</v>
      </c>
      <c r="W543" s="98">
        <v>0</v>
      </c>
      <c r="X543" s="98">
        <v>0</v>
      </c>
      <c r="Y543" s="101">
        <f t="shared" si="501"/>
        <v>0</v>
      </c>
      <c r="Z543" s="101">
        <v>1</v>
      </c>
      <c r="AA543" s="183">
        <v>0</v>
      </c>
      <c r="AB543" s="99">
        <v>1</v>
      </c>
      <c r="AC543" s="98">
        <v>0</v>
      </c>
      <c r="AD543" s="98">
        <v>0</v>
      </c>
      <c r="AE543" s="101">
        <f t="shared" si="499"/>
        <v>0</v>
      </c>
      <c r="AF543" s="100">
        <v>0</v>
      </c>
      <c r="AG543" s="98">
        <v>0</v>
      </c>
      <c r="AH543" s="99">
        <f t="shared" si="500"/>
        <v>0</v>
      </c>
      <c r="AI543" s="101">
        <v>1</v>
      </c>
      <c r="AJ543" s="106"/>
    </row>
    <row r="544" spans="2:36" s="35" customFormat="1" ht="17.100000000000001" customHeight="1">
      <c r="B544" s="105"/>
      <c r="C544" s="54"/>
      <c r="D544" s="96"/>
      <c r="E544" s="111"/>
      <c r="F544" s="112"/>
      <c r="G544" s="113"/>
      <c r="H544" s="183">
        <v>1</v>
      </c>
      <c r="I544" s="98">
        <v>0</v>
      </c>
      <c r="J544" s="98">
        <v>0</v>
      </c>
      <c r="K544" s="101">
        <f t="shared" si="495"/>
        <v>0</v>
      </c>
      <c r="L544" s="100">
        <v>0</v>
      </c>
      <c r="M544" s="98">
        <v>0</v>
      </c>
      <c r="N544" s="101">
        <f t="shared" si="496"/>
        <v>0</v>
      </c>
      <c r="O544" s="100">
        <v>0</v>
      </c>
      <c r="P544" s="98">
        <v>0</v>
      </c>
      <c r="Q544" s="101">
        <f t="shared" si="497"/>
        <v>0</v>
      </c>
      <c r="R544" s="100">
        <v>0</v>
      </c>
      <c r="S544" s="98">
        <v>0</v>
      </c>
      <c r="T544" s="101">
        <f t="shared" si="498"/>
        <v>0</v>
      </c>
      <c r="U544" s="183">
        <v>1</v>
      </c>
      <c r="V544" s="99">
        <v>1</v>
      </c>
      <c r="W544" s="98">
        <v>0</v>
      </c>
      <c r="X544" s="98">
        <v>0</v>
      </c>
      <c r="Y544" s="101">
        <f t="shared" si="501"/>
        <v>0</v>
      </c>
      <c r="Z544" s="101">
        <v>1</v>
      </c>
      <c r="AA544" s="183">
        <v>0</v>
      </c>
      <c r="AB544" s="99">
        <v>1</v>
      </c>
      <c r="AC544" s="98">
        <v>0</v>
      </c>
      <c r="AD544" s="98">
        <v>0</v>
      </c>
      <c r="AE544" s="101">
        <f t="shared" si="499"/>
        <v>0</v>
      </c>
      <c r="AF544" s="100">
        <v>0</v>
      </c>
      <c r="AG544" s="98">
        <v>0</v>
      </c>
      <c r="AH544" s="99">
        <f t="shared" si="500"/>
        <v>0</v>
      </c>
      <c r="AI544" s="101">
        <v>1</v>
      </c>
      <c r="AJ544" s="106"/>
    </row>
    <row r="545" spans="2:36" s="35" customFormat="1" ht="17.100000000000001" customHeight="1">
      <c r="B545" s="105"/>
      <c r="C545" s="54"/>
      <c r="D545" s="96"/>
      <c r="E545" s="111"/>
      <c r="F545" s="112"/>
      <c r="G545" s="113"/>
      <c r="H545" s="183">
        <v>1</v>
      </c>
      <c r="I545" s="98">
        <v>0</v>
      </c>
      <c r="J545" s="98">
        <v>0</v>
      </c>
      <c r="K545" s="101">
        <f t="shared" si="495"/>
        <v>0</v>
      </c>
      <c r="L545" s="100">
        <v>0</v>
      </c>
      <c r="M545" s="98">
        <v>0</v>
      </c>
      <c r="N545" s="101">
        <f t="shared" si="496"/>
        <v>0</v>
      </c>
      <c r="O545" s="100">
        <v>0</v>
      </c>
      <c r="P545" s="98">
        <v>0</v>
      </c>
      <c r="Q545" s="101">
        <f t="shared" si="497"/>
        <v>0</v>
      </c>
      <c r="R545" s="100">
        <v>0</v>
      </c>
      <c r="S545" s="98">
        <v>0</v>
      </c>
      <c r="T545" s="101">
        <f t="shared" si="498"/>
        <v>0</v>
      </c>
      <c r="U545" s="183">
        <v>1</v>
      </c>
      <c r="V545" s="99">
        <v>1</v>
      </c>
      <c r="W545" s="98">
        <v>0</v>
      </c>
      <c r="X545" s="98">
        <v>0</v>
      </c>
      <c r="Y545" s="101">
        <f t="shared" si="501"/>
        <v>0</v>
      </c>
      <c r="Z545" s="101">
        <v>1</v>
      </c>
      <c r="AA545" s="183">
        <v>0</v>
      </c>
      <c r="AB545" s="99">
        <v>1</v>
      </c>
      <c r="AC545" s="98">
        <v>0</v>
      </c>
      <c r="AD545" s="98">
        <v>0</v>
      </c>
      <c r="AE545" s="101">
        <f t="shared" si="499"/>
        <v>0</v>
      </c>
      <c r="AF545" s="100">
        <v>0</v>
      </c>
      <c r="AG545" s="98">
        <v>0</v>
      </c>
      <c r="AH545" s="99">
        <f t="shared" si="500"/>
        <v>0</v>
      </c>
      <c r="AI545" s="101">
        <v>1</v>
      </c>
      <c r="AJ545" s="106"/>
    </row>
    <row r="546" spans="2:36" s="35" customFormat="1" ht="17.100000000000001" customHeight="1">
      <c r="B546" s="105"/>
      <c r="C546" s="54"/>
      <c r="D546" s="96"/>
      <c r="E546" s="111"/>
      <c r="F546" s="112"/>
      <c r="G546" s="113"/>
      <c r="H546" s="183">
        <v>1</v>
      </c>
      <c r="I546" s="98">
        <v>0</v>
      </c>
      <c r="J546" s="98">
        <v>0</v>
      </c>
      <c r="K546" s="101">
        <f t="shared" si="495"/>
        <v>0</v>
      </c>
      <c r="L546" s="100">
        <v>0</v>
      </c>
      <c r="M546" s="98">
        <v>0</v>
      </c>
      <c r="N546" s="101">
        <f t="shared" si="496"/>
        <v>0</v>
      </c>
      <c r="O546" s="100">
        <v>0</v>
      </c>
      <c r="P546" s="98">
        <v>0</v>
      </c>
      <c r="Q546" s="101">
        <f t="shared" si="497"/>
        <v>0</v>
      </c>
      <c r="R546" s="100">
        <v>0</v>
      </c>
      <c r="S546" s="98">
        <v>0</v>
      </c>
      <c r="T546" s="101">
        <f t="shared" si="498"/>
        <v>0</v>
      </c>
      <c r="U546" s="183">
        <v>1</v>
      </c>
      <c r="V546" s="99">
        <v>1</v>
      </c>
      <c r="W546" s="98">
        <v>0</v>
      </c>
      <c r="X546" s="98">
        <v>0</v>
      </c>
      <c r="Y546" s="101">
        <f t="shared" si="501"/>
        <v>0</v>
      </c>
      <c r="Z546" s="101">
        <v>1</v>
      </c>
      <c r="AA546" s="183">
        <v>0</v>
      </c>
      <c r="AB546" s="99">
        <v>1</v>
      </c>
      <c r="AC546" s="98">
        <v>0</v>
      </c>
      <c r="AD546" s="98">
        <v>0</v>
      </c>
      <c r="AE546" s="101">
        <f t="shared" si="499"/>
        <v>0</v>
      </c>
      <c r="AF546" s="100">
        <v>0</v>
      </c>
      <c r="AG546" s="98">
        <v>0</v>
      </c>
      <c r="AH546" s="99">
        <f t="shared" si="500"/>
        <v>0</v>
      </c>
      <c r="AI546" s="101">
        <v>1</v>
      </c>
      <c r="AJ546" s="106"/>
    </row>
    <row r="547" spans="2:36" s="35" customFormat="1" ht="17.100000000000001" customHeight="1">
      <c r="B547" s="105"/>
      <c r="C547" s="54"/>
      <c r="D547" s="96"/>
      <c r="E547" s="111"/>
      <c r="F547" s="112"/>
      <c r="G547" s="113"/>
      <c r="H547" s="183">
        <v>1</v>
      </c>
      <c r="I547" s="98">
        <v>0</v>
      </c>
      <c r="J547" s="98">
        <v>0</v>
      </c>
      <c r="K547" s="101">
        <f t="shared" si="495"/>
        <v>0</v>
      </c>
      <c r="L547" s="100">
        <v>0</v>
      </c>
      <c r="M547" s="98">
        <v>0</v>
      </c>
      <c r="N547" s="101">
        <f t="shared" si="496"/>
        <v>0</v>
      </c>
      <c r="O547" s="100">
        <v>0</v>
      </c>
      <c r="P547" s="98">
        <v>0</v>
      </c>
      <c r="Q547" s="101">
        <f t="shared" si="497"/>
        <v>0</v>
      </c>
      <c r="R547" s="100">
        <v>0</v>
      </c>
      <c r="S547" s="98">
        <v>0</v>
      </c>
      <c r="T547" s="101">
        <f t="shared" si="498"/>
        <v>0</v>
      </c>
      <c r="U547" s="183">
        <v>1</v>
      </c>
      <c r="V547" s="99">
        <v>1</v>
      </c>
      <c r="W547" s="98">
        <v>0</v>
      </c>
      <c r="X547" s="98">
        <v>0</v>
      </c>
      <c r="Y547" s="101">
        <f t="shared" si="501"/>
        <v>0</v>
      </c>
      <c r="Z547" s="101">
        <v>1</v>
      </c>
      <c r="AA547" s="183">
        <v>0</v>
      </c>
      <c r="AB547" s="99">
        <v>1</v>
      </c>
      <c r="AC547" s="98">
        <v>0</v>
      </c>
      <c r="AD547" s="98">
        <v>0</v>
      </c>
      <c r="AE547" s="101">
        <f t="shared" si="499"/>
        <v>0</v>
      </c>
      <c r="AF547" s="100">
        <v>0</v>
      </c>
      <c r="AG547" s="98">
        <v>0</v>
      </c>
      <c r="AH547" s="99">
        <f t="shared" si="500"/>
        <v>0</v>
      </c>
      <c r="AI547" s="101">
        <v>1</v>
      </c>
      <c r="AJ547" s="106"/>
    </row>
    <row r="548" spans="2:36" s="126" customFormat="1" ht="17.100000000000001" customHeight="1">
      <c r="B548" s="118"/>
      <c r="C548" s="119"/>
      <c r="D548" s="120"/>
      <c r="E548" s="121"/>
      <c r="F548" s="122"/>
      <c r="G548" s="123"/>
      <c r="H548" s="183">
        <v>1</v>
      </c>
      <c r="I548" s="363" t="s">
        <v>201</v>
      </c>
      <c r="J548" s="363"/>
      <c r="K548" s="124">
        <f>SUM(K541:K547)</f>
        <v>0</v>
      </c>
      <c r="L548" s="341" t="s">
        <v>201</v>
      </c>
      <c r="M548" s="342"/>
      <c r="N548" s="124">
        <f>SUM(N541:N547)</f>
        <v>0</v>
      </c>
      <c r="O548" s="341" t="s">
        <v>201</v>
      </c>
      <c r="P548" s="342"/>
      <c r="Q548" s="124">
        <f>SUM(Q541:Q547)</f>
        <v>0</v>
      </c>
      <c r="R548" s="341" t="s">
        <v>201</v>
      </c>
      <c r="S548" s="342"/>
      <c r="T548" s="124">
        <f>SUM(T541:T547)</f>
        <v>0</v>
      </c>
      <c r="U548" s="183">
        <v>1</v>
      </c>
      <c r="V548" s="99">
        <v>1</v>
      </c>
      <c r="W548" s="363" t="s">
        <v>201</v>
      </c>
      <c r="X548" s="363"/>
      <c r="Y548" s="124">
        <f>SUM(Y541:Y547)</f>
        <v>200</v>
      </c>
      <c r="Z548" s="101">
        <v>1</v>
      </c>
      <c r="AA548" s="183">
        <v>0</v>
      </c>
      <c r="AB548" s="99">
        <v>1</v>
      </c>
      <c r="AC548" s="363" t="s">
        <v>201</v>
      </c>
      <c r="AD548" s="363"/>
      <c r="AE548" s="124">
        <f>SUM(AE541:AE547)</f>
        <v>0</v>
      </c>
      <c r="AF548" s="364" t="s">
        <v>201</v>
      </c>
      <c r="AG548" s="363"/>
      <c r="AH548" s="143">
        <f>SUM(AH541:AH547)</f>
        <v>0</v>
      </c>
      <c r="AI548" s="101">
        <v>1</v>
      </c>
      <c r="AJ548" s="125"/>
    </row>
    <row r="549" spans="2:36" s="35" customFormat="1" ht="16.95" customHeight="1">
      <c r="B549" s="105"/>
      <c r="C549" s="54">
        <f>'3. Rekap Back Up Non Aspal '!C89</f>
        <v>10600</v>
      </c>
      <c r="D549" s="96">
        <f>'3. Rekap Back Up Non Aspal '!D89</f>
        <v>10700</v>
      </c>
      <c r="E549" s="111">
        <f>'3. Rekap Back Up Non Aspal '!E89</f>
        <v>3</v>
      </c>
      <c r="F549" s="112">
        <f>(100/((D549-C549)*E549))*((K556*0.05)+(N556*0.05)+(Q556*0.05)+(T556)+(Y556)+(AE556*1.5)+(AH556*1))</f>
        <v>8.3333333333333321</v>
      </c>
      <c r="G549" s="113" t="str">
        <f>IF(F549&lt;=25,"RB",IF(F549&lt;=75,"RB",IF(F549&lt;=100,"RB","RB")))</f>
        <v>RB</v>
      </c>
      <c r="H549" s="183">
        <v>1</v>
      </c>
      <c r="I549" s="98">
        <v>0</v>
      </c>
      <c r="J549" s="98">
        <v>0</v>
      </c>
      <c r="K549" s="101">
        <f t="shared" ref="K549:K555" si="502">I549*J549</f>
        <v>0</v>
      </c>
      <c r="L549" s="98">
        <v>0</v>
      </c>
      <c r="M549" s="98">
        <v>0</v>
      </c>
      <c r="N549" s="101">
        <f t="shared" ref="N549:N555" si="503">L549*M549</f>
        <v>0</v>
      </c>
      <c r="O549" s="98">
        <v>0</v>
      </c>
      <c r="P549" s="98">
        <v>0</v>
      </c>
      <c r="Q549" s="101">
        <f t="shared" ref="Q549:Q555" si="504">O549*P549</f>
        <v>0</v>
      </c>
      <c r="R549" s="98">
        <v>10</v>
      </c>
      <c r="S549" s="187">
        <v>2.5</v>
      </c>
      <c r="T549" s="101">
        <f t="shared" ref="T549:T555" si="505">R549*S549</f>
        <v>25</v>
      </c>
      <c r="U549" s="183">
        <v>1</v>
      </c>
      <c r="V549" s="99">
        <v>1</v>
      </c>
      <c r="W549" s="98">
        <v>0</v>
      </c>
      <c r="X549" s="98">
        <v>0</v>
      </c>
      <c r="Y549" s="101">
        <f>W549*X549</f>
        <v>0</v>
      </c>
      <c r="Z549" s="101">
        <v>1</v>
      </c>
      <c r="AA549" s="183">
        <v>0</v>
      </c>
      <c r="AB549" s="99">
        <v>1</v>
      </c>
      <c r="AC549" s="98">
        <v>0</v>
      </c>
      <c r="AD549" s="98">
        <v>0</v>
      </c>
      <c r="AE549" s="101">
        <f t="shared" ref="AE549:AE555" si="506">AC549*AD549</f>
        <v>0</v>
      </c>
      <c r="AF549" s="98">
        <v>0</v>
      </c>
      <c r="AG549" s="98">
        <v>3</v>
      </c>
      <c r="AH549" s="99">
        <f t="shared" ref="AH549:AH555" si="507">AF549*AG549</f>
        <v>0</v>
      </c>
      <c r="AI549" s="101">
        <v>1</v>
      </c>
      <c r="AJ549" s="106"/>
    </row>
    <row r="550" spans="2:36" s="35" customFormat="1" ht="17.100000000000001" customHeight="1">
      <c r="B550" s="105"/>
      <c r="C550" s="54"/>
      <c r="D550" s="96"/>
      <c r="E550" s="111"/>
      <c r="F550" s="112"/>
      <c r="G550" s="113"/>
      <c r="H550" s="183">
        <v>1</v>
      </c>
      <c r="I550" s="98">
        <v>0</v>
      </c>
      <c r="J550" s="98">
        <v>0</v>
      </c>
      <c r="K550" s="101">
        <f t="shared" si="502"/>
        <v>0</v>
      </c>
      <c r="L550" s="100">
        <v>0</v>
      </c>
      <c r="M550" s="98">
        <v>0</v>
      </c>
      <c r="N550" s="101">
        <f t="shared" si="503"/>
        <v>0</v>
      </c>
      <c r="O550" s="100">
        <v>0</v>
      </c>
      <c r="P550" s="98">
        <v>0</v>
      </c>
      <c r="Q550" s="101">
        <f t="shared" si="504"/>
        <v>0</v>
      </c>
      <c r="R550" s="100">
        <v>0</v>
      </c>
      <c r="S550" s="98">
        <v>0</v>
      </c>
      <c r="T550" s="101">
        <f t="shared" si="505"/>
        <v>0</v>
      </c>
      <c r="U550" s="183">
        <v>1</v>
      </c>
      <c r="V550" s="99">
        <v>1</v>
      </c>
      <c r="W550" s="98">
        <v>0</v>
      </c>
      <c r="X550" s="98">
        <v>0</v>
      </c>
      <c r="Y550" s="101">
        <f t="shared" ref="Y550:Y555" si="508">W550*X550</f>
        <v>0</v>
      </c>
      <c r="Z550" s="101">
        <v>1</v>
      </c>
      <c r="AA550" s="183">
        <v>0</v>
      </c>
      <c r="AB550" s="99">
        <v>1</v>
      </c>
      <c r="AC550" s="98">
        <v>0</v>
      </c>
      <c r="AD550" s="98">
        <v>0</v>
      </c>
      <c r="AE550" s="101">
        <f t="shared" si="506"/>
        <v>0</v>
      </c>
      <c r="AF550" s="100">
        <v>0</v>
      </c>
      <c r="AG550" s="98">
        <v>0</v>
      </c>
      <c r="AH550" s="99">
        <f t="shared" si="507"/>
        <v>0</v>
      </c>
      <c r="AI550" s="101">
        <v>1</v>
      </c>
      <c r="AJ550" s="106"/>
    </row>
    <row r="551" spans="2:36" s="35" customFormat="1" ht="17.100000000000001" customHeight="1">
      <c r="B551" s="105"/>
      <c r="C551" s="54"/>
      <c r="D551" s="96"/>
      <c r="E551" s="111"/>
      <c r="F551" s="112"/>
      <c r="G551" s="113"/>
      <c r="H551" s="183">
        <v>1</v>
      </c>
      <c r="I551" s="98">
        <v>0</v>
      </c>
      <c r="J551" s="98">
        <v>0</v>
      </c>
      <c r="K551" s="101">
        <f t="shared" si="502"/>
        <v>0</v>
      </c>
      <c r="L551" s="100">
        <v>0</v>
      </c>
      <c r="M551" s="98">
        <v>0</v>
      </c>
      <c r="N551" s="101">
        <f t="shared" si="503"/>
        <v>0</v>
      </c>
      <c r="O551" s="100">
        <v>0</v>
      </c>
      <c r="P551" s="98">
        <v>0</v>
      </c>
      <c r="Q551" s="101">
        <f t="shared" si="504"/>
        <v>0</v>
      </c>
      <c r="R551" s="100">
        <v>0</v>
      </c>
      <c r="S551" s="98">
        <v>0</v>
      </c>
      <c r="T551" s="101">
        <f t="shared" si="505"/>
        <v>0</v>
      </c>
      <c r="U551" s="183">
        <v>1</v>
      </c>
      <c r="V551" s="99">
        <v>1</v>
      </c>
      <c r="W551" s="98">
        <v>0</v>
      </c>
      <c r="X551" s="98">
        <v>0</v>
      </c>
      <c r="Y551" s="101">
        <f t="shared" si="508"/>
        <v>0</v>
      </c>
      <c r="Z551" s="101">
        <v>1</v>
      </c>
      <c r="AA551" s="183">
        <v>0</v>
      </c>
      <c r="AB551" s="99">
        <v>1</v>
      </c>
      <c r="AC551" s="98">
        <v>0</v>
      </c>
      <c r="AD551" s="98">
        <v>0</v>
      </c>
      <c r="AE551" s="101">
        <f t="shared" si="506"/>
        <v>0</v>
      </c>
      <c r="AF551" s="100">
        <v>0</v>
      </c>
      <c r="AG551" s="98">
        <v>0</v>
      </c>
      <c r="AH551" s="99">
        <f t="shared" si="507"/>
        <v>0</v>
      </c>
      <c r="AI551" s="101">
        <v>1</v>
      </c>
      <c r="AJ551" s="106"/>
    </row>
    <row r="552" spans="2:36" s="35" customFormat="1" ht="17.100000000000001" customHeight="1">
      <c r="B552" s="105"/>
      <c r="C552" s="54"/>
      <c r="D552" s="96"/>
      <c r="E552" s="111"/>
      <c r="F552" s="112"/>
      <c r="G552" s="113"/>
      <c r="H552" s="183">
        <v>1</v>
      </c>
      <c r="I552" s="98">
        <v>0</v>
      </c>
      <c r="J552" s="98">
        <v>0</v>
      </c>
      <c r="K552" s="101">
        <f t="shared" si="502"/>
        <v>0</v>
      </c>
      <c r="L552" s="100">
        <v>0</v>
      </c>
      <c r="M552" s="98">
        <v>0</v>
      </c>
      <c r="N552" s="101">
        <f t="shared" si="503"/>
        <v>0</v>
      </c>
      <c r="O552" s="100">
        <v>0</v>
      </c>
      <c r="P552" s="98">
        <v>0</v>
      </c>
      <c r="Q552" s="101">
        <f t="shared" si="504"/>
        <v>0</v>
      </c>
      <c r="R552" s="100">
        <v>0</v>
      </c>
      <c r="S552" s="98">
        <v>0</v>
      </c>
      <c r="T552" s="101">
        <f t="shared" si="505"/>
        <v>0</v>
      </c>
      <c r="U552" s="183">
        <v>1</v>
      </c>
      <c r="V552" s="99">
        <v>1</v>
      </c>
      <c r="W552" s="98">
        <v>0</v>
      </c>
      <c r="X552" s="98">
        <v>0</v>
      </c>
      <c r="Y552" s="101">
        <f t="shared" si="508"/>
        <v>0</v>
      </c>
      <c r="Z552" s="101">
        <v>1</v>
      </c>
      <c r="AA552" s="183">
        <v>0</v>
      </c>
      <c r="AB552" s="99">
        <v>1</v>
      </c>
      <c r="AC552" s="98">
        <v>0</v>
      </c>
      <c r="AD552" s="98">
        <v>0</v>
      </c>
      <c r="AE552" s="101">
        <f t="shared" si="506"/>
        <v>0</v>
      </c>
      <c r="AF552" s="100">
        <v>0</v>
      </c>
      <c r="AG552" s="98">
        <v>0</v>
      </c>
      <c r="AH552" s="99">
        <f t="shared" si="507"/>
        <v>0</v>
      </c>
      <c r="AI552" s="101">
        <v>1</v>
      </c>
      <c r="AJ552" s="106"/>
    </row>
    <row r="553" spans="2:36" s="35" customFormat="1" ht="17.100000000000001" customHeight="1">
      <c r="B553" s="105"/>
      <c r="C553" s="54"/>
      <c r="D553" s="96"/>
      <c r="E553" s="111"/>
      <c r="F553" s="112"/>
      <c r="G553" s="113"/>
      <c r="H553" s="183">
        <v>1</v>
      </c>
      <c r="I553" s="98">
        <v>0</v>
      </c>
      <c r="J553" s="98">
        <v>0</v>
      </c>
      <c r="K553" s="101">
        <f t="shared" si="502"/>
        <v>0</v>
      </c>
      <c r="L553" s="100">
        <v>0</v>
      </c>
      <c r="M553" s="98">
        <v>0</v>
      </c>
      <c r="N553" s="101">
        <f t="shared" si="503"/>
        <v>0</v>
      </c>
      <c r="O553" s="100">
        <v>0</v>
      </c>
      <c r="P553" s="98">
        <v>0</v>
      </c>
      <c r="Q553" s="101">
        <f t="shared" si="504"/>
        <v>0</v>
      </c>
      <c r="R553" s="100">
        <v>0</v>
      </c>
      <c r="S553" s="98">
        <v>0</v>
      </c>
      <c r="T553" s="101">
        <f t="shared" si="505"/>
        <v>0</v>
      </c>
      <c r="U553" s="183">
        <v>1</v>
      </c>
      <c r="V553" s="99">
        <v>1</v>
      </c>
      <c r="W553" s="98">
        <v>0</v>
      </c>
      <c r="X553" s="98">
        <v>0</v>
      </c>
      <c r="Y553" s="101">
        <f t="shared" si="508"/>
        <v>0</v>
      </c>
      <c r="Z553" s="101">
        <v>1</v>
      </c>
      <c r="AA553" s="183">
        <v>0</v>
      </c>
      <c r="AB553" s="99">
        <v>1</v>
      </c>
      <c r="AC553" s="98">
        <v>0</v>
      </c>
      <c r="AD553" s="98">
        <v>0</v>
      </c>
      <c r="AE553" s="101">
        <f t="shared" si="506"/>
        <v>0</v>
      </c>
      <c r="AF553" s="100">
        <v>0</v>
      </c>
      <c r="AG553" s="98">
        <v>0</v>
      </c>
      <c r="AH553" s="99">
        <f t="shared" si="507"/>
        <v>0</v>
      </c>
      <c r="AI553" s="101">
        <v>1</v>
      </c>
      <c r="AJ553" s="106"/>
    </row>
    <row r="554" spans="2:36" s="35" customFormat="1" ht="17.100000000000001" customHeight="1">
      <c r="B554" s="105"/>
      <c r="C554" s="54"/>
      <c r="D554" s="96"/>
      <c r="E554" s="111"/>
      <c r="F554" s="112"/>
      <c r="G554" s="113"/>
      <c r="H554" s="183">
        <v>1</v>
      </c>
      <c r="I554" s="98">
        <v>0</v>
      </c>
      <c r="J554" s="98">
        <v>0</v>
      </c>
      <c r="K554" s="101">
        <f t="shared" si="502"/>
        <v>0</v>
      </c>
      <c r="L554" s="100">
        <v>0</v>
      </c>
      <c r="M554" s="98">
        <v>0</v>
      </c>
      <c r="N554" s="101">
        <f t="shared" si="503"/>
        <v>0</v>
      </c>
      <c r="O554" s="100">
        <v>0</v>
      </c>
      <c r="P554" s="98">
        <v>0</v>
      </c>
      <c r="Q554" s="101">
        <f t="shared" si="504"/>
        <v>0</v>
      </c>
      <c r="R554" s="100">
        <v>0</v>
      </c>
      <c r="S554" s="98">
        <v>0</v>
      </c>
      <c r="T554" s="101">
        <f t="shared" si="505"/>
        <v>0</v>
      </c>
      <c r="U554" s="183">
        <v>1</v>
      </c>
      <c r="V554" s="99">
        <v>1</v>
      </c>
      <c r="W554" s="98">
        <v>0</v>
      </c>
      <c r="X554" s="98">
        <v>0</v>
      </c>
      <c r="Y554" s="101">
        <f t="shared" si="508"/>
        <v>0</v>
      </c>
      <c r="Z554" s="101">
        <v>1</v>
      </c>
      <c r="AA554" s="183">
        <v>0</v>
      </c>
      <c r="AB554" s="99">
        <v>1</v>
      </c>
      <c r="AC554" s="98">
        <v>0</v>
      </c>
      <c r="AD554" s="98">
        <v>0</v>
      </c>
      <c r="AE554" s="101">
        <f t="shared" si="506"/>
        <v>0</v>
      </c>
      <c r="AF554" s="100">
        <v>0</v>
      </c>
      <c r="AG554" s="98">
        <v>0</v>
      </c>
      <c r="AH554" s="99">
        <f t="shared" si="507"/>
        <v>0</v>
      </c>
      <c r="AI554" s="101">
        <v>1</v>
      </c>
      <c r="AJ554" s="106"/>
    </row>
    <row r="555" spans="2:36" s="35" customFormat="1" ht="17.100000000000001" customHeight="1">
      <c r="B555" s="105"/>
      <c r="C555" s="54"/>
      <c r="D555" s="96"/>
      <c r="E555" s="111"/>
      <c r="F555" s="112"/>
      <c r="G555" s="113"/>
      <c r="H555" s="183">
        <v>1</v>
      </c>
      <c r="I555" s="98">
        <v>0</v>
      </c>
      <c r="J555" s="98">
        <v>0</v>
      </c>
      <c r="K555" s="101">
        <f t="shared" si="502"/>
        <v>0</v>
      </c>
      <c r="L555" s="100">
        <v>0</v>
      </c>
      <c r="M555" s="98">
        <v>0</v>
      </c>
      <c r="N555" s="101">
        <f t="shared" si="503"/>
        <v>0</v>
      </c>
      <c r="O555" s="100">
        <v>0</v>
      </c>
      <c r="P555" s="98">
        <v>0</v>
      </c>
      <c r="Q555" s="101">
        <f t="shared" si="504"/>
        <v>0</v>
      </c>
      <c r="R555" s="100">
        <v>0</v>
      </c>
      <c r="S555" s="98">
        <v>0</v>
      </c>
      <c r="T555" s="101">
        <f t="shared" si="505"/>
        <v>0</v>
      </c>
      <c r="U555" s="183">
        <v>1</v>
      </c>
      <c r="V555" s="99">
        <v>1</v>
      </c>
      <c r="W555" s="98">
        <v>0</v>
      </c>
      <c r="X555" s="98">
        <v>0</v>
      </c>
      <c r="Y555" s="101">
        <f t="shared" si="508"/>
        <v>0</v>
      </c>
      <c r="Z555" s="101">
        <v>1</v>
      </c>
      <c r="AA555" s="183">
        <v>0</v>
      </c>
      <c r="AB555" s="99">
        <v>1</v>
      </c>
      <c r="AC555" s="98">
        <v>0</v>
      </c>
      <c r="AD555" s="98">
        <v>0</v>
      </c>
      <c r="AE555" s="101">
        <f t="shared" si="506"/>
        <v>0</v>
      </c>
      <c r="AF555" s="100">
        <v>0</v>
      </c>
      <c r="AG555" s="98">
        <v>0</v>
      </c>
      <c r="AH555" s="99">
        <f t="shared" si="507"/>
        <v>0</v>
      </c>
      <c r="AI555" s="101">
        <v>1</v>
      </c>
      <c r="AJ555" s="106"/>
    </row>
    <row r="556" spans="2:36" s="126" customFormat="1" ht="17.100000000000001" customHeight="1">
      <c r="B556" s="118"/>
      <c r="C556" s="119"/>
      <c r="D556" s="120"/>
      <c r="E556" s="121"/>
      <c r="F556" s="122"/>
      <c r="G556" s="123"/>
      <c r="H556" s="183">
        <v>1</v>
      </c>
      <c r="I556" s="363" t="s">
        <v>201</v>
      </c>
      <c r="J556" s="363"/>
      <c r="K556" s="124">
        <f>SUM(K549:K555)</f>
        <v>0</v>
      </c>
      <c r="L556" s="341" t="s">
        <v>201</v>
      </c>
      <c r="M556" s="342"/>
      <c r="N556" s="124">
        <f>SUM(N549:N555)</f>
        <v>0</v>
      </c>
      <c r="O556" s="341" t="s">
        <v>201</v>
      </c>
      <c r="P556" s="342"/>
      <c r="Q556" s="124">
        <f>SUM(Q549:Q555)</f>
        <v>0</v>
      </c>
      <c r="R556" s="341" t="s">
        <v>201</v>
      </c>
      <c r="S556" s="342"/>
      <c r="T556" s="124">
        <f>SUM(T549:T555)</f>
        <v>25</v>
      </c>
      <c r="U556" s="183">
        <v>1</v>
      </c>
      <c r="V556" s="99">
        <v>1</v>
      </c>
      <c r="W556" s="363" t="s">
        <v>201</v>
      </c>
      <c r="X556" s="363"/>
      <c r="Y556" s="124">
        <f>SUM(Y549:Y555)</f>
        <v>0</v>
      </c>
      <c r="Z556" s="101">
        <v>1</v>
      </c>
      <c r="AA556" s="183">
        <v>0</v>
      </c>
      <c r="AB556" s="99">
        <v>1</v>
      </c>
      <c r="AC556" s="363" t="s">
        <v>201</v>
      </c>
      <c r="AD556" s="363"/>
      <c r="AE556" s="124">
        <f>SUM(AE549:AE555)</f>
        <v>0</v>
      </c>
      <c r="AF556" s="364" t="s">
        <v>201</v>
      </c>
      <c r="AG556" s="363"/>
      <c r="AH556" s="143">
        <f>SUM(AH549:AH555)</f>
        <v>0</v>
      </c>
      <c r="AI556" s="101">
        <v>1</v>
      </c>
      <c r="AJ556" s="125"/>
    </row>
    <row r="557" spans="2:36" s="35" customFormat="1" ht="16.95" customHeight="1">
      <c r="B557" s="105"/>
      <c r="C557" s="54">
        <f>'3. Rekap Back Up Non Aspal '!C90</f>
        <v>10700</v>
      </c>
      <c r="D557" s="96">
        <f>'3. Rekap Back Up Non Aspal '!D90</f>
        <v>10800</v>
      </c>
      <c r="E557" s="111">
        <f>'3. Rekap Back Up Non Aspal '!E90</f>
        <v>3</v>
      </c>
      <c r="F557" s="112">
        <f>(100/((D557-C557)*E557))*((K564*0.05)+(N564*0.05)+(Q564*0.05)+(T564)+(Y564)+(AE564*1.5)+(AH564*1))</f>
        <v>66.666666666666657</v>
      </c>
      <c r="G557" s="113" t="str">
        <f>IF(F557&lt;=25,"RB",IF(F557&lt;=75,"RB",IF(F557&lt;=100,"RB","RB")))</f>
        <v>RB</v>
      </c>
      <c r="H557" s="183">
        <v>1</v>
      </c>
      <c r="I557" s="98">
        <v>0</v>
      </c>
      <c r="J557" s="98">
        <v>0</v>
      </c>
      <c r="K557" s="101">
        <f t="shared" ref="K557:K563" si="509">I557*J557</f>
        <v>0</v>
      </c>
      <c r="L557" s="98">
        <v>0</v>
      </c>
      <c r="M557" s="98">
        <v>0</v>
      </c>
      <c r="N557" s="101">
        <f t="shared" ref="N557:N563" si="510">L557*M557</f>
        <v>0</v>
      </c>
      <c r="O557" s="98">
        <v>0</v>
      </c>
      <c r="P557" s="98">
        <v>0</v>
      </c>
      <c r="Q557" s="101">
        <f t="shared" ref="Q557:Q563" si="511">O557*P557</f>
        <v>0</v>
      </c>
      <c r="R557" s="98">
        <v>0</v>
      </c>
      <c r="S557" s="98">
        <v>0</v>
      </c>
      <c r="T557" s="101">
        <f t="shared" ref="T557:T563" si="512">R557*S557</f>
        <v>0</v>
      </c>
      <c r="U557" s="183">
        <v>2</v>
      </c>
      <c r="V557" s="99">
        <v>2</v>
      </c>
      <c r="W557" s="98">
        <v>100</v>
      </c>
      <c r="X557" s="98">
        <v>2</v>
      </c>
      <c r="Y557" s="101">
        <f>W557*X557</f>
        <v>200</v>
      </c>
      <c r="Z557" s="101">
        <v>1</v>
      </c>
      <c r="AA557" s="183">
        <v>0</v>
      </c>
      <c r="AB557" s="99">
        <v>1</v>
      </c>
      <c r="AC557" s="98">
        <v>0</v>
      </c>
      <c r="AD557" s="98">
        <v>0</v>
      </c>
      <c r="AE557" s="101">
        <f t="shared" ref="AE557:AE563" si="513">AC557*AD557</f>
        <v>0</v>
      </c>
      <c r="AF557" s="98">
        <v>0</v>
      </c>
      <c r="AG557" s="98">
        <v>3</v>
      </c>
      <c r="AH557" s="99">
        <f t="shared" ref="AH557:AH563" si="514">AF557*AG557</f>
        <v>0</v>
      </c>
      <c r="AI557" s="101">
        <v>1</v>
      </c>
      <c r="AJ557" s="106"/>
    </row>
    <row r="558" spans="2:36" s="35" customFormat="1" ht="17.100000000000001" customHeight="1">
      <c r="B558" s="105"/>
      <c r="C558" s="54"/>
      <c r="D558" s="96"/>
      <c r="E558" s="111"/>
      <c r="F558" s="112"/>
      <c r="G558" s="113"/>
      <c r="H558" s="183">
        <v>1</v>
      </c>
      <c r="I558" s="98">
        <v>0</v>
      </c>
      <c r="J558" s="98">
        <v>0</v>
      </c>
      <c r="K558" s="101">
        <f t="shared" si="509"/>
        <v>0</v>
      </c>
      <c r="L558" s="100">
        <v>0</v>
      </c>
      <c r="M558" s="98">
        <v>0</v>
      </c>
      <c r="N558" s="101">
        <f t="shared" si="510"/>
        <v>0</v>
      </c>
      <c r="O558" s="100">
        <v>0</v>
      </c>
      <c r="P558" s="98">
        <v>0</v>
      </c>
      <c r="Q558" s="101">
        <f t="shared" si="511"/>
        <v>0</v>
      </c>
      <c r="R558" s="100">
        <v>0</v>
      </c>
      <c r="S558" s="98">
        <v>0</v>
      </c>
      <c r="T558" s="101">
        <f t="shared" si="512"/>
        <v>0</v>
      </c>
      <c r="U558" s="183">
        <v>1</v>
      </c>
      <c r="V558" s="99">
        <v>1</v>
      </c>
      <c r="W558" s="98">
        <v>0</v>
      </c>
      <c r="X558" s="98">
        <v>0</v>
      </c>
      <c r="Y558" s="101">
        <f t="shared" ref="Y558:Y563" si="515">W558*X558</f>
        <v>0</v>
      </c>
      <c r="Z558" s="101">
        <v>1</v>
      </c>
      <c r="AA558" s="183">
        <v>0</v>
      </c>
      <c r="AB558" s="99">
        <v>1</v>
      </c>
      <c r="AC558" s="98">
        <v>0</v>
      </c>
      <c r="AD558" s="98">
        <v>0</v>
      </c>
      <c r="AE558" s="101">
        <f t="shared" si="513"/>
        <v>0</v>
      </c>
      <c r="AF558" s="100">
        <v>0</v>
      </c>
      <c r="AG558" s="98">
        <v>0</v>
      </c>
      <c r="AH558" s="99">
        <f t="shared" si="514"/>
        <v>0</v>
      </c>
      <c r="AI558" s="101">
        <v>1</v>
      </c>
      <c r="AJ558" s="106"/>
    </row>
    <row r="559" spans="2:36" s="35" customFormat="1" ht="17.100000000000001" customHeight="1">
      <c r="B559" s="105"/>
      <c r="C559" s="54"/>
      <c r="D559" s="96"/>
      <c r="E559" s="111"/>
      <c r="F559" s="112"/>
      <c r="G559" s="113"/>
      <c r="H559" s="183">
        <v>1</v>
      </c>
      <c r="I559" s="98">
        <v>0</v>
      </c>
      <c r="J559" s="98">
        <v>0</v>
      </c>
      <c r="K559" s="101">
        <f t="shared" si="509"/>
        <v>0</v>
      </c>
      <c r="L559" s="100">
        <v>0</v>
      </c>
      <c r="M559" s="98">
        <v>0</v>
      </c>
      <c r="N559" s="101">
        <f t="shared" si="510"/>
        <v>0</v>
      </c>
      <c r="O559" s="100">
        <v>0</v>
      </c>
      <c r="P559" s="98">
        <v>0</v>
      </c>
      <c r="Q559" s="101">
        <f t="shared" si="511"/>
        <v>0</v>
      </c>
      <c r="R559" s="100">
        <v>0</v>
      </c>
      <c r="S559" s="98">
        <v>0</v>
      </c>
      <c r="T559" s="101">
        <f t="shared" si="512"/>
        <v>0</v>
      </c>
      <c r="U559" s="183">
        <v>1</v>
      </c>
      <c r="V559" s="99">
        <v>1</v>
      </c>
      <c r="W559" s="98">
        <v>0</v>
      </c>
      <c r="X559" s="98">
        <v>0</v>
      </c>
      <c r="Y559" s="101">
        <f t="shared" si="515"/>
        <v>0</v>
      </c>
      <c r="Z559" s="101">
        <v>1</v>
      </c>
      <c r="AA559" s="183">
        <v>0</v>
      </c>
      <c r="AB559" s="99">
        <v>1</v>
      </c>
      <c r="AC559" s="98">
        <v>0</v>
      </c>
      <c r="AD559" s="98">
        <v>0</v>
      </c>
      <c r="AE559" s="101">
        <f t="shared" si="513"/>
        <v>0</v>
      </c>
      <c r="AF559" s="100">
        <v>0</v>
      </c>
      <c r="AG559" s="98">
        <v>0</v>
      </c>
      <c r="AH559" s="99">
        <f t="shared" si="514"/>
        <v>0</v>
      </c>
      <c r="AI559" s="101">
        <v>1</v>
      </c>
      <c r="AJ559" s="106"/>
    </row>
    <row r="560" spans="2:36" s="35" customFormat="1" ht="17.100000000000001" customHeight="1">
      <c r="B560" s="105"/>
      <c r="C560" s="54"/>
      <c r="D560" s="96"/>
      <c r="E560" s="111"/>
      <c r="F560" s="112"/>
      <c r="G560" s="113"/>
      <c r="H560" s="183">
        <v>1</v>
      </c>
      <c r="I560" s="98">
        <v>0</v>
      </c>
      <c r="J560" s="98">
        <v>0</v>
      </c>
      <c r="K560" s="101">
        <f t="shared" si="509"/>
        <v>0</v>
      </c>
      <c r="L560" s="100">
        <v>0</v>
      </c>
      <c r="M560" s="98">
        <v>0</v>
      </c>
      <c r="N560" s="101">
        <f t="shared" si="510"/>
        <v>0</v>
      </c>
      <c r="O560" s="100">
        <v>0</v>
      </c>
      <c r="P560" s="98">
        <v>0</v>
      </c>
      <c r="Q560" s="101">
        <f t="shared" si="511"/>
        <v>0</v>
      </c>
      <c r="R560" s="100">
        <v>0</v>
      </c>
      <c r="S560" s="98">
        <v>0</v>
      </c>
      <c r="T560" s="101">
        <f t="shared" si="512"/>
        <v>0</v>
      </c>
      <c r="U560" s="183">
        <v>1</v>
      </c>
      <c r="V560" s="99">
        <v>1</v>
      </c>
      <c r="W560" s="98">
        <v>0</v>
      </c>
      <c r="X560" s="98">
        <v>0</v>
      </c>
      <c r="Y560" s="101">
        <f t="shared" si="515"/>
        <v>0</v>
      </c>
      <c r="Z560" s="101">
        <v>1</v>
      </c>
      <c r="AA560" s="183">
        <v>0</v>
      </c>
      <c r="AB560" s="99">
        <v>1</v>
      </c>
      <c r="AC560" s="98">
        <v>0</v>
      </c>
      <c r="AD560" s="98">
        <v>0</v>
      </c>
      <c r="AE560" s="101">
        <f t="shared" si="513"/>
        <v>0</v>
      </c>
      <c r="AF560" s="100">
        <v>0</v>
      </c>
      <c r="AG560" s="98">
        <v>0</v>
      </c>
      <c r="AH560" s="99">
        <f t="shared" si="514"/>
        <v>0</v>
      </c>
      <c r="AI560" s="101">
        <v>1</v>
      </c>
      <c r="AJ560" s="106"/>
    </row>
    <row r="561" spans="2:36" s="35" customFormat="1" ht="17.100000000000001" customHeight="1">
      <c r="B561" s="105"/>
      <c r="C561" s="54"/>
      <c r="D561" s="96"/>
      <c r="E561" s="111"/>
      <c r="F561" s="112"/>
      <c r="G561" s="113"/>
      <c r="H561" s="183">
        <v>1</v>
      </c>
      <c r="I561" s="98">
        <v>0</v>
      </c>
      <c r="J561" s="98">
        <v>0</v>
      </c>
      <c r="K561" s="101">
        <f t="shared" si="509"/>
        <v>0</v>
      </c>
      <c r="L561" s="100">
        <v>0</v>
      </c>
      <c r="M561" s="98">
        <v>0</v>
      </c>
      <c r="N561" s="101">
        <f t="shared" si="510"/>
        <v>0</v>
      </c>
      <c r="O561" s="100">
        <v>0</v>
      </c>
      <c r="P561" s="98">
        <v>0</v>
      </c>
      <c r="Q561" s="101">
        <f t="shared" si="511"/>
        <v>0</v>
      </c>
      <c r="R561" s="100">
        <v>0</v>
      </c>
      <c r="S561" s="98">
        <v>0</v>
      </c>
      <c r="T561" s="101">
        <f t="shared" si="512"/>
        <v>0</v>
      </c>
      <c r="U561" s="183">
        <v>1</v>
      </c>
      <c r="V561" s="99">
        <v>1</v>
      </c>
      <c r="W561" s="98">
        <v>0</v>
      </c>
      <c r="X561" s="98">
        <v>0</v>
      </c>
      <c r="Y561" s="101">
        <f t="shared" si="515"/>
        <v>0</v>
      </c>
      <c r="Z561" s="101">
        <v>1</v>
      </c>
      <c r="AA561" s="183">
        <v>0</v>
      </c>
      <c r="AB561" s="99">
        <v>1</v>
      </c>
      <c r="AC561" s="98">
        <v>0</v>
      </c>
      <c r="AD561" s="98">
        <v>0</v>
      </c>
      <c r="AE561" s="101">
        <f t="shared" si="513"/>
        <v>0</v>
      </c>
      <c r="AF561" s="100">
        <v>0</v>
      </c>
      <c r="AG561" s="98">
        <v>0</v>
      </c>
      <c r="AH561" s="99">
        <f t="shared" si="514"/>
        <v>0</v>
      </c>
      <c r="AI561" s="101">
        <v>1</v>
      </c>
      <c r="AJ561" s="106"/>
    </row>
    <row r="562" spans="2:36" s="35" customFormat="1" ht="17.100000000000001" customHeight="1">
      <c r="B562" s="105"/>
      <c r="C562" s="54"/>
      <c r="D562" s="96"/>
      <c r="E562" s="111"/>
      <c r="F562" s="112"/>
      <c r="G562" s="113"/>
      <c r="H562" s="183">
        <v>1</v>
      </c>
      <c r="I562" s="98">
        <v>0</v>
      </c>
      <c r="J562" s="98">
        <v>0</v>
      </c>
      <c r="K562" s="101">
        <f t="shared" si="509"/>
        <v>0</v>
      </c>
      <c r="L562" s="100">
        <v>0</v>
      </c>
      <c r="M562" s="98">
        <v>0</v>
      </c>
      <c r="N562" s="101">
        <f t="shared" si="510"/>
        <v>0</v>
      </c>
      <c r="O562" s="100">
        <v>0</v>
      </c>
      <c r="P562" s="98">
        <v>0</v>
      </c>
      <c r="Q562" s="101">
        <f t="shared" si="511"/>
        <v>0</v>
      </c>
      <c r="R562" s="100">
        <v>0</v>
      </c>
      <c r="S562" s="98">
        <v>0</v>
      </c>
      <c r="T562" s="101">
        <f t="shared" si="512"/>
        <v>0</v>
      </c>
      <c r="U562" s="183">
        <v>1</v>
      </c>
      <c r="V562" s="99">
        <v>1</v>
      </c>
      <c r="W562" s="98">
        <v>0</v>
      </c>
      <c r="X562" s="98">
        <v>0</v>
      </c>
      <c r="Y562" s="101">
        <f t="shared" si="515"/>
        <v>0</v>
      </c>
      <c r="Z562" s="101">
        <v>1</v>
      </c>
      <c r="AA562" s="183">
        <v>0</v>
      </c>
      <c r="AB562" s="99">
        <v>1</v>
      </c>
      <c r="AC562" s="98">
        <v>0</v>
      </c>
      <c r="AD562" s="98">
        <v>0</v>
      </c>
      <c r="AE562" s="101">
        <f t="shared" si="513"/>
        <v>0</v>
      </c>
      <c r="AF562" s="100">
        <v>0</v>
      </c>
      <c r="AG562" s="98">
        <v>0</v>
      </c>
      <c r="AH562" s="99">
        <f t="shared" si="514"/>
        <v>0</v>
      </c>
      <c r="AI562" s="101">
        <v>1</v>
      </c>
      <c r="AJ562" s="106"/>
    </row>
    <row r="563" spans="2:36" s="35" customFormat="1" ht="17.100000000000001" customHeight="1">
      <c r="B563" s="105"/>
      <c r="C563" s="54"/>
      <c r="D563" s="96"/>
      <c r="E563" s="111"/>
      <c r="F563" s="112"/>
      <c r="G563" s="113"/>
      <c r="H563" s="183">
        <v>1</v>
      </c>
      <c r="I563" s="98">
        <v>0</v>
      </c>
      <c r="J563" s="98">
        <v>0</v>
      </c>
      <c r="K563" s="101">
        <f t="shared" si="509"/>
        <v>0</v>
      </c>
      <c r="L563" s="100">
        <v>0</v>
      </c>
      <c r="M563" s="98">
        <v>0</v>
      </c>
      <c r="N563" s="101">
        <f t="shared" si="510"/>
        <v>0</v>
      </c>
      <c r="O563" s="100">
        <v>0</v>
      </c>
      <c r="P563" s="98">
        <v>0</v>
      </c>
      <c r="Q563" s="101">
        <f t="shared" si="511"/>
        <v>0</v>
      </c>
      <c r="R563" s="100">
        <v>0</v>
      </c>
      <c r="S563" s="98">
        <v>0</v>
      </c>
      <c r="T563" s="101">
        <f t="shared" si="512"/>
        <v>0</v>
      </c>
      <c r="U563" s="183">
        <v>1</v>
      </c>
      <c r="V563" s="99">
        <v>1</v>
      </c>
      <c r="W563" s="98">
        <v>0</v>
      </c>
      <c r="X563" s="98">
        <v>0</v>
      </c>
      <c r="Y563" s="101">
        <f t="shared" si="515"/>
        <v>0</v>
      </c>
      <c r="Z563" s="101">
        <v>1</v>
      </c>
      <c r="AA563" s="183">
        <v>0</v>
      </c>
      <c r="AB563" s="99">
        <v>1</v>
      </c>
      <c r="AC563" s="98">
        <v>0</v>
      </c>
      <c r="AD563" s="98">
        <v>0</v>
      </c>
      <c r="AE563" s="101">
        <f t="shared" si="513"/>
        <v>0</v>
      </c>
      <c r="AF563" s="100">
        <v>0</v>
      </c>
      <c r="AG563" s="98">
        <v>0</v>
      </c>
      <c r="AH563" s="99">
        <f t="shared" si="514"/>
        <v>0</v>
      </c>
      <c r="AI563" s="101">
        <v>1</v>
      </c>
      <c r="AJ563" s="106"/>
    </row>
    <row r="564" spans="2:36" s="126" customFormat="1" ht="17.100000000000001" customHeight="1">
      <c r="B564" s="118"/>
      <c r="C564" s="119"/>
      <c r="D564" s="120"/>
      <c r="E564" s="121"/>
      <c r="F564" s="122"/>
      <c r="G564" s="123"/>
      <c r="H564" s="183">
        <v>1</v>
      </c>
      <c r="I564" s="363" t="s">
        <v>201</v>
      </c>
      <c r="J564" s="363"/>
      <c r="K564" s="124">
        <f>SUM(K557:K563)</f>
        <v>0</v>
      </c>
      <c r="L564" s="341" t="s">
        <v>201</v>
      </c>
      <c r="M564" s="342"/>
      <c r="N564" s="124">
        <f>SUM(N557:N563)</f>
        <v>0</v>
      </c>
      <c r="O564" s="341" t="s">
        <v>201</v>
      </c>
      <c r="P564" s="342"/>
      <c r="Q564" s="124">
        <f>SUM(Q557:Q563)</f>
        <v>0</v>
      </c>
      <c r="R564" s="341" t="s">
        <v>201</v>
      </c>
      <c r="S564" s="342"/>
      <c r="T564" s="124">
        <f>SUM(T557:T563)</f>
        <v>0</v>
      </c>
      <c r="U564" s="183">
        <v>1</v>
      </c>
      <c r="V564" s="99">
        <v>1</v>
      </c>
      <c r="W564" s="363" t="s">
        <v>201</v>
      </c>
      <c r="X564" s="363"/>
      <c r="Y564" s="124">
        <f>SUM(Y557:Y563)</f>
        <v>200</v>
      </c>
      <c r="Z564" s="101">
        <v>1</v>
      </c>
      <c r="AA564" s="183">
        <v>0</v>
      </c>
      <c r="AB564" s="99">
        <v>1</v>
      </c>
      <c r="AC564" s="363" t="s">
        <v>201</v>
      </c>
      <c r="AD564" s="363"/>
      <c r="AE564" s="124">
        <f>SUM(AE557:AE563)</f>
        <v>0</v>
      </c>
      <c r="AF564" s="364" t="s">
        <v>201</v>
      </c>
      <c r="AG564" s="363"/>
      <c r="AH564" s="143">
        <f>SUM(AH557:AH563)</f>
        <v>0</v>
      </c>
      <c r="AI564" s="101">
        <v>1</v>
      </c>
      <c r="AJ564" s="125"/>
    </row>
    <row r="565" spans="2:36" s="35" customFormat="1" ht="16.95" customHeight="1">
      <c r="B565" s="105"/>
      <c r="C565" s="54">
        <f>'3. Rekap Back Up Non Aspal '!C91</f>
        <v>10800</v>
      </c>
      <c r="D565" s="96">
        <f>'3. Rekap Back Up Non Aspal '!D91</f>
        <v>10900</v>
      </c>
      <c r="E565" s="111">
        <f>'3. Rekap Back Up Non Aspal '!E91</f>
        <v>3</v>
      </c>
      <c r="F565" s="112">
        <f>(100/((D565-C565)*E565))*((K572*0.05)+(N572*0.05)+(Q572*0.05)+(T572)+(Y572)+(AE572*1.5)+(AH572*1))</f>
        <v>66.666666666666657</v>
      </c>
      <c r="G565" s="113" t="str">
        <f>IF(F565&lt;=25,"RB",IF(F565&lt;=75,"RB",IF(F565&lt;=100,"RB","RB")))</f>
        <v>RB</v>
      </c>
      <c r="H565" s="183">
        <v>1</v>
      </c>
      <c r="I565" s="98">
        <v>0</v>
      </c>
      <c r="J565" s="98">
        <v>0</v>
      </c>
      <c r="K565" s="101">
        <f t="shared" ref="K565:K571" si="516">I565*J565</f>
        <v>0</v>
      </c>
      <c r="L565" s="98">
        <v>0</v>
      </c>
      <c r="M565" s="98">
        <v>0</v>
      </c>
      <c r="N565" s="101">
        <f t="shared" ref="N565:N571" si="517">L565*M565</f>
        <v>0</v>
      </c>
      <c r="O565" s="98">
        <v>0</v>
      </c>
      <c r="P565" s="98">
        <v>0</v>
      </c>
      <c r="Q565" s="101">
        <f t="shared" ref="Q565:Q571" si="518">O565*P565</f>
        <v>0</v>
      </c>
      <c r="R565" s="98">
        <v>0</v>
      </c>
      <c r="S565" s="98">
        <v>0</v>
      </c>
      <c r="T565" s="101">
        <f t="shared" ref="T565:T571" si="519">R565*S565</f>
        <v>0</v>
      </c>
      <c r="U565" s="183">
        <v>3</v>
      </c>
      <c r="V565" s="99">
        <v>2</v>
      </c>
      <c r="W565" s="98">
        <v>100</v>
      </c>
      <c r="X565" s="98">
        <v>2</v>
      </c>
      <c r="Y565" s="101">
        <f>W565*X565</f>
        <v>200</v>
      </c>
      <c r="Z565" s="101">
        <v>1</v>
      </c>
      <c r="AA565" s="183">
        <v>0</v>
      </c>
      <c r="AB565" s="99">
        <v>1</v>
      </c>
      <c r="AC565" s="98">
        <v>0</v>
      </c>
      <c r="AD565" s="98">
        <v>0</v>
      </c>
      <c r="AE565" s="101">
        <f t="shared" ref="AE565:AE571" si="520">AC565*AD565</f>
        <v>0</v>
      </c>
      <c r="AF565" s="98">
        <v>0</v>
      </c>
      <c r="AG565" s="98">
        <v>3</v>
      </c>
      <c r="AH565" s="99">
        <f t="shared" ref="AH565:AH571" si="521">AF565*AG565</f>
        <v>0</v>
      </c>
      <c r="AI565" s="101">
        <v>1</v>
      </c>
      <c r="AJ565" s="106"/>
    </row>
    <row r="566" spans="2:36" s="35" customFormat="1" ht="17.100000000000001" customHeight="1">
      <c r="B566" s="105"/>
      <c r="C566" s="54"/>
      <c r="D566" s="96"/>
      <c r="E566" s="111"/>
      <c r="F566" s="112"/>
      <c r="G566" s="113"/>
      <c r="H566" s="183">
        <v>1</v>
      </c>
      <c r="I566" s="98">
        <v>0</v>
      </c>
      <c r="J566" s="98">
        <v>0</v>
      </c>
      <c r="K566" s="101">
        <f t="shared" si="516"/>
        <v>0</v>
      </c>
      <c r="L566" s="100">
        <v>0</v>
      </c>
      <c r="M566" s="98">
        <v>0</v>
      </c>
      <c r="N566" s="101">
        <f t="shared" si="517"/>
        <v>0</v>
      </c>
      <c r="O566" s="100">
        <v>0</v>
      </c>
      <c r="P566" s="98">
        <v>0</v>
      </c>
      <c r="Q566" s="101">
        <f t="shared" si="518"/>
        <v>0</v>
      </c>
      <c r="R566" s="100">
        <v>0</v>
      </c>
      <c r="S566" s="98">
        <v>0</v>
      </c>
      <c r="T566" s="101">
        <f t="shared" si="519"/>
        <v>0</v>
      </c>
      <c r="U566" s="183">
        <v>1</v>
      </c>
      <c r="V566" s="99">
        <v>1</v>
      </c>
      <c r="W566" s="98">
        <v>0</v>
      </c>
      <c r="X566" s="98">
        <v>0</v>
      </c>
      <c r="Y566" s="101">
        <f t="shared" ref="Y566:Y571" si="522">W566*X566</f>
        <v>0</v>
      </c>
      <c r="Z566" s="101">
        <v>1</v>
      </c>
      <c r="AA566" s="183">
        <v>0</v>
      </c>
      <c r="AB566" s="99">
        <v>1</v>
      </c>
      <c r="AC566" s="98">
        <v>0</v>
      </c>
      <c r="AD566" s="98">
        <v>0</v>
      </c>
      <c r="AE566" s="101">
        <f t="shared" si="520"/>
        <v>0</v>
      </c>
      <c r="AF566" s="100">
        <v>0</v>
      </c>
      <c r="AG566" s="98">
        <v>0</v>
      </c>
      <c r="AH566" s="99">
        <f t="shared" si="521"/>
        <v>0</v>
      </c>
      <c r="AI566" s="101">
        <v>1</v>
      </c>
      <c r="AJ566" s="106"/>
    </row>
    <row r="567" spans="2:36" s="35" customFormat="1" ht="17.100000000000001" customHeight="1">
      <c r="B567" s="105"/>
      <c r="C567" s="54"/>
      <c r="D567" s="96"/>
      <c r="E567" s="111"/>
      <c r="F567" s="112"/>
      <c r="G567" s="113"/>
      <c r="H567" s="183">
        <v>1</v>
      </c>
      <c r="I567" s="98">
        <v>0</v>
      </c>
      <c r="J567" s="98">
        <v>0</v>
      </c>
      <c r="K567" s="101">
        <f t="shared" si="516"/>
        <v>0</v>
      </c>
      <c r="L567" s="100">
        <v>0</v>
      </c>
      <c r="M567" s="98">
        <v>0</v>
      </c>
      <c r="N567" s="101">
        <f t="shared" si="517"/>
        <v>0</v>
      </c>
      <c r="O567" s="100">
        <v>0</v>
      </c>
      <c r="P567" s="98">
        <v>0</v>
      </c>
      <c r="Q567" s="101">
        <f t="shared" si="518"/>
        <v>0</v>
      </c>
      <c r="R567" s="100">
        <v>0</v>
      </c>
      <c r="S567" s="98">
        <v>0</v>
      </c>
      <c r="T567" s="101">
        <f t="shared" si="519"/>
        <v>0</v>
      </c>
      <c r="U567" s="183">
        <v>1</v>
      </c>
      <c r="V567" s="99">
        <v>1</v>
      </c>
      <c r="W567" s="98">
        <v>0</v>
      </c>
      <c r="X567" s="98">
        <v>0</v>
      </c>
      <c r="Y567" s="101">
        <f t="shared" si="522"/>
        <v>0</v>
      </c>
      <c r="Z567" s="101">
        <v>1</v>
      </c>
      <c r="AA567" s="183">
        <v>0</v>
      </c>
      <c r="AB567" s="99">
        <v>1</v>
      </c>
      <c r="AC567" s="98">
        <v>0</v>
      </c>
      <c r="AD567" s="98">
        <v>0</v>
      </c>
      <c r="AE567" s="101">
        <f t="shared" si="520"/>
        <v>0</v>
      </c>
      <c r="AF567" s="100">
        <v>0</v>
      </c>
      <c r="AG567" s="98">
        <v>0</v>
      </c>
      <c r="AH567" s="99">
        <f t="shared" si="521"/>
        <v>0</v>
      </c>
      <c r="AI567" s="101">
        <v>1</v>
      </c>
      <c r="AJ567" s="106"/>
    </row>
    <row r="568" spans="2:36" s="35" customFormat="1" ht="17.100000000000001" customHeight="1">
      <c r="B568" s="105"/>
      <c r="C568" s="54"/>
      <c r="D568" s="96"/>
      <c r="E568" s="111"/>
      <c r="F568" s="112"/>
      <c r="G568" s="113"/>
      <c r="H568" s="183">
        <v>1</v>
      </c>
      <c r="I568" s="98">
        <v>0</v>
      </c>
      <c r="J568" s="98">
        <v>0</v>
      </c>
      <c r="K568" s="101">
        <f t="shared" si="516"/>
        <v>0</v>
      </c>
      <c r="L568" s="100">
        <v>0</v>
      </c>
      <c r="M568" s="98">
        <v>0</v>
      </c>
      <c r="N568" s="101">
        <f t="shared" si="517"/>
        <v>0</v>
      </c>
      <c r="O568" s="100">
        <v>0</v>
      </c>
      <c r="P568" s="98">
        <v>0</v>
      </c>
      <c r="Q568" s="101">
        <f t="shared" si="518"/>
        <v>0</v>
      </c>
      <c r="R568" s="100">
        <v>0</v>
      </c>
      <c r="S568" s="98">
        <v>0</v>
      </c>
      <c r="T568" s="101">
        <f t="shared" si="519"/>
        <v>0</v>
      </c>
      <c r="U568" s="183">
        <v>1</v>
      </c>
      <c r="V568" s="99">
        <v>1</v>
      </c>
      <c r="W568" s="98">
        <v>0</v>
      </c>
      <c r="X568" s="98">
        <v>0</v>
      </c>
      <c r="Y568" s="101">
        <f t="shared" si="522"/>
        <v>0</v>
      </c>
      <c r="Z568" s="101">
        <v>1</v>
      </c>
      <c r="AA568" s="183">
        <v>0</v>
      </c>
      <c r="AB568" s="99">
        <v>1</v>
      </c>
      <c r="AC568" s="98">
        <v>0</v>
      </c>
      <c r="AD568" s="98">
        <v>0</v>
      </c>
      <c r="AE568" s="101">
        <f t="shared" si="520"/>
        <v>0</v>
      </c>
      <c r="AF568" s="100">
        <v>0</v>
      </c>
      <c r="AG568" s="98">
        <v>0</v>
      </c>
      <c r="AH568" s="99">
        <f t="shared" si="521"/>
        <v>0</v>
      </c>
      <c r="AI568" s="101">
        <v>1</v>
      </c>
      <c r="AJ568" s="106"/>
    </row>
    <row r="569" spans="2:36" s="35" customFormat="1" ht="17.100000000000001" customHeight="1">
      <c r="B569" s="105"/>
      <c r="C569" s="54"/>
      <c r="D569" s="96"/>
      <c r="E569" s="111"/>
      <c r="F569" s="112"/>
      <c r="G569" s="113"/>
      <c r="H569" s="183">
        <v>1</v>
      </c>
      <c r="I569" s="98">
        <v>0</v>
      </c>
      <c r="J569" s="98">
        <v>0</v>
      </c>
      <c r="K569" s="101">
        <f t="shared" si="516"/>
        <v>0</v>
      </c>
      <c r="L569" s="100">
        <v>0</v>
      </c>
      <c r="M569" s="98">
        <v>0</v>
      </c>
      <c r="N569" s="101">
        <f t="shared" si="517"/>
        <v>0</v>
      </c>
      <c r="O569" s="100">
        <v>0</v>
      </c>
      <c r="P569" s="98">
        <v>0</v>
      </c>
      <c r="Q569" s="101">
        <f t="shared" si="518"/>
        <v>0</v>
      </c>
      <c r="R569" s="100">
        <v>0</v>
      </c>
      <c r="S569" s="98">
        <v>0</v>
      </c>
      <c r="T569" s="101">
        <f t="shared" si="519"/>
        <v>0</v>
      </c>
      <c r="U569" s="183">
        <v>1</v>
      </c>
      <c r="V569" s="99">
        <v>1</v>
      </c>
      <c r="W569" s="98">
        <v>0</v>
      </c>
      <c r="X569" s="98">
        <v>0</v>
      </c>
      <c r="Y569" s="101">
        <f t="shared" si="522"/>
        <v>0</v>
      </c>
      <c r="Z569" s="101">
        <v>1</v>
      </c>
      <c r="AA569" s="183">
        <v>0</v>
      </c>
      <c r="AB569" s="99">
        <v>1</v>
      </c>
      <c r="AC569" s="98">
        <v>0</v>
      </c>
      <c r="AD569" s="98">
        <v>0</v>
      </c>
      <c r="AE569" s="101">
        <f t="shared" si="520"/>
        <v>0</v>
      </c>
      <c r="AF569" s="100">
        <v>0</v>
      </c>
      <c r="AG569" s="98">
        <v>0</v>
      </c>
      <c r="AH569" s="99">
        <f t="shared" si="521"/>
        <v>0</v>
      </c>
      <c r="AI569" s="101">
        <v>1</v>
      </c>
      <c r="AJ569" s="106"/>
    </row>
    <row r="570" spans="2:36" s="35" customFormat="1" ht="17.100000000000001" customHeight="1">
      <c r="B570" s="105"/>
      <c r="C570" s="54"/>
      <c r="D570" s="96"/>
      <c r="E570" s="111"/>
      <c r="F570" s="112"/>
      <c r="G570" s="113"/>
      <c r="H570" s="183">
        <v>1</v>
      </c>
      <c r="I570" s="98">
        <v>0</v>
      </c>
      <c r="J570" s="98">
        <v>0</v>
      </c>
      <c r="K570" s="101">
        <f t="shared" si="516"/>
        <v>0</v>
      </c>
      <c r="L570" s="100">
        <v>0</v>
      </c>
      <c r="M570" s="98">
        <v>0</v>
      </c>
      <c r="N570" s="101">
        <f t="shared" si="517"/>
        <v>0</v>
      </c>
      <c r="O570" s="100">
        <v>0</v>
      </c>
      <c r="P570" s="98">
        <v>0</v>
      </c>
      <c r="Q570" s="101">
        <f t="shared" si="518"/>
        <v>0</v>
      </c>
      <c r="R570" s="100">
        <v>0</v>
      </c>
      <c r="S570" s="98">
        <v>0</v>
      </c>
      <c r="T570" s="101">
        <f t="shared" si="519"/>
        <v>0</v>
      </c>
      <c r="U570" s="183">
        <v>1</v>
      </c>
      <c r="V570" s="99">
        <v>1</v>
      </c>
      <c r="W570" s="98">
        <v>0</v>
      </c>
      <c r="X570" s="98">
        <v>0</v>
      </c>
      <c r="Y570" s="101">
        <f t="shared" si="522"/>
        <v>0</v>
      </c>
      <c r="Z570" s="101">
        <v>1</v>
      </c>
      <c r="AA570" s="183">
        <v>0</v>
      </c>
      <c r="AB570" s="99">
        <v>1</v>
      </c>
      <c r="AC570" s="98">
        <v>0</v>
      </c>
      <c r="AD570" s="98">
        <v>0</v>
      </c>
      <c r="AE570" s="101">
        <f t="shared" si="520"/>
        <v>0</v>
      </c>
      <c r="AF570" s="100">
        <v>0</v>
      </c>
      <c r="AG570" s="98">
        <v>0</v>
      </c>
      <c r="AH570" s="99">
        <f t="shared" si="521"/>
        <v>0</v>
      </c>
      <c r="AI570" s="101">
        <v>1</v>
      </c>
      <c r="AJ570" s="106"/>
    </row>
    <row r="571" spans="2:36" s="35" customFormat="1" ht="17.100000000000001" customHeight="1">
      <c r="B571" s="105"/>
      <c r="C571" s="54"/>
      <c r="D571" s="96"/>
      <c r="E571" s="111"/>
      <c r="F571" s="112"/>
      <c r="G571" s="113"/>
      <c r="H571" s="183">
        <v>1</v>
      </c>
      <c r="I571" s="98">
        <v>0</v>
      </c>
      <c r="J571" s="98">
        <v>0</v>
      </c>
      <c r="K571" s="101">
        <f t="shared" si="516"/>
        <v>0</v>
      </c>
      <c r="L571" s="100">
        <v>0</v>
      </c>
      <c r="M571" s="98">
        <v>0</v>
      </c>
      <c r="N571" s="101">
        <f t="shared" si="517"/>
        <v>0</v>
      </c>
      <c r="O571" s="100">
        <v>0</v>
      </c>
      <c r="P571" s="98">
        <v>0</v>
      </c>
      <c r="Q571" s="101">
        <f t="shared" si="518"/>
        <v>0</v>
      </c>
      <c r="R571" s="100">
        <v>0</v>
      </c>
      <c r="S571" s="98">
        <v>0</v>
      </c>
      <c r="T571" s="101">
        <f t="shared" si="519"/>
        <v>0</v>
      </c>
      <c r="U571" s="183">
        <v>1</v>
      </c>
      <c r="V571" s="99">
        <v>1</v>
      </c>
      <c r="W571" s="98">
        <v>0</v>
      </c>
      <c r="X571" s="98">
        <v>0</v>
      </c>
      <c r="Y571" s="101">
        <f t="shared" si="522"/>
        <v>0</v>
      </c>
      <c r="Z571" s="101">
        <v>1</v>
      </c>
      <c r="AA571" s="183">
        <v>0</v>
      </c>
      <c r="AB571" s="99">
        <v>1</v>
      </c>
      <c r="AC571" s="98">
        <v>0</v>
      </c>
      <c r="AD571" s="98">
        <v>0</v>
      </c>
      <c r="AE571" s="101">
        <f t="shared" si="520"/>
        <v>0</v>
      </c>
      <c r="AF571" s="100">
        <v>0</v>
      </c>
      <c r="AG571" s="98">
        <v>0</v>
      </c>
      <c r="AH571" s="99">
        <f t="shared" si="521"/>
        <v>0</v>
      </c>
      <c r="AI571" s="101">
        <v>1</v>
      </c>
      <c r="AJ571" s="106"/>
    </row>
    <row r="572" spans="2:36" s="126" customFormat="1" ht="17.100000000000001" customHeight="1">
      <c r="B572" s="118"/>
      <c r="C572" s="119"/>
      <c r="D572" s="120"/>
      <c r="E572" s="121"/>
      <c r="F572" s="122"/>
      <c r="G572" s="123"/>
      <c r="H572" s="183">
        <v>1</v>
      </c>
      <c r="I572" s="363" t="s">
        <v>201</v>
      </c>
      <c r="J572" s="363"/>
      <c r="K572" s="124">
        <f>SUM(K565:K571)</f>
        <v>0</v>
      </c>
      <c r="L572" s="341" t="s">
        <v>201</v>
      </c>
      <c r="M572" s="342"/>
      <c r="N572" s="124">
        <f>SUM(N565:N571)</f>
        <v>0</v>
      </c>
      <c r="O572" s="341" t="s">
        <v>201</v>
      </c>
      <c r="P572" s="342"/>
      <c r="Q572" s="124">
        <f>SUM(Q565:Q571)</f>
        <v>0</v>
      </c>
      <c r="R572" s="341" t="s">
        <v>201</v>
      </c>
      <c r="S572" s="342"/>
      <c r="T572" s="124">
        <f>SUM(T565:T571)</f>
        <v>0</v>
      </c>
      <c r="U572" s="183">
        <v>1</v>
      </c>
      <c r="V572" s="99">
        <v>1</v>
      </c>
      <c r="W572" s="363" t="s">
        <v>201</v>
      </c>
      <c r="X572" s="363"/>
      <c r="Y572" s="124">
        <f>SUM(Y565:Y571)</f>
        <v>200</v>
      </c>
      <c r="Z572" s="101">
        <v>1</v>
      </c>
      <c r="AA572" s="183">
        <v>0</v>
      </c>
      <c r="AB572" s="99">
        <v>1</v>
      </c>
      <c r="AC572" s="363" t="s">
        <v>201</v>
      </c>
      <c r="AD572" s="363"/>
      <c r="AE572" s="124">
        <f>SUM(AE565:AE571)</f>
        <v>0</v>
      </c>
      <c r="AF572" s="364" t="s">
        <v>201</v>
      </c>
      <c r="AG572" s="363"/>
      <c r="AH572" s="143">
        <f>SUM(AH565:AH571)</f>
        <v>0</v>
      </c>
      <c r="AI572" s="101">
        <v>1</v>
      </c>
      <c r="AJ572" s="125"/>
    </row>
    <row r="573" spans="2:36" s="35" customFormat="1" ht="16.95" customHeight="1">
      <c r="B573" s="248"/>
      <c r="C573" s="249">
        <f>'3. Rekap Back Up Non Aspal '!C92</f>
        <v>10900</v>
      </c>
      <c r="D573" s="250">
        <f>'3. Rekap Back Up Non Aspal '!D92</f>
        <v>11000</v>
      </c>
      <c r="E573" s="251">
        <f>'3. Rekap Back Up Non Aspal '!E92</f>
        <v>3</v>
      </c>
      <c r="F573" s="112">
        <f>(100/((D573-C573)*E573))*((K580*0.05)+(N580*0.05)+(Q580*0.05)+(T580)+(Y580)+(AE580*1.5)+(AH580*1))</f>
        <v>26.666666666666664</v>
      </c>
      <c r="G573" s="113" t="str">
        <f>IF(F573&lt;=25,"RB",IF(F573&lt;=75,"RB",IF(F573&lt;=100,"RB","RB")))</f>
        <v>RB</v>
      </c>
      <c r="H573" s="183">
        <v>1</v>
      </c>
      <c r="I573" s="98">
        <v>0</v>
      </c>
      <c r="J573" s="98">
        <v>0</v>
      </c>
      <c r="K573" s="101">
        <f t="shared" ref="K573:K579" si="523">I573*J573</f>
        <v>0</v>
      </c>
      <c r="L573" s="98">
        <v>0</v>
      </c>
      <c r="M573" s="98">
        <v>0</v>
      </c>
      <c r="N573" s="101">
        <f t="shared" ref="N573:N579" si="524">L573*M573</f>
        <v>0</v>
      </c>
      <c r="O573" s="98">
        <v>0</v>
      </c>
      <c r="P573" s="98">
        <v>0</v>
      </c>
      <c r="Q573" s="101">
        <f t="shared" ref="Q573:Q579" si="525">O573*P573</f>
        <v>0</v>
      </c>
      <c r="R573" s="98">
        <v>0</v>
      </c>
      <c r="S573" s="98">
        <v>0</v>
      </c>
      <c r="T573" s="101">
        <f t="shared" ref="T573:T579" si="526">R573*S573</f>
        <v>0</v>
      </c>
      <c r="U573" s="183">
        <v>3</v>
      </c>
      <c r="V573" s="99">
        <v>3</v>
      </c>
      <c r="W573" s="98">
        <v>40</v>
      </c>
      <c r="X573" s="98">
        <v>2</v>
      </c>
      <c r="Y573" s="101">
        <f>W573*X573</f>
        <v>80</v>
      </c>
      <c r="Z573" s="101">
        <v>1</v>
      </c>
      <c r="AA573" s="183">
        <v>0</v>
      </c>
      <c r="AB573" s="99">
        <v>1</v>
      </c>
      <c r="AC573" s="98">
        <v>0</v>
      </c>
      <c r="AD573" s="98">
        <v>0</v>
      </c>
      <c r="AE573" s="101">
        <f t="shared" ref="AE573:AE579" si="527">AC573*AD573</f>
        <v>0</v>
      </c>
      <c r="AF573" s="98">
        <v>0</v>
      </c>
      <c r="AG573" s="98">
        <v>3</v>
      </c>
      <c r="AH573" s="99">
        <f t="shared" ref="AH573:AH579" si="528">AF573*AG573</f>
        <v>0</v>
      </c>
      <c r="AI573" s="101">
        <v>1</v>
      </c>
      <c r="AJ573" s="106"/>
    </row>
    <row r="574" spans="2:36" s="35" customFormat="1" ht="17.100000000000001" customHeight="1">
      <c r="B574" s="105"/>
      <c r="C574" s="54"/>
      <c r="D574" s="96"/>
      <c r="E574" s="111"/>
      <c r="F574" s="112"/>
      <c r="G574" s="113"/>
      <c r="H574" s="183">
        <v>1</v>
      </c>
      <c r="I574" s="98">
        <v>0</v>
      </c>
      <c r="J574" s="98">
        <v>0</v>
      </c>
      <c r="K574" s="101">
        <f t="shared" si="523"/>
        <v>0</v>
      </c>
      <c r="L574" s="100">
        <v>0</v>
      </c>
      <c r="M574" s="98">
        <v>0</v>
      </c>
      <c r="N574" s="101">
        <f t="shared" si="524"/>
        <v>0</v>
      </c>
      <c r="O574" s="100">
        <v>0</v>
      </c>
      <c r="P574" s="98">
        <v>0</v>
      </c>
      <c r="Q574" s="101">
        <f t="shared" si="525"/>
        <v>0</v>
      </c>
      <c r="R574" s="100">
        <v>0</v>
      </c>
      <c r="S574" s="98">
        <v>0</v>
      </c>
      <c r="T574" s="101">
        <f t="shared" si="526"/>
        <v>0</v>
      </c>
      <c r="U574" s="183">
        <v>1</v>
      </c>
      <c r="V574" s="99">
        <v>1</v>
      </c>
      <c r="W574" s="98">
        <v>0</v>
      </c>
      <c r="X574" s="98">
        <v>0</v>
      </c>
      <c r="Y574" s="101">
        <f t="shared" ref="Y574:Y579" si="529">W574*X574</f>
        <v>0</v>
      </c>
      <c r="Z574" s="101">
        <v>1</v>
      </c>
      <c r="AA574" s="183">
        <v>0</v>
      </c>
      <c r="AB574" s="99">
        <v>1</v>
      </c>
      <c r="AC574" s="98">
        <v>0</v>
      </c>
      <c r="AD574" s="98">
        <v>0</v>
      </c>
      <c r="AE574" s="101">
        <f t="shared" si="527"/>
        <v>0</v>
      </c>
      <c r="AF574" s="100">
        <v>0</v>
      </c>
      <c r="AG574" s="98">
        <v>0</v>
      </c>
      <c r="AH574" s="99">
        <f t="shared" si="528"/>
        <v>0</v>
      </c>
      <c r="AI574" s="101">
        <v>1</v>
      </c>
      <c r="AJ574" s="106"/>
    </row>
    <row r="575" spans="2:36" s="35" customFormat="1" ht="17.100000000000001" customHeight="1">
      <c r="B575" s="105"/>
      <c r="C575" s="54"/>
      <c r="D575" s="96"/>
      <c r="E575" s="111"/>
      <c r="F575" s="112"/>
      <c r="G575" s="113"/>
      <c r="H575" s="183">
        <v>1</v>
      </c>
      <c r="I575" s="98">
        <v>0</v>
      </c>
      <c r="J575" s="98">
        <v>0</v>
      </c>
      <c r="K575" s="101">
        <f t="shared" si="523"/>
        <v>0</v>
      </c>
      <c r="L575" s="100">
        <v>0</v>
      </c>
      <c r="M575" s="98">
        <v>0</v>
      </c>
      <c r="N575" s="101">
        <f t="shared" si="524"/>
        <v>0</v>
      </c>
      <c r="O575" s="100">
        <v>0</v>
      </c>
      <c r="P575" s="98">
        <v>0</v>
      </c>
      <c r="Q575" s="101">
        <f t="shared" si="525"/>
        <v>0</v>
      </c>
      <c r="R575" s="100">
        <v>0</v>
      </c>
      <c r="S575" s="98">
        <v>0</v>
      </c>
      <c r="T575" s="101">
        <f t="shared" si="526"/>
        <v>0</v>
      </c>
      <c r="U575" s="183">
        <v>1</v>
      </c>
      <c r="V575" s="99">
        <v>1</v>
      </c>
      <c r="W575" s="98">
        <v>0</v>
      </c>
      <c r="X575" s="98">
        <v>0</v>
      </c>
      <c r="Y575" s="101">
        <f t="shared" si="529"/>
        <v>0</v>
      </c>
      <c r="Z575" s="101">
        <v>1</v>
      </c>
      <c r="AA575" s="183">
        <v>0</v>
      </c>
      <c r="AB575" s="99">
        <v>1</v>
      </c>
      <c r="AC575" s="98">
        <v>0</v>
      </c>
      <c r="AD575" s="98">
        <v>0</v>
      </c>
      <c r="AE575" s="101">
        <f t="shared" si="527"/>
        <v>0</v>
      </c>
      <c r="AF575" s="100">
        <v>0</v>
      </c>
      <c r="AG575" s="98">
        <v>0</v>
      </c>
      <c r="AH575" s="99">
        <f t="shared" si="528"/>
        <v>0</v>
      </c>
      <c r="AI575" s="101">
        <v>1</v>
      </c>
      <c r="AJ575" s="106"/>
    </row>
    <row r="576" spans="2:36" s="35" customFormat="1" ht="17.100000000000001" customHeight="1">
      <c r="B576" s="105"/>
      <c r="C576" s="54"/>
      <c r="D576" s="96"/>
      <c r="E576" s="111"/>
      <c r="F576" s="112"/>
      <c r="G576" s="113"/>
      <c r="H576" s="183">
        <v>1</v>
      </c>
      <c r="I576" s="98">
        <v>0</v>
      </c>
      <c r="J576" s="98">
        <v>0</v>
      </c>
      <c r="K576" s="101">
        <f t="shared" si="523"/>
        <v>0</v>
      </c>
      <c r="L576" s="100">
        <v>0</v>
      </c>
      <c r="M576" s="98">
        <v>0</v>
      </c>
      <c r="N576" s="101">
        <f t="shared" si="524"/>
        <v>0</v>
      </c>
      <c r="O576" s="100">
        <v>0</v>
      </c>
      <c r="P576" s="98">
        <v>0</v>
      </c>
      <c r="Q576" s="101">
        <f t="shared" si="525"/>
        <v>0</v>
      </c>
      <c r="R576" s="100">
        <v>0</v>
      </c>
      <c r="S576" s="98">
        <v>0</v>
      </c>
      <c r="T576" s="101">
        <f t="shared" si="526"/>
        <v>0</v>
      </c>
      <c r="U576" s="183">
        <v>1</v>
      </c>
      <c r="V576" s="99">
        <v>1</v>
      </c>
      <c r="W576" s="98">
        <v>0</v>
      </c>
      <c r="X576" s="98">
        <v>0</v>
      </c>
      <c r="Y576" s="101">
        <f t="shared" si="529"/>
        <v>0</v>
      </c>
      <c r="Z576" s="101">
        <v>1</v>
      </c>
      <c r="AA576" s="183">
        <v>0</v>
      </c>
      <c r="AB576" s="99">
        <v>1</v>
      </c>
      <c r="AC576" s="98">
        <v>0</v>
      </c>
      <c r="AD576" s="98">
        <v>0</v>
      </c>
      <c r="AE576" s="101">
        <f t="shared" si="527"/>
        <v>0</v>
      </c>
      <c r="AF576" s="100">
        <v>0</v>
      </c>
      <c r="AG576" s="98">
        <v>0</v>
      </c>
      <c r="AH576" s="99">
        <f t="shared" si="528"/>
        <v>0</v>
      </c>
      <c r="AI576" s="101">
        <v>1</v>
      </c>
      <c r="AJ576" s="106"/>
    </row>
    <row r="577" spans="2:36" s="35" customFormat="1" ht="17.100000000000001" customHeight="1">
      <c r="B577" s="105"/>
      <c r="C577" s="54"/>
      <c r="D577" s="96"/>
      <c r="E577" s="111"/>
      <c r="F577" s="112"/>
      <c r="G577" s="113"/>
      <c r="H577" s="183">
        <v>1</v>
      </c>
      <c r="I577" s="98">
        <v>0</v>
      </c>
      <c r="J577" s="98">
        <v>0</v>
      </c>
      <c r="K577" s="101">
        <f t="shared" si="523"/>
        <v>0</v>
      </c>
      <c r="L577" s="100">
        <v>0</v>
      </c>
      <c r="M577" s="98">
        <v>0</v>
      </c>
      <c r="N577" s="101">
        <f t="shared" si="524"/>
        <v>0</v>
      </c>
      <c r="O577" s="100">
        <v>0</v>
      </c>
      <c r="P577" s="98">
        <v>0</v>
      </c>
      <c r="Q577" s="101">
        <f t="shared" si="525"/>
        <v>0</v>
      </c>
      <c r="R577" s="100">
        <v>0</v>
      </c>
      <c r="S577" s="98">
        <v>0</v>
      </c>
      <c r="T577" s="101">
        <f t="shared" si="526"/>
        <v>0</v>
      </c>
      <c r="U577" s="183">
        <v>1</v>
      </c>
      <c r="V577" s="99">
        <v>1</v>
      </c>
      <c r="W577" s="98">
        <v>0</v>
      </c>
      <c r="X577" s="98">
        <v>0</v>
      </c>
      <c r="Y577" s="101">
        <f t="shared" si="529"/>
        <v>0</v>
      </c>
      <c r="Z577" s="101">
        <v>1</v>
      </c>
      <c r="AA577" s="183">
        <v>0</v>
      </c>
      <c r="AB577" s="99">
        <v>1</v>
      </c>
      <c r="AC577" s="98">
        <v>0</v>
      </c>
      <c r="AD577" s="98">
        <v>0</v>
      </c>
      <c r="AE577" s="101">
        <f t="shared" si="527"/>
        <v>0</v>
      </c>
      <c r="AF577" s="100">
        <v>0</v>
      </c>
      <c r="AG577" s="98">
        <v>0</v>
      </c>
      <c r="AH577" s="99">
        <f t="shared" si="528"/>
        <v>0</v>
      </c>
      <c r="AI577" s="101">
        <v>1</v>
      </c>
      <c r="AJ577" s="106"/>
    </row>
    <row r="578" spans="2:36" s="35" customFormat="1" ht="17.100000000000001" customHeight="1">
      <c r="B578" s="105"/>
      <c r="C578" s="54"/>
      <c r="D578" s="96"/>
      <c r="E578" s="111"/>
      <c r="F578" s="112"/>
      <c r="G578" s="113"/>
      <c r="H578" s="183">
        <v>1</v>
      </c>
      <c r="I578" s="98">
        <v>0</v>
      </c>
      <c r="J578" s="98">
        <v>0</v>
      </c>
      <c r="K578" s="101">
        <f t="shared" si="523"/>
        <v>0</v>
      </c>
      <c r="L578" s="100">
        <v>0</v>
      </c>
      <c r="M578" s="98">
        <v>0</v>
      </c>
      <c r="N578" s="101">
        <f t="shared" si="524"/>
        <v>0</v>
      </c>
      <c r="O578" s="100">
        <v>0</v>
      </c>
      <c r="P578" s="98">
        <v>0</v>
      </c>
      <c r="Q578" s="101">
        <f t="shared" si="525"/>
        <v>0</v>
      </c>
      <c r="R578" s="100">
        <v>0</v>
      </c>
      <c r="S578" s="98">
        <v>0</v>
      </c>
      <c r="T578" s="101">
        <f t="shared" si="526"/>
        <v>0</v>
      </c>
      <c r="U578" s="183">
        <v>1</v>
      </c>
      <c r="V578" s="99">
        <v>1</v>
      </c>
      <c r="W578" s="98">
        <v>0</v>
      </c>
      <c r="X578" s="98">
        <v>0</v>
      </c>
      <c r="Y578" s="101">
        <f t="shared" si="529"/>
        <v>0</v>
      </c>
      <c r="Z578" s="101">
        <v>1</v>
      </c>
      <c r="AA578" s="183">
        <v>0</v>
      </c>
      <c r="AB578" s="99">
        <v>1</v>
      </c>
      <c r="AC578" s="98">
        <v>0</v>
      </c>
      <c r="AD578" s="98">
        <v>0</v>
      </c>
      <c r="AE578" s="101">
        <f t="shared" si="527"/>
        <v>0</v>
      </c>
      <c r="AF578" s="100">
        <v>0</v>
      </c>
      <c r="AG578" s="98">
        <v>0</v>
      </c>
      <c r="AH578" s="99">
        <f t="shared" si="528"/>
        <v>0</v>
      </c>
      <c r="AI578" s="101">
        <v>1</v>
      </c>
      <c r="AJ578" s="106"/>
    </row>
    <row r="579" spans="2:36" s="35" customFormat="1" ht="17.100000000000001" customHeight="1">
      <c r="B579" s="105"/>
      <c r="C579" s="54"/>
      <c r="D579" s="96"/>
      <c r="E579" s="111"/>
      <c r="F579" s="112"/>
      <c r="G579" s="113"/>
      <c r="H579" s="183">
        <v>1</v>
      </c>
      <c r="I579" s="98">
        <v>0</v>
      </c>
      <c r="J579" s="98">
        <v>0</v>
      </c>
      <c r="K579" s="101">
        <f t="shared" si="523"/>
        <v>0</v>
      </c>
      <c r="L579" s="100">
        <v>0</v>
      </c>
      <c r="M579" s="98">
        <v>0</v>
      </c>
      <c r="N579" s="101">
        <f t="shared" si="524"/>
        <v>0</v>
      </c>
      <c r="O579" s="100">
        <v>0</v>
      </c>
      <c r="P579" s="98">
        <v>0</v>
      </c>
      <c r="Q579" s="101">
        <f t="shared" si="525"/>
        <v>0</v>
      </c>
      <c r="R579" s="100">
        <v>0</v>
      </c>
      <c r="S579" s="98">
        <v>0</v>
      </c>
      <c r="T579" s="101">
        <f t="shared" si="526"/>
        <v>0</v>
      </c>
      <c r="U579" s="183">
        <v>1</v>
      </c>
      <c r="V579" s="99">
        <v>1</v>
      </c>
      <c r="W579" s="98">
        <v>0</v>
      </c>
      <c r="X579" s="98">
        <v>0</v>
      </c>
      <c r="Y579" s="101">
        <f t="shared" si="529"/>
        <v>0</v>
      </c>
      <c r="Z579" s="101">
        <v>1</v>
      </c>
      <c r="AA579" s="183">
        <v>0</v>
      </c>
      <c r="AB579" s="99">
        <v>1</v>
      </c>
      <c r="AC579" s="98">
        <v>0</v>
      </c>
      <c r="AD579" s="98">
        <v>0</v>
      </c>
      <c r="AE579" s="101">
        <f t="shared" si="527"/>
        <v>0</v>
      </c>
      <c r="AF579" s="100">
        <v>0</v>
      </c>
      <c r="AG579" s="98">
        <v>0</v>
      </c>
      <c r="AH579" s="99">
        <f t="shared" si="528"/>
        <v>0</v>
      </c>
      <c r="AI579" s="101">
        <v>1</v>
      </c>
      <c r="AJ579" s="106"/>
    </row>
    <row r="580" spans="2:36" s="126" customFormat="1" ht="17.100000000000001" customHeight="1" thickBot="1">
      <c r="B580" s="128"/>
      <c r="C580" s="154"/>
      <c r="D580" s="155"/>
      <c r="E580" s="156"/>
      <c r="F580" s="129"/>
      <c r="G580" s="130"/>
      <c r="H580" s="184">
        <v>1</v>
      </c>
      <c r="I580" s="361" t="s">
        <v>201</v>
      </c>
      <c r="J580" s="361"/>
      <c r="K580" s="131">
        <f>SUM(K573:K579)</f>
        <v>0</v>
      </c>
      <c r="L580" s="344" t="s">
        <v>201</v>
      </c>
      <c r="M580" s="345"/>
      <c r="N580" s="131">
        <f>SUM(N573:N579)</f>
        <v>0</v>
      </c>
      <c r="O580" s="344" t="s">
        <v>201</v>
      </c>
      <c r="P580" s="345"/>
      <c r="Q580" s="131">
        <f>SUM(Q573:Q579)</f>
        <v>0</v>
      </c>
      <c r="R580" s="344" t="s">
        <v>201</v>
      </c>
      <c r="S580" s="345"/>
      <c r="T580" s="131">
        <f>SUM(T573:T579)</f>
        <v>0</v>
      </c>
      <c r="U580" s="184">
        <v>1</v>
      </c>
      <c r="V580" s="160">
        <v>1</v>
      </c>
      <c r="W580" s="361" t="s">
        <v>201</v>
      </c>
      <c r="X580" s="361"/>
      <c r="Y580" s="131">
        <f>SUM(Y573:Y579)</f>
        <v>80</v>
      </c>
      <c r="Z580" s="133">
        <v>1</v>
      </c>
      <c r="AA580" s="184">
        <v>0</v>
      </c>
      <c r="AB580" s="160">
        <v>1</v>
      </c>
      <c r="AC580" s="361" t="s">
        <v>201</v>
      </c>
      <c r="AD580" s="361"/>
      <c r="AE580" s="131">
        <f>SUM(AE573:AE579)</f>
        <v>0</v>
      </c>
      <c r="AF580" s="362" t="s">
        <v>201</v>
      </c>
      <c r="AG580" s="361"/>
      <c r="AH580" s="144">
        <f>SUM(AH573:AH579)</f>
        <v>0</v>
      </c>
      <c r="AI580" s="133">
        <v>1</v>
      </c>
      <c r="AJ580" s="134"/>
    </row>
    <row r="581" spans="2:36" s="35" customFormat="1" ht="16.95" customHeight="1">
      <c r="B581" s="114"/>
      <c r="C581" s="157">
        <f>'3. Rekap Back Up Non Aspal '!C93</f>
        <v>11310</v>
      </c>
      <c r="D581" s="158">
        <f>'3. Rekap Back Up Non Aspal '!D93</f>
        <v>11400</v>
      </c>
      <c r="E581" s="159">
        <f>'3. Rekap Back Up Non Aspal '!E93</f>
        <v>3</v>
      </c>
      <c r="F581" s="115">
        <f>(100/((D581-C581)*E581))*((K588*0.05)+(N588*0.05)+(Q588*0.05)+(T588)+(Y588)+(AE588*1.5)+(AH588*1))</f>
        <v>66.666666666666657</v>
      </c>
      <c r="G581" s="116" t="str">
        <f>IF(F581&lt;=25,"RB",IF(F581&lt;=75,"RB",IF(F581&lt;=100,"RB","RB")))</f>
        <v>RB</v>
      </c>
      <c r="H581" s="185">
        <v>1</v>
      </c>
      <c r="I581" s="136">
        <v>0</v>
      </c>
      <c r="J581" s="136">
        <v>0</v>
      </c>
      <c r="K581" s="137">
        <f t="shared" ref="K581:K587" si="530">I581*J581</f>
        <v>0</v>
      </c>
      <c r="L581" s="136">
        <v>0</v>
      </c>
      <c r="M581" s="136">
        <v>0</v>
      </c>
      <c r="N581" s="137">
        <f t="shared" ref="N581:N587" si="531">L581*M581</f>
        <v>0</v>
      </c>
      <c r="O581" s="136">
        <v>0</v>
      </c>
      <c r="P581" s="136">
        <v>3</v>
      </c>
      <c r="Q581" s="137">
        <f t="shared" ref="Q581:Q587" si="532">O581*P581</f>
        <v>0</v>
      </c>
      <c r="R581" s="136">
        <v>10</v>
      </c>
      <c r="S581" s="136">
        <v>3</v>
      </c>
      <c r="T581" s="137">
        <f t="shared" ref="T581:T587" si="533">R581*S581</f>
        <v>30</v>
      </c>
      <c r="U581" s="185">
        <v>3</v>
      </c>
      <c r="V581" s="138">
        <v>2</v>
      </c>
      <c r="W581" s="136">
        <v>50</v>
      </c>
      <c r="X581" s="136">
        <v>3</v>
      </c>
      <c r="Y581" s="137">
        <f>W581*X581</f>
        <v>150</v>
      </c>
      <c r="Z581" s="137">
        <v>1</v>
      </c>
      <c r="AA581" s="185">
        <v>0</v>
      </c>
      <c r="AB581" s="138">
        <v>1</v>
      </c>
      <c r="AC581" s="136">
        <v>0</v>
      </c>
      <c r="AD581" s="136">
        <v>0</v>
      </c>
      <c r="AE581" s="137">
        <f t="shared" ref="AE581:AE587" si="534">AC581*AD581</f>
        <v>0</v>
      </c>
      <c r="AF581" s="136">
        <v>0</v>
      </c>
      <c r="AG581" s="136">
        <v>0</v>
      </c>
      <c r="AH581" s="138">
        <f t="shared" ref="AH581:AH587" si="535">AF581*AG581</f>
        <v>0</v>
      </c>
      <c r="AI581" s="137">
        <v>1</v>
      </c>
      <c r="AJ581" s="139"/>
    </row>
    <row r="582" spans="2:36" s="35" customFormat="1" ht="17.100000000000001" customHeight="1">
      <c r="B582" s="105"/>
      <c r="C582" s="54"/>
      <c r="D582" s="96"/>
      <c r="E582" s="111"/>
      <c r="F582" s="112"/>
      <c r="G582" s="113"/>
      <c r="H582" s="183">
        <v>1</v>
      </c>
      <c r="I582" s="98">
        <v>0</v>
      </c>
      <c r="J582" s="98">
        <v>0</v>
      </c>
      <c r="K582" s="101">
        <f t="shared" si="530"/>
        <v>0</v>
      </c>
      <c r="L582" s="100">
        <v>0</v>
      </c>
      <c r="M582" s="98">
        <v>0</v>
      </c>
      <c r="N582" s="101">
        <f t="shared" si="531"/>
        <v>0</v>
      </c>
      <c r="O582" s="100">
        <v>0</v>
      </c>
      <c r="P582" s="98">
        <v>0</v>
      </c>
      <c r="Q582" s="101">
        <f t="shared" si="532"/>
        <v>0</v>
      </c>
      <c r="R582" s="100">
        <v>0</v>
      </c>
      <c r="S582" s="98">
        <v>0</v>
      </c>
      <c r="T582" s="101">
        <f t="shared" si="533"/>
        <v>0</v>
      </c>
      <c r="U582" s="183">
        <v>1</v>
      </c>
      <c r="V582" s="99">
        <v>1</v>
      </c>
      <c r="W582" s="98">
        <v>0</v>
      </c>
      <c r="X582" s="98">
        <v>0</v>
      </c>
      <c r="Y582" s="101">
        <f t="shared" ref="Y582:Y587" si="536">W582*X582</f>
        <v>0</v>
      </c>
      <c r="Z582" s="101">
        <v>1</v>
      </c>
      <c r="AA582" s="183">
        <v>0</v>
      </c>
      <c r="AB582" s="99">
        <v>1</v>
      </c>
      <c r="AC582" s="98">
        <v>0</v>
      </c>
      <c r="AD582" s="98">
        <v>0</v>
      </c>
      <c r="AE582" s="101">
        <f t="shared" si="534"/>
        <v>0</v>
      </c>
      <c r="AF582" s="100">
        <v>0</v>
      </c>
      <c r="AG582" s="98">
        <v>0</v>
      </c>
      <c r="AH582" s="99">
        <f t="shared" si="535"/>
        <v>0</v>
      </c>
      <c r="AI582" s="101">
        <v>1</v>
      </c>
      <c r="AJ582" s="106"/>
    </row>
    <row r="583" spans="2:36" s="35" customFormat="1" ht="17.100000000000001" customHeight="1">
      <c r="B583" s="105"/>
      <c r="C583" s="54"/>
      <c r="D583" s="96"/>
      <c r="E583" s="111"/>
      <c r="F583" s="112"/>
      <c r="G583" s="113"/>
      <c r="H583" s="183">
        <v>1</v>
      </c>
      <c r="I583" s="98">
        <v>0</v>
      </c>
      <c r="J583" s="98">
        <v>0</v>
      </c>
      <c r="K583" s="101">
        <f t="shared" si="530"/>
        <v>0</v>
      </c>
      <c r="L583" s="100">
        <v>0</v>
      </c>
      <c r="M583" s="98">
        <v>0</v>
      </c>
      <c r="N583" s="101">
        <f t="shared" si="531"/>
        <v>0</v>
      </c>
      <c r="O583" s="100">
        <v>0</v>
      </c>
      <c r="P583" s="98">
        <v>0</v>
      </c>
      <c r="Q583" s="101">
        <f t="shared" si="532"/>
        <v>0</v>
      </c>
      <c r="R583" s="100">
        <v>0</v>
      </c>
      <c r="S583" s="98">
        <v>0</v>
      </c>
      <c r="T583" s="101">
        <f t="shared" si="533"/>
        <v>0</v>
      </c>
      <c r="U583" s="183">
        <v>1</v>
      </c>
      <c r="V583" s="99">
        <v>1</v>
      </c>
      <c r="W583" s="98">
        <v>0</v>
      </c>
      <c r="X583" s="98">
        <v>0</v>
      </c>
      <c r="Y583" s="101">
        <f t="shared" si="536"/>
        <v>0</v>
      </c>
      <c r="Z583" s="101">
        <v>1</v>
      </c>
      <c r="AA583" s="183">
        <v>0</v>
      </c>
      <c r="AB583" s="99">
        <v>1</v>
      </c>
      <c r="AC583" s="98">
        <v>0</v>
      </c>
      <c r="AD583" s="98">
        <v>0</v>
      </c>
      <c r="AE583" s="101">
        <f t="shared" si="534"/>
        <v>0</v>
      </c>
      <c r="AF583" s="100">
        <v>0</v>
      </c>
      <c r="AG583" s="98">
        <v>0</v>
      </c>
      <c r="AH583" s="99">
        <f t="shared" si="535"/>
        <v>0</v>
      </c>
      <c r="AI583" s="101">
        <v>1</v>
      </c>
      <c r="AJ583" s="106"/>
    </row>
    <row r="584" spans="2:36" s="35" customFormat="1" ht="17.100000000000001" customHeight="1">
      <c r="B584" s="105"/>
      <c r="C584" s="54"/>
      <c r="D584" s="96"/>
      <c r="E584" s="111"/>
      <c r="F584" s="112"/>
      <c r="G584" s="113"/>
      <c r="H584" s="183">
        <v>1</v>
      </c>
      <c r="I584" s="98">
        <v>0</v>
      </c>
      <c r="J584" s="98">
        <v>0</v>
      </c>
      <c r="K584" s="101">
        <f t="shared" si="530"/>
        <v>0</v>
      </c>
      <c r="L584" s="100">
        <v>0</v>
      </c>
      <c r="M584" s="98">
        <v>0</v>
      </c>
      <c r="N584" s="101">
        <f t="shared" si="531"/>
        <v>0</v>
      </c>
      <c r="O584" s="100">
        <v>0</v>
      </c>
      <c r="P584" s="98">
        <v>0</v>
      </c>
      <c r="Q584" s="101">
        <f t="shared" si="532"/>
        <v>0</v>
      </c>
      <c r="R584" s="100">
        <v>0</v>
      </c>
      <c r="S584" s="98">
        <v>0</v>
      </c>
      <c r="T584" s="101">
        <f t="shared" si="533"/>
        <v>0</v>
      </c>
      <c r="U584" s="183">
        <v>1</v>
      </c>
      <c r="V584" s="99">
        <v>1</v>
      </c>
      <c r="W584" s="98">
        <v>0</v>
      </c>
      <c r="X584" s="98">
        <v>0</v>
      </c>
      <c r="Y584" s="101">
        <f t="shared" si="536"/>
        <v>0</v>
      </c>
      <c r="Z584" s="101">
        <v>1</v>
      </c>
      <c r="AA584" s="183">
        <v>0</v>
      </c>
      <c r="AB584" s="99">
        <v>1</v>
      </c>
      <c r="AC584" s="98">
        <v>0</v>
      </c>
      <c r="AD584" s="98">
        <v>0</v>
      </c>
      <c r="AE584" s="101">
        <f t="shared" si="534"/>
        <v>0</v>
      </c>
      <c r="AF584" s="100">
        <v>0</v>
      </c>
      <c r="AG584" s="98">
        <v>0</v>
      </c>
      <c r="AH584" s="99">
        <f t="shared" si="535"/>
        <v>0</v>
      </c>
      <c r="AI584" s="101">
        <v>1</v>
      </c>
      <c r="AJ584" s="106"/>
    </row>
    <row r="585" spans="2:36" s="35" customFormat="1" ht="17.100000000000001" customHeight="1">
      <c r="B585" s="105"/>
      <c r="C585" s="54"/>
      <c r="D585" s="96"/>
      <c r="E585" s="111"/>
      <c r="F585" s="112"/>
      <c r="G585" s="113"/>
      <c r="H585" s="183">
        <v>1</v>
      </c>
      <c r="I585" s="98">
        <v>0</v>
      </c>
      <c r="J585" s="98">
        <v>0</v>
      </c>
      <c r="K585" s="101">
        <f t="shared" si="530"/>
        <v>0</v>
      </c>
      <c r="L585" s="100">
        <v>0</v>
      </c>
      <c r="M585" s="98">
        <v>0</v>
      </c>
      <c r="N585" s="101">
        <f t="shared" si="531"/>
        <v>0</v>
      </c>
      <c r="O585" s="100">
        <v>0</v>
      </c>
      <c r="P585" s="98">
        <v>0</v>
      </c>
      <c r="Q585" s="101">
        <f t="shared" si="532"/>
        <v>0</v>
      </c>
      <c r="R585" s="100">
        <v>0</v>
      </c>
      <c r="S585" s="98">
        <v>0</v>
      </c>
      <c r="T585" s="101">
        <f t="shared" si="533"/>
        <v>0</v>
      </c>
      <c r="U585" s="183">
        <v>1</v>
      </c>
      <c r="V585" s="99">
        <v>1</v>
      </c>
      <c r="W585" s="98">
        <v>0</v>
      </c>
      <c r="X585" s="98">
        <v>0</v>
      </c>
      <c r="Y585" s="101">
        <f t="shared" si="536"/>
        <v>0</v>
      </c>
      <c r="Z585" s="101">
        <v>1</v>
      </c>
      <c r="AA585" s="183">
        <v>0</v>
      </c>
      <c r="AB585" s="99">
        <v>1</v>
      </c>
      <c r="AC585" s="98">
        <v>0</v>
      </c>
      <c r="AD585" s="98">
        <v>0</v>
      </c>
      <c r="AE585" s="101">
        <f t="shared" si="534"/>
        <v>0</v>
      </c>
      <c r="AF585" s="100">
        <v>0</v>
      </c>
      <c r="AG585" s="98">
        <v>0</v>
      </c>
      <c r="AH585" s="99">
        <f t="shared" si="535"/>
        <v>0</v>
      </c>
      <c r="AI585" s="101">
        <v>1</v>
      </c>
      <c r="AJ585" s="106"/>
    </row>
    <row r="586" spans="2:36" s="35" customFormat="1" ht="17.100000000000001" customHeight="1">
      <c r="B586" s="105"/>
      <c r="C586" s="54"/>
      <c r="D586" s="96"/>
      <c r="E586" s="111"/>
      <c r="F586" s="112"/>
      <c r="G586" s="113"/>
      <c r="H586" s="183">
        <v>1</v>
      </c>
      <c r="I586" s="98">
        <v>0</v>
      </c>
      <c r="J586" s="98">
        <v>0</v>
      </c>
      <c r="K586" s="101">
        <f t="shared" si="530"/>
        <v>0</v>
      </c>
      <c r="L586" s="100">
        <v>0</v>
      </c>
      <c r="M586" s="98">
        <v>0</v>
      </c>
      <c r="N586" s="101">
        <f t="shared" si="531"/>
        <v>0</v>
      </c>
      <c r="O586" s="100">
        <v>0</v>
      </c>
      <c r="P586" s="98">
        <v>0</v>
      </c>
      <c r="Q586" s="101">
        <f t="shared" si="532"/>
        <v>0</v>
      </c>
      <c r="R586" s="100">
        <v>0</v>
      </c>
      <c r="S586" s="98">
        <v>0</v>
      </c>
      <c r="T586" s="101">
        <f t="shared" si="533"/>
        <v>0</v>
      </c>
      <c r="U586" s="183">
        <v>1</v>
      </c>
      <c r="V586" s="99">
        <v>1</v>
      </c>
      <c r="W586" s="98">
        <v>0</v>
      </c>
      <c r="X586" s="98">
        <v>0</v>
      </c>
      <c r="Y586" s="101">
        <f t="shared" si="536"/>
        <v>0</v>
      </c>
      <c r="Z586" s="101">
        <v>1</v>
      </c>
      <c r="AA586" s="183">
        <v>0</v>
      </c>
      <c r="AB586" s="99">
        <v>1</v>
      </c>
      <c r="AC586" s="98">
        <v>0</v>
      </c>
      <c r="AD586" s="98">
        <v>0</v>
      </c>
      <c r="AE586" s="101">
        <f t="shared" si="534"/>
        <v>0</v>
      </c>
      <c r="AF586" s="100">
        <v>0</v>
      </c>
      <c r="AG586" s="98">
        <v>0</v>
      </c>
      <c r="AH586" s="99">
        <f t="shared" si="535"/>
        <v>0</v>
      </c>
      <c r="AI586" s="101">
        <v>1</v>
      </c>
      <c r="AJ586" s="106"/>
    </row>
    <row r="587" spans="2:36" s="35" customFormat="1" ht="17.100000000000001" customHeight="1">
      <c r="B587" s="105"/>
      <c r="C587" s="54"/>
      <c r="D587" s="96"/>
      <c r="E587" s="111"/>
      <c r="F587" s="112"/>
      <c r="G587" s="113"/>
      <c r="H587" s="183">
        <v>1</v>
      </c>
      <c r="I587" s="98">
        <v>0</v>
      </c>
      <c r="J587" s="98">
        <v>0</v>
      </c>
      <c r="K587" s="101">
        <f t="shared" si="530"/>
        <v>0</v>
      </c>
      <c r="L587" s="100">
        <v>0</v>
      </c>
      <c r="M587" s="98">
        <v>0</v>
      </c>
      <c r="N587" s="101">
        <f t="shared" si="531"/>
        <v>0</v>
      </c>
      <c r="O587" s="100">
        <v>0</v>
      </c>
      <c r="P587" s="98">
        <v>0</v>
      </c>
      <c r="Q587" s="101">
        <f t="shared" si="532"/>
        <v>0</v>
      </c>
      <c r="R587" s="100">
        <v>0</v>
      </c>
      <c r="S587" s="98">
        <v>0</v>
      </c>
      <c r="T587" s="101">
        <f t="shared" si="533"/>
        <v>0</v>
      </c>
      <c r="U587" s="183">
        <v>1</v>
      </c>
      <c r="V587" s="99">
        <v>1</v>
      </c>
      <c r="W587" s="98">
        <v>0</v>
      </c>
      <c r="X587" s="98">
        <v>0</v>
      </c>
      <c r="Y587" s="101">
        <f t="shared" si="536"/>
        <v>0</v>
      </c>
      <c r="Z587" s="101">
        <v>1</v>
      </c>
      <c r="AA587" s="183">
        <v>0</v>
      </c>
      <c r="AB587" s="99">
        <v>1</v>
      </c>
      <c r="AC587" s="98">
        <v>0</v>
      </c>
      <c r="AD587" s="98">
        <v>0</v>
      </c>
      <c r="AE587" s="101">
        <f t="shared" si="534"/>
        <v>0</v>
      </c>
      <c r="AF587" s="100">
        <v>0</v>
      </c>
      <c r="AG587" s="98">
        <v>0</v>
      </c>
      <c r="AH587" s="99">
        <f t="shared" si="535"/>
        <v>0</v>
      </c>
      <c r="AI587" s="101">
        <v>1</v>
      </c>
      <c r="AJ587" s="106"/>
    </row>
    <row r="588" spans="2:36" s="126" customFormat="1" ht="17.100000000000001" customHeight="1">
      <c r="B588" s="118"/>
      <c r="C588" s="119"/>
      <c r="D588" s="120"/>
      <c r="E588" s="121"/>
      <c r="F588" s="122"/>
      <c r="G588" s="123"/>
      <c r="H588" s="183">
        <v>1</v>
      </c>
      <c r="I588" s="363" t="s">
        <v>201</v>
      </c>
      <c r="J588" s="363"/>
      <c r="K588" s="124">
        <f>SUM(K581:K587)</f>
        <v>0</v>
      </c>
      <c r="L588" s="341" t="s">
        <v>201</v>
      </c>
      <c r="M588" s="342"/>
      <c r="N588" s="124">
        <f>SUM(N581:N587)</f>
        <v>0</v>
      </c>
      <c r="O588" s="341" t="s">
        <v>201</v>
      </c>
      <c r="P588" s="342"/>
      <c r="Q588" s="124">
        <f>SUM(Q581:Q587)</f>
        <v>0</v>
      </c>
      <c r="R588" s="341" t="s">
        <v>201</v>
      </c>
      <c r="S588" s="342"/>
      <c r="T588" s="124">
        <f>SUM(T581:T587)</f>
        <v>30</v>
      </c>
      <c r="U588" s="183">
        <v>1</v>
      </c>
      <c r="V588" s="99">
        <v>1</v>
      </c>
      <c r="W588" s="363" t="s">
        <v>201</v>
      </c>
      <c r="X588" s="363"/>
      <c r="Y588" s="124">
        <f>SUM(Y581:Y587)</f>
        <v>150</v>
      </c>
      <c r="Z588" s="101">
        <v>1</v>
      </c>
      <c r="AA588" s="183">
        <v>0</v>
      </c>
      <c r="AB588" s="99">
        <v>1</v>
      </c>
      <c r="AC588" s="363" t="s">
        <v>201</v>
      </c>
      <c r="AD588" s="363"/>
      <c r="AE588" s="124">
        <f>SUM(AE581:AE587)</f>
        <v>0</v>
      </c>
      <c r="AF588" s="364" t="s">
        <v>201</v>
      </c>
      <c r="AG588" s="363"/>
      <c r="AH588" s="143">
        <f>SUM(AH581:AH587)</f>
        <v>0</v>
      </c>
      <c r="AI588" s="101">
        <v>1</v>
      </c>
      <c r="AJ588" s="125"/>
    </row>
    <row r="589" spans="2:36" s="35" customFormat="1" ht="16.95" customHeight="1">
      <c r="B589" s="105"/>
      <c r="C589" s="54">
        <f>'3. Rekap Back Up Non Aspal '!C94</f>
        <v>11400</v>
      </c>
      <c r="D589" s="96">
        <f>'3. Rekap Back Up Non Aspal '!D94</f>
        <v>11500</v>
      </c>
      <c r="E589" s="111">
        <f>'3. Rekap Back Up Non Aspal '!E94</f>
        <v>3</v>
      </c>
      <c r="F589" s="112">
        <f>(100/((D589-C589)*E589))*((K596*0.05)+(N596*0.05)+(Q596*0.05)+(T596)+(Y596)+(AE596*1.5)+(AH596*1))</f>
        <v>10</v>
      </c>
      <c r="G589" s="113" t="str">
        <f>IF(F589&lt;=25,"RB",IF(F589&lt;=75,"RB",IF(F589&lt;=100,"RB","RB")))</f>
        <v>RB</v>
      </c>
      <c r="H589" s="183">
        <v>1</v>
      </c>
      <c r="I589" s="98">
        <v>0</v>
      </c>
      <c r="J589" s="98">
        <v>0</v>
      </c>
      <c r="K589" s="101">
        <f t="shared" ref="K589:K595" si="537">I589*J589</f>
        <v>0</v>
      </c>
      <c r="L589" s="98">
        <v>0</v>
      </c>
      <c r="M589" s="98">
        <v>0</v>
      </c>
      <c r="N589" s="101">
        <f t="shared" ref="N589:N595" si="538">L589*M589</f>
        <v>0</v>
      </c>
      <c r="O589" s="98">
        <v>0</v>
      </c>
      <c r="P589" s="98">
        <v>0</v>
      </c>
      <c r="Q589" s="101">
        <f t="shared" ref="Q589:Q595" si="539">O589*P589</f>
        <v>0</v>
      </c>
      <c r="R589" s="98">
        <v>10</v>
      </c>
      <c r="S589" s="98">
        <v>3</v>
      </c>
      <c r="T589" s="101">
        <f t="shared" ref="T589:T595" si="540">R589*S589</f>
        <v>30</v>
      </c>
      <c r="U589" s="183">
        <v>1</v>
      </c>
      <c r="V589" s="99">
        <v>1</v>
      </c>
      <c r="W589" s="98">
        <v>0</v>
      </c>
      <c r="X589" s="98">
        <v>0</v>
      </c>
      <c r="Y589" s="101">
        <f>W589*X589</f>
        <v>0</v>
      </c>
      <c r="Z589" s="101">
        <v>1</v>
      </c>
      <c r="AA589" s="183">
        <v>0</v>
      </c>
      <c r="AB589" s="99">
        <v>1</v>
      </c>
      <c r="AC589" s="98">
        <v>0</v>
      </c>
      <c r="AD589" s="98">
        <v>0</v>
      </c>
      <c r="AE589" s="101">
        <f t="shared" ref="AE589:AE595" si="541">AC589*AD589</f>
        <v>0</v>
      </c>
      <c r="AF589" s="98">
        <v>0</v>
      </c>
      <c r="AG589" s="98">
        <v>3</v>
      </c>
      <c r="AH589" s="99">
        <f t="shared" ref="AH589:AH595" si="542">AF589*AG589</f>
        <v>0</v>
      </c>
      <c r="AI589" s="101">
        <v>1</v>
      </c>
      <c r="AJ589" s="106"/>
    </row>
    <row r="590" spans="2:36" s="35" customFormat="1" ht="17.100000000000001" customHeight="1">
      <c r="B590" s="105"/>
      <c r="C590" s="54"/>
      <c r="D590" s="96"/>
      <c r="E590" s="111"/>
      <c r="F590" s="112"/>
      <c r="G590" s="113"/>
      <c r="H590" s="183">
        <v>1</v>
      </c>
      <c r="I590" s="98">
        <v>0</v>
      </c>
      <c r="J590" s="98">
        <v>0</v>
      </c>
      <c r="K590" s="101">
        <f t="shared" si="537"/>
        <v>0</v>
      </c>
      <c r="L590" s="100">
        <v>0</v>
      </c>
      <c r="M590" s="98">
        <v>0</v>
      </c>
      <c r="N590" s="101">
        <f t="shared" si="538"/>
        <v>0</v>
      </c>
      <c r="O590" s="100">
        <v>0</v>
      </c>
      <c r="P590" s="98">
        <v>0</v>
      </c>
      <c r="Q590" s="101">
        <f t="shared" si="539"/>
        <v>0</v>
      </c>
      <c r="R590" s="100">
        <v>0</v>
      </c>
      <c r="S590" s="98">
        <v>0</v>
      </c>
      <c r="T590" s="101">
        <f t="shared" si="540"/>
        <v>0</v>
      </c>
      <c r="U590" s="183">
        <v>1</v>
      </c>
      <c r="V590" s="99">
        <v>1</v>
      </c>
      <c r="W590" s="98">
        <v>0</v>
      </c>
      <c r="X590" s="98">
        <v>0</v>
      </c>
      <c r="Y590" s="101">
        <f t="shared" ref="Y590:Y595" si="543">W590*X590</f>
        <v>0</v>
      </c>
      <c r="Z590" s="101">
        <v>1</v>
      </c>
      <c r="AA590" s="183">
        <v>0</v>
      </c>
      <c r="AB590" s="99">
        <v>1</v>
      </c>
      <c r="AC590" s="98">
        <v>0</v>
      </c>
      <c r="AD590" s="98">
        <v>0</v>
      </c>
      <c r="AE590" s="101">
        <f t="shared" si="541"/>
        <v>0</v>
      </c>
      <c r="AF590" s="100">
        <v>0</v>
      </c>
      <c r="AG590" s="98">
        <v>0</v>
      </c>
      <c r="AH590" s="99">
        <f t="shared" si="542"/>
        <v>0</v>
      </c>
      <c r="AI590" s="101">
        <v>1</v>
      </c>
      <c r="AJ590" s="106"/>
    </row>
    <row r="591" spans="2:36" s="35" customFormat="1" ht="17.100000000000001" customHeight="1">
      <c r="B591" s="105"/>
      <c r="C591" s="54"/>
      <c r="D591" s="96"/>
      <c r="E591" s="111"/>
      <c r="F591" s="112"/>
      <c r="G591" s="113"/>
      <c r="H591" s="183">
        <v>1</v>
      </c>
      <c r="I591" s="98">
        <v>0</v>
      </c>
      <c r="J591" s="98">
        <v>0</v>
      </c>
      <c r="K591" s="101">
        <f t="shared" si="537"/>
        <v>0</v>
      </c>
      <c r="L591" s="100">
        <v>0</v>
      </c>
      <c r="M591" s="98">
        <v>0</v>
      </c>
      <c r="N591" s="101">
        <f t="shared" si="538"/>
        <v>0</v>
      </c>
      <c r="O591" s="100">
        <v>0</v>
      </c>
      <c r="P591" s="98">
        <v>0</v>
      </c>
      <c r="Q591" s="101">
        <f t="shared" si="539"/>
        <v>0</v>
      </c>
      <c r="R591" s="100">
        <v>0</v>
      </c>
      <c r="S591" s="98">
        <v>0</v>
      </c>
      <c r="T591" s="101">
        <f t="shared" si="540"/>
        <v>0</v>
      </c>
      <c r="U591" s="183">
        <v>1</v>
      </c>
      <c r="V591" s="99">
        <v>1</v>
      </c>
      <c r="W591" s="98">
        <v>0</v>
      </c>
      <c r="X591" s="98">
        <v>0</v>
      </c>
      <c r="Y591" s="101">
        <f t="shared" si="543"/>
        <v>0</v>
      </c>
      <c r="Z591" s="101">
        <v>1</v>
      </c>
      <c r="AA591" s="183">
        <v>0</v>
      </c>
      <c r="AB591" s="99">
        <v>1</v>
      </c>
      <c r="AC591" s="98">
        <v>0</v>
      </c>
      <c r="AD591" s="98">
        <v>0</v>
      </c>
      <c r="AE591" s="101">
        <f t="shared" si="541"/>
        <v>0</v>
      </c>
      <c r="AF591" s="100">
        <v>0</v>
      </c>
      <c r="AG591" s="98">
        <v>0</v>
      </c>
      <c r="AH591" s="99">
        <f t="shared" si="542"/>
        <v>0</v>
      </c>
      <c r="AI591" s="101">
        <v>1</v>
      </c>
      <c r="AJ591" s="106"/>
    </row>
    <row r="592" spans="2:36" s="35" customFormat="1" ht="17.100000000000001" customHeight="1">
      <c r="B592" s="105"/>
      <c r="C592" s="54"/>
      <c r="D592" s="96"/>
      <c r="E592" s="111"/>
      <c r="F592" s="112"/>
      <c r="G592" s="113"/>
      <c r="H592" s="183">
        <v>1</v>
      </c>
      <c r="I592" s="98">
        <v>0</v>
      </c>
      <c r="J592" s="98">
        <v>0</v>
      </c>
      <c r="K592" s="101">
        <f t="shared" si="537"/>
        <v>0</v>
      </c>
      <c r="L592" s="100">
        <v>0</v>
      </c>
      <c r="M592" s="98">
        <v>0</v>
      </c>
      <c r="N592" s="101">
        <f t="shared" si="538"/>
        <v>0</v>
      </c>
      <c r="O592" s="100">
        <v>0</v>
      </c>
      <c r="P592" s="98">
        <v>0</v>
      </c>
      <c r="Q592" s="101">
        <f t="shared" si="539"/>
        <v>0</v>
      </c>
      <c r="R592" s="100">
        <v>0</v>
      </c>
      <c r="S592" s="98">
        <v>0</v>
      </c>
      <c r="T592" s="101">
        <f t="shared" si="540"/>
        <v>0</v>
      </c>
      <c r="U592" s="183">
        <v>1</v>
      </c>
      <c r="V592" s="99">
        <v>1</v>
      </c>
      <c r="W592" s="98">
        <v>0</v>
      </c>
      <c r="X592" s="98">
        <v>0</v>
      </c>
      <c r="Y592" s="101">
        <f t="shared" si="543"/>
        <v>0</v>
      </c>
      <c r="Z592" s="101">
        <v>1</v>
      </c>
      <c r="AA592" s="183">
        <v>0</v>
      </c>
      <c r="AB592" s="99">
        <v>1</v>
      </c>
      <c r="AC592" s="98">
        <v>0</v>
      </c>
      <c r="AD592" s="98">
        <v>0</v>
      </c>
      <c r="AE592" s="101">
        <f t="shared" si="541"/>
        <v>0</v>
      </c>
      <c r="AF592" s="100">
        <v>0</v>
      </c>
      <c r="AG592" s="98">
        <v>0</v>
      </c>
      <c r="AH592" s="99">
        <f t="shared" si="542"/>
        <v>0</v>
      </c>
      <c r="AI592" s="101">
        <v>1</v>
      </c>
      <c r="AJ592" s="106"/>
    </row>
    <row r="593" spans="2:36" s="35" customFormat="1" ht="17.100000000000001" customHeight="1">
      <c r="B593" s="105"/>
      <c r="C593" s="54"/>
      <c r="D593" s="96"/>
      <c r="E593" s="111"/>
      <c r="F593" s="112"/>
      <c r="G593" s="113"/>
      <c r="H593" s="183">
        <v>1</v>
      </c>
      <c r="I593" s="98">
        <v>0</v>
      </c>
      <c r="J593" s="98">
        <v>0</v>
      </c>
      <c r="K593" s="101">
        <f t="shared" si="537"/>
        <v>0</v>
      </c>
      <c r="L593" s="100">
        <v>0</v>
      </c>
      <c r="M593" s="98">
        <v>0</v>
      </c>
      <c r="N593" s="101">
        <f t="shared" si="538"/>
        <v>0</v>
      </c>
      <c r="O593" s="100">
        <v>0</v>
      </c>
      <c r="P593" s="98">
        <v>0</v>
      </c>
      <c r="Q593" s="101">
        <f t="shared" si="539"/>
        <v>0</v>
      </c>
      <c r="R593" s="100">
        <v>0</v>
      </c>
      <c r="S593" s="98">
        <v>0</v>
      </c>
      <c r="T593" s="101">
        <f t="shared" si="540"/>
        <v>0</v>
      </c>
      <c r="U593" s="183">
        <v>1</v>
      </c>
      <c r="V593" s="99">
        <v>1</v>
      </c>
      <c r="W593" s="98">
        <v>0</v>
      </c>
      <c r="X593" s="98">
        <v>0</v>
      </c>
      <c r="Y593" s="101">
        <f t="shared" si="543"/>
        <v>0</v>
      </c>
      <c r="Z593" s="101">
        <v>1</v>
      </c>
      <c r="AA593" s="183">
        <v>0</v>
      </c>
      <c r="AB593" s="99">
        <v>1</v>
      </c>
      <c r="AC593" s="98">
        <v>0</v>
      </c>
      <c r="AD593" s="98">
        <v>0</v>
      </c>
      <c r="AE593" s="101">
        <f t="shared" si="541"/>
        <v>0</v>
      </c>
      <c r="AF593" s="100">
        <v>0</v>
      </c>
      <c r="AG593" s="98">
        <v>0</v>
      </c>
      <c r="AH593" s="99">
        <f t="shared" si="542"/>
        <v>0</v>
      </c>
      <c r="AI593" s="101">
        <v>1</v>
      </c>
      <c r="AJ593" s="106"/>
    </row>
    <row r="594" spans="2:36" s="35" customFormat="1" ht="17.100000000000001" customHeight="1">
      <c r="B594" s="105"/>
      <c r="C594" s="54"/>
      <c r="D594" s="96"/>
      <c r="E594" s="111"/>
      <c r="F594" s="112"/>
      <c r="G594" s="113"/>
      <c r="H594" s="183">
        <v>1</v>
      </c>
      <c r="I594" s="98">
        <v>0</v>
      </c>
      <c r="J594" s="98">
        <v>0</v>
      </c>
      <c r="K594" s="101">
        <f t="shared" si="537"/>
        <v>0</v>
      </c>
      <c r="L594" s="100">
        <v>0</v>
      </c>
      <c r="M594" s="98">
        <v>0</v>
      </c>
      <c r="N594" s="101">
        <f t="shared" si="538"/>
        <v>0</v>
      </c>
      <c r="O594" s="100">
        <v>0</v>
      </c>
      <c r="P594" s="98">
        <v>0</v>
      </c>
      <c r="Q594" s="101">
        <f t="shared" si="539"/>
        <v>0</v>
      </c>
      <c r="R594" s="100">
        <v>0</v>
      </c>
      <c r="S594" s="98">
        <v>0</v>
      </c>
      <c r="T594" s="101">
        <f t="shared" si="540"/>
        <v>0</v>
      </c>
      <c r="U594" s="183">
        <v>1</v>
      </c>
      <c r="V594" s="99">
        <v>1</v>
      </c>
      <c r="W594" s="98">
        <v>0</v>
      </c>
      <c r="X594" s="98">
        <v>0</v>
      </c>
      <c r="Y594" s="101">
        <f t="shared" si="543"/>
        <v>0</v>
      </c>
      <c r="Z594" s="101">
        <v>1</v>
      </c>
      <c r="AA594" s="183">
        <v>0</v>
      </c>
      <c r="AB594" s="99">
        <v>1</v>
      </c>
      <c r="AC594" s="98">
        <v>0</v>
      </c>
      <c r="AD594" s="98">
        <v>0</v>
      </c>
      <c r="AE594" s="101">
        <f t="shared" si="541"/>
        <v>0</v>
      </c>
      <c r="AF594" s="100">
        <v>0</v>
      </c>
      <c r="AG594" s="98">
        <v>0</v>
      </c>
      <c r="AH594" s="99">
        <f t="shared" si="542"/>
        <v>0</v>
      </c>
      <c r="AI594" s="101">
        <v>1</v>
      </c>
      <c r="AJ594" s="106"/>
    </row>
    <row r="595" spans="2:36" s="35" customFormat="1" ht="17.100000000000001" customHeight="1">
      <c r="B595" s="105"/>
      <c r="C595" s="54"/>
      <c r="D595" s="96"/>
      <c r="E595" s="111"/>
      <c r="F595" s="112"/>
      <c r="G595" s="113"/>
      <c r="H595" s="183">
        <v>1</v>
      </c>
      <c r="I595" s="98">
        <v>0</v>
      </c>
      <c r="J595" s="98">
        <v>0</v>
      </c>
      <c r="K595" s="101">
        <f t="shared" si="537"/>
        <v>0</v>
      </c>
      <c r="L595" s="100">
        <v>0</v>
      </c>
      <c r="M595" s="98">
        <v>0</v>
      </c>
      <c r="N595" s="101">
        <f t="shared" si="538"/>
        <v>0</v>
      </c>
      <c r="O595" s="100">
        <v>0</v>
      </c>
      <c r="P595" s="98">
        <v>0</v>
      </c>
      <c r="Q595" s="101">
        <f t="shared" si="539"/>
        <v>0</v>
      </c>
      <c r="R595" s="100">
        <v>0</v>
      </c>
      <c r="S595" s="98">
        <v>0</v>
      </c>
      <c r="T595" s="101">
        <f t="shared" si="540"/>
        <v>0</v>
      </c>
      <c r="U595" s="183">
        <v>1</v>
      </c>
      <c r="V595" s="99">
        <v>1</v>
      </c>
      <c r="W595" s="98">
        <v>0</v>
      </c>
      <c r="X595" s="98">
        <v>0</v>
      </c>
      <c r="Y595" s="101">
        <f t="shared" si="543"/>
        <v>0</v>
      </c>
      <c r="Z595" s="101">
        <v>1</v>
      </c>
      <c r="AA595" s="183">
        <v>0</v>
      </c>
      <c r="AB595" s="99">
        <v>1</v>
      </c>
      <c r="AC595" s="98">
        <v>0</v>
      </c>
      <c r="AD595" s="98">
        <v>0</v>
      </c>
      <c r="AE595" s="101">
        <f t="shared" si="541"/>
        <v>0</v>
      </c>
      <c r="AF595" s="100">
        <v>0</v>
      </c>
      <c r="AG595" s="98">
        <v>0</v>
      </c>
      <c r="AH595" s="99">
        <f t="shared" si="542"/>
        <v>0</v>
      </c>
      <c r="AI595" s="101">
        <v>1</v>
      </c>
      <c r="AJ595" s="106"/>
    </row>
    <row r="596" spans="2:36" s="126" customFormat="1" ht="17.100000000000001" customHeight="1">
      <c r="B596" s="118"/>
      <c r="C596" s="119"/>
      <c r="D596" s="120"/>
      <c r="E596" s="121"/>
      <c r="F596" s="122"/>
      <c r="G596" s="123"/>
      <c r="H596" s="183">
        <v>1</v>
      </c>
      <c r="I596" s="363" t="s">
        <v>201</v>
      </c>
      <c r="J596" s="363"/>
      <c r="K596" s="124">
        <f>SUM(K589:K595)</f>
        <v>0</v>
      </c>
      <c r="L596" s="341" t="s">
        <v>201</v>
      </c>
      <c r="M596" s="342"/>
      <c r="N596" s="124">
        <f>SUM(N589:N595)</f>
        <v>0</v>
      </c>
      <c r="O596" s="341" t="s">
        <v>201</v>
      </c>
      <c r="P596" s="342"/>
      <c r="Q596" s="124">
        <f>SUM(Q589:Q595)</f>
        <v>0</v>
      </c>
      <c r="R596" s="341" t="s">
        <v>201</v>
      </c>
      <c r="S596" s="342"/>
      <c r="T596" s="124">
        <f>SUM(T589:T595)</f>
        <v>30</v>
      </c>
      <c r="U596" s="183">
        <v>1</v>
      </c>
      <c r="V596" s="99">
        <v>1</v>
      </c>
      <c r="W596" s="363" t="s">
        <v>201</v>
      </c>
      <c r="X596" s="363"/>
      <c r="Y596" s="124">
        <f>SUM(Y589:Y595)</f>
        <v>0</v>
      </c>
      <c r="Z596" s="101">
        <v>1</v>
      </c>
      <c r="AA596" s="183">
        <v>0</v>
      </c>
      <c r="AB596" s="99">
        <v>1</v>
      </c>
      <c r="AC596" s="363" t="s">
        <v>201</v>
      </c>
      <c r="AD596" s="363"/>
      <c r="AE596" s="124">
        <f>SUM(AE589:AE595)</f>
        <v>0</v>
      </c>
      <c r="AF596" s="364" t="s">
        <v>201</v>
      </c>
      <c r="AG596" s="363"/>
      <c r="AH596" s="143">
        <f>SUM(AH589:AH595)</f>
        <v>0</v>
      </c>
      <c r="AI596" s="101">
        <v>1</v>
      </c>
      <c r="AJ596" s="125"/>
    </row>
    <row r="597" spans="2:36" s="35" customFormat="1" ht="16.95" customHeight="1">
      <c r="B597" s="105"/>
      <c r="C597" s="54">
        <f>'3. Rekap Back Up Non Aspal '!C95</f>
        <v>11500</v>
      </c>
      <c r="D597" s="96">
        <f>'3. Rekap Back Up Non Aspal '!D95</f>
        <v>11600</v>
      </c>
      <c r="E597" s="111">
        <f>'3. Rekap Back Up Non Aspal '!E95</f>
        <v>3</v>
      </c>
      <c r="F597" s="112">
        <f>(100/((D597-C597)*E597))*((K604*0.05)+(N604*0.05)+(Q604*0.05)+(T604)+(Y604)+(AE604*1.5)+(AH604*1))</f>
        <v>50</v>
      </c>
      <c r="G597" s="113" t="str">
        <f>IF(F597&lt;=25,"RB",IF(F597&lt;=75,"RB",IF(F597&lt;=100,"RB","RB")))</f>
        <v>RB</v>
      </c>
      <c r="H597" s="183">
        <v>1</v>
      </c>
      <c r="I597" s="98">
        <v>0</v>
      </c>
      <c r="J597" s="98">
        <v>0</v>
      </c>
      <c r="K597" s="101">
        <f t="shared" ref="K597:K603" si="544">I597*J597</f>
        <v>0</v>
      </c>
      <c r="L597" s="98">
        <v>0</v>
      </c>
      <c r="M597" s="98">
        <v>0</v>
      </c>
      <c r="N597" s="101">
        <f t="shared" ref="N597:N603" si="545">L597*M597</f>
        <v>0</v>
      </c>
      <c r="O597" s="98">
        <v>0</v>
      </c>
      <c r="P597" s="98">
        <v>0</v>
      </c>
      <c r="Q597" s="101">
        <f t="shared" ref="Q597:Q603" si="546">O597*P597</f>
        <v>0</v>
      </c>
      <c r="R597" s="98">
        <v>50</v>
      </c>
      <c r="S597" s="98">
        <v>3</v>
      </c>
      <c r="T597" s="101">
        <f t="shared" ref="T597:T603" si="547">R597*S597</f>
        <v>150</v>
      </c>
      <c r="U597" s="183">
        <v>1</v>
      </c>
      <c r="V597" s="99">
        <v>1</v>
      </c>
      <c r="W597" s="98">
        <v>0</v>
      </c>
      <c r="X597" s="98">
        <v>0</v>
      </c>
      <c r="Y597" s="101">
        <f>W597*X597</f>
        <v>0</v>
      </c>
      <c r="Z597" s="101">
        <v>1</v>
      </c>
      <c r="AA597" s="183">
        <v>0</v>
      </c>
      <c r="AB597" s="99">
        <v>1</v>
      </c>
      <c r="AC597" s="98">
        <v>0</v>
      </c>
      <c r="AD597" s="98">
        <v>0</v>
      </c>
      <c r="AE597" s="101">
        <f t="shared" ref="AE597:AE603" si="548">AC597*AD597</f>
        <v>0</v>
      </c>
      <c r="AF597" s="98">
        <v>0</v>
      </c>
      <c r="AG597" s="98">
        <v>3</v>
      </c>
      <c r="AH597" s="99">
        <f t="shared" ref="AH597:AH603" si="549">AF597*AG597</f>
        <v>0</v>
      </c>
      <c r="AI597" s="101">
        <v>1</v>
      </c>
      <c r="AJ597" s="106"/>
    </row>
    <row r="598" spans="2:36" s="35" customFormat="1" ht="17.100000000000001" customHeight="1">
      <c r="B598" s="105"/>
      <c r="C598" s="54"/>
      <c r="D598" s="96"/>
      <c r="E598" s="111"/>
      <c r="F598" s="112"/>
      <c r="G598" s="113"/>
      <c r="H598" s="183">
        <v>1</v>
      </c>
      <c r="I598" s="98">
        <v>0</v>
      </c>
      <c r="J598" s="98">
        <v>0</v>
      </c>
      <c r="K598" s="101">
        <f t="shared" si="544"/>
        <v>0</v>
      </c>
      <c r="L598" s="100">
        <v>0</v>
      </c>
      <c r="M598" s="98">
        <v>0</v>
      </c>
      <c r="N598" s="101">
        <f t="shared" si="545"/>
        <v>0</v>
      </c>
      <c r="O598" s="100">
        <v>0</v>
      </c>
      <c r="P598" s="98">
        <v>0</v>
      </c>
      <c r="Q598" s="101">
        <f t="shared" si="546"/>
        <v>0</v>
      </c>
      <c r="R598" s="100">
        <v>0</v>
      </c>
      <c r="S598" s="98">
        <v>0</v>
      </c>
      <c r="T598" s="101">
        <f t="shared" si="547"/>
        <v>0</v>
      </c>
      <c r="U598" s="183">
        <v>1</v>
      </c>
      <c r="V598" s="99">
        <v>1</v>
      </c>
      <c r="W598" s="98">
        <v>0</v>
      </c>
      <c r="X598" s="98">
        <v>0</v>
      </c>
      <c r="Y598" s="101">
        <f t="shared" ref="Y598:Y603" si="550">W598*X598</f>
        <v>0</v>
      </c>
      <c r="Z598" s="101">
        <v>1</v>
      </c>
      <c r="AA598" s="183">
        <v>0</v>
      </c>
      <c r="AB598" s="99">
        <v>1</v>
      </c>
      <c r="AC598" s="98">
        <v>0</v>
      </c>
      <c r="AD598" s="98">
        <v>0</v>
      </c>
      <c r="AE598" s="101">
        <f t="shared" si="548"/>
        <v>0</v>
      </c>
      <c r="AF598" s="100">
        <v>0</v>
      </c>
      <c r="AG598" s="98">
        <v>0</v>
      </c>
      <c r="AH598" s="99">
        <f t="shared" si="549"/>
        <v>0</v>
      </c>
      <c r="AI598" s="101">
        <v>1</v>
      </c>
      <c r="AJ598" s="106"/>
    </row>
    <row r="599" spans="2:36" s="35" customFormat="1" ht="17.100000000000001" customHeight="1">
      <c r="B599" s="105"/>
      <c r="C599" s="54"/>
      <c r="D599" s="96"/>
      <c r="E599" s="111"/>
      <c r="F599" s="112"/>
      <c r="G599" s="113"/>
      <c r="H599" s="183">
        <v>1</v>
      </c>
      <c r="I599" s="98">
        <v>0</v>
      </c>
      <c r="J599" s="98">
        <v>0</v>
      </c>
      <c r="K599" s="101">
        <f t="shared" si="544"/>
        <v>0</v>
      </c>
      <c r="L599" s="100">
        <v>0</v>
      </c>
      <c r="M599" s="98">
        <v>0</v>
      </c>
      <c r="N599" s="101">
        <f t="shared" si="545"/>
        <v>0</v>
      </c>
      <c r="O599" s="100">
        <v>0</v>
      </c>
      <c r="P599" s="98">
        <v>0</v>
      </c>
      <c r="Q599" s="101">
        <f t="shared" si="546"/>
        <v>0</v>
      </c>
      <c r="R599" s="100">
        <v>0</v>
      </c>
      <c r="S599" s="98">
        <v>0</v>
      </c>
      <c r="T599" s="101">
        <f t="shared" si="547"/>
        <v>0</v>
      </c>
      <c r="U599" s="183">
        <v>1</v>
      </c>
      <c r="V599" s="99">
        <v>1</v>
      </c>
      <c r="W599" s="98">
        <v>0</v>
      </c>
      <c r="X599" s="98">
        <v>0</v>
      </c>
      <c r="Y599" s="101">
        <f t="shared" si="550"/>
        <v>0</v>
      </c>
      <c r="Z599" s="101">
        <v>1</v>
      </c>
      <c r="AA599" s="183">
        <v>0</v>
      </c>
      <c r="AB599" s="99">
        <v>1</v>
      </c>
      <c r="AC599" s="98">
        <v>0</v>
      </c>
      <c r="AD599" s="98">
        <v>0</v>
      </c>
      <c r="AE599" s="101">
        <f t="shared" si="548"/>
        <v>0</v>
      </c>
      <c r="AF599" s="100">
        <v>0</v>
      </c>
      <c r="AG599" s="98">
        <v>0</v>
      </c>
      <c r="AH599" s="99">
        <f t="shared" si="549"/>
        <v>0</v>
      </c>
      <c r="AI599" s="101">
        <v>1</v>
      </c>
      <c r="AJ599" s="106"/>
    </row>
    <row r="600" spans="2:36" s="35" customFormat="1" ht="17.100000000000001" customHeight="1">
      <c r="B600" s="105"/>
      <c r="C600" s="54"/>
      <c r="D600" s="96"/>
      <c r="E600" s="111"/>
      <c r="F600" s="112"/>
      <c r="G600" s="113"/>
      <c r="H600" s="183">
        <v>1</v>
      </c>
      <c r="I600" s="98">
        <v>0</v>
      </c>
      <c r="J600" s="98">
        <v>0</v>
      </c>
      <c r="K600" s="101">
        <f t="shared" si="544"/>
        <v>0</v>
      </c>
      <c r="L600" s="100">
        <v>0</v>
      </c>
      <c r="M600" s="98">
        <v>0</v>
      </c>
      <c r="N600" s="101">
        <f t="shared" si="545"/>
        <v>0</v>
      </c>
      <c r="O600" s="100">
        <v>0</v>
      </c>
      <c r="P600" s="98">
        <v>0</v>
      </c>
      <c r="Q600" s="101">
        <f t="shared" si="546"/>
        <v>0</v>
      </c>
      <c r="R600" s="100">
        <v>0</v>
      </c>
      <c r="S600" s="98">
        <v>0</v>
      </c>
      <c r="T600" s="101">
        <f t="shared" si="547"/>
        <v>0</v>
      </c>
      <c r="U600" s="183">
        <v>1</v>
      </c>
      <c r="V600" s="99">
        <v>1</v>
      </c>
      <c r="W600" s="98">
        <v>0</v>
      </c>
      <c r="X600" s="98">
        <v>0</v>
      </c>
      <c r="Y600" s="101">
        <f t="shared" si="550"/>
        <v>0</v>
      </c>
      <c r="Z600" s="101">
        <v>1</v>
      </c>
      <c r="AA600" s="183">
        <v>0</v>
      </c>
      <c r="AB600" s="99">
        <v>1</v>
      </c>
      <c r="AC600" s="98">
        <v>0</v>
      </c>
      <c r="AD600" s="98">
        <v>0</v>
      </c>
      <c r="AE600" s="101">
        <f t="shared" si="548"/>
        <v>0</v>
      </c>
      <c r="AF600" s="100">
        <v>0</v>
      </c>
      <c r="AG600" s="98">
        <v>0</v>
      </c>
      <c r="AH600" s="99">
        <f t="shared" si="549"/>
        <v>0</v>
      </c>
      <c r="AI600" s="101">
        <v>1</v>
      </c>
      <c r="AJ600" s="106"/>
    </row>
    <row r="601" spans="2:36" s="35" customFormat="1" ht="17.100000000000001" customHeight="1">
      <c r="B601" s="105"/>
      <c r="C601" s="54"/>
      <c r="D601" s="96"/>
      <c r="E601" s="111"/>
      <c r="F601" s="112"/>
      <c r="G601" s="113"/>
      <c r="H601" s="183">
        <v>1</v>
      </c>
      <c r="I601" s="98">
        <v>0</v>
      </c>
      <c r="J601" s="98">
        <v>0</v>
      </c>
      <c r="K601" s="101">
        <f t="shared" si="544"/>
        <v>0</v>
      </c>
      <c r="L601" s="100">
        <v>0</v>
      </c>
      <c r="M601" s="98">
        <v>0</v>
      </c>
      <c r="N601" s="101">
        <f t="shared" si="545"/>
        <v>0</v>
      </c>
      <c r="O601" s="100">
        <v>0</v>
      </c>
      <c r="P601" s="98">
        <v>0</v>
      </c>
      <c r="Q601" s="101">
        <f t="shared" si="546"/>
        <v>0</v>
      </c>
      <c r="R601" s="100">
        <v>0</v>
      </c>
      <c r="S601" s="98">
        <v>0</v>
      </c>
      <c r="T601" s="101">
        <f t="shared" si="547"/>
        <v>0</v>
      </c>
      <c r="U601" s="183">
        <v>1</v>
      </c>
      <c r="V601" s="99">
        <v>1</v>
      </c>
      <c r="W601" s="98">
        <v>0</v>
      </c>
      <c r="X601" s="98">
        <v>0</v>
      </c>
      <c r="Y601" s="101">
        <f t="shared" si="550"/>
        <v>0</v>
      </c>
      <c r="Z601" s="101">
        <v>1</v>
      </c>
      <c r="AA601" s="183">
        <v>0</v>
      </c>
      <c r="AB601" s="99">
        <v>1</v>
      </c>
      <c r="AC601" s="98">
        <v>0</v>
      </c>
      <c r="AD601" s="98">
        <v>0</v>
      </c>
      <c r="AE601" s="101">
        <f t="shared" si="548"/>
        <v>0</v>
      </c>
      <c r="AF601" s="100">
        <v>0</v>
      </c>
      <c r="AG601" s="98">
        <v>0</v>
      </c>
      <c r="AH601" s="99">
        <f t="shared" si="549"/>
        <v>0</v>
      </c>
      <c r="AI601" s="101">
        <v>1</v>
      </c>
      <c r="AJ601" s="106"/>
    </row>
    <row r="602" spans="2:36" s="35" customFormat="1" ht="17.100000000000001" customHeight="1">
      <c r="B602" s="105"/>
      <c r="C602" s="54"/>
      <c r="D602" s="96"/>
      <c r="E602" s="111"/>
      <c r="F602" s="112"/>
      <c r="G602" s="113"/>
      <c r="H602" s="183">
        <v>1</v>
      </c>
      <c r="I602" s="98">
        <v>0</v>
      </c>
      <c r="J602" s="98">
        <v>0</v>
      </c>
      <c r="K602" s="101">
        <f t="shared" si="544"/>
        <v>0</v>
      </c>
      <c r="L602" s="100">
        <v>0</v>
      </c>
      <c r="M602" s="98">
        <v>0</v>
      </c>
      <c r="N602" s="101">
        <f t="shared" si="545"/>
        <v>0</v>
      </c>
      <c r="O602" s="100">
        <v>0</v>
      </c>
      <c r="P602" s="98">
        <v>0</v>
      </c>
      <c r="Q602" s="101">
        <f t="shared" si="546"/>
        <v>0</v>
      </c>
      <c r="R602" s="100">
        <v>0</v>
      </c>
      <c r="S602" s="98">
        <v>0</v>
      </c>
      <c r="T602" s="101">
        <f t="shared" si="547"/>
        <v>0</v>
      </c>
      <c r="U602" s="183">
        <v>1</v>
      </c>
      <c r="V602" s="99">
        <v>1</v>
      </c>
      <c r="W602" s="98">
        <v>0</v>
      </c>
      <c r="X602" s="98">
        <v>0</v>
      </c>
      <c r="Y602" s="101">
        <f t="shared" si="550"/>
        <v>0</v>
      </c>
      <c r="Z602" s="101">
        <v>1</v>
      </c>
      <c r="AA602" s="183">
        <v>0</v>
      </c>
      <c r="AB602" s="99">
        <v>1</v>
      </c>
      <c r="AC602" s="98">
        <v>0</v>
      </c>
      <c r="AD602" s="98">
        <v>0</v>
      </c>
      <c r="AE602" s="101">
        <f t="shared" si="548"/>
        <v>0</v>
      </c>
      <c r="AF602" s="100">
        <v>0</v>
      </c>
      <c r="AG602" s="98">
        <v>0</v>
      </c>
      <c r="AH602" s="99">
        <f t="shared" si="549"/>
        <v>0</v>
      </c>
      <c r="AI602" s="101">
        <v>1</v>
      </c>
      <c r="AJ602" s="106"/>
    </row>
    <row r="603" spans="2:36" s="35" customFormat="1" ht="17.100000000000001" customHeight="1">
      <c r="B603" s="105"/>
      <c r="C603" s="54"/>
      <c r="D603" s="96"/>
      <c r="E603" s="111"/>
      <c r="F603" s="112"/>
      <c r="G603" s="113"/>
      <c r="H603" s="183">
        <v>1</v>
      </c>
      <c r="I603" s="98">
        <v>0</v>
      </c>
      <c r="J603" s="98">
        <v>0</v>
      </c>
      <c r="K603" s="101">
        <f t="shared" si="544"/>
        <v>0</v>
      </c>
      <c r="L603" s="100">
        <v>0</v>
      </c>
      <c r="M603" s="98">
        <v>0</v>
      </c>
      <c r="N603" s="101">
        <f t="shared" si="545"/>
        <v>0</v>
      </c>
      <c r="O603" s="100">
        <v>0</v>
      </c>
      <c r="P603" s="98">
        <v>0</v>
      </c>
      <c r="Q603" s="101">
        <f t="shared" si="546"/>
        <v>0</v>
      </c>
      <c r="R603" s="100">
        <v>0</v>
      </c>
      <c r="S603" s="98">
        <v>0</v>
      </c>
      <c r="T603" s="101">
        <f t="shared" si="547"/>
        <v>0</v>
      </c>
      <c r="U603" s="183">
        <v>1</v>
      </c>
      <c r="V603" s="99">
        <v>1</v>
      </c>
      <c r="W603" s="98">
        <v>0</v>
      </c>
      <c r="X603" s="98">
        <v>0</v>
      </c>
      <c r="Y603" s="101">
        <f t="shared" si="550"/>
        <v>0</v>
      </c>
      <c r="Z603" s="101">
        <v>1</v>
      </c>
      <c r="AA603" s="183">
        <v>0</v>
      </c>
      <c r="AB603" s="99">
        <v>1</v>
      </c>
      <c r="AC603" s="98">
        <v>0</v>
      </c>
      <c r="AD603" s="98">
        <v>0</v>
      </c>
      <c r="AE603" s="101">
        <f t="shared" si="548"/>
        <v>0</v>
      </c>
      <c r="AF603" s="100">
        <v>0</v>
      </c>
      <c r="AG603" s="98">
        <v>0</v>
      </c>
      <c r="AH603" s="99">
        <f t="shared" si="549"/>
        <v>0</v>
      </c>
      <c r="AI603" s="101">
        <v>1</v>
      </c>
      <c r="AJ603" s="106"/>
    </row>
    <row r="604" spans="2:36" s="126" customFormat="1" ht="17.100000000000001" customHeight="1">
      <c r="B604" s="118"/>
      <c r="C604" s="119"/>
      <c r="D604" s="120"/>
      <c r="E604" s="121"/>
      <c r="F604" s="122"/>
      <c r="G604" s="123"/>
      <c r="H604" s="183">
        <v>1</v>
      </c>
      <c r="I604" s="363" t="s">
        <v>201</v>
      </c>
      <c r="J604" s="363"/>
      <c r="K604" s="124">
        <f>SUM(K597:K603)</f>
        <v>0</v>
      </c>
      <c r="L604" s="341" t="s">
        <v>201</v>
      </c>
      <c r="M604" s="342"/>
      <c r="N604" s="124">
        <f>SUM(N597:N603)</f>
        <v>0</v>
      </c>
      <c r="O604" s="341" t="s">
        <v>201</v>
      </c>
      <c r="P604" s="342"/>
      <c r="Q604" s="124">
        <f>SUM(Q597:Q603)</f>
        <v>0</v>
      </c>
      <c r="R604" s="341" t="s">
        <v>201</v>
      </c>
      <c r="S604" s="342"/>
      <c r="T604" s="124">
        <f>SUM(T597:T603)</f>
        <v>150</v>
      </c>
      <c r="U604" s="183">
        <v>1</v>
      </c>
      <c r="V604" s="99">
        <v>1</v>
      </c>
      <c r="W604" s="363" t="s">
        <v>201</v>
      </c>
      <c r="X604" s="363"/>
      <c r="Y604" s="124">
        <f>SUM(Y597:Y603)</f>
        <v>0</v>
      </c>
      <c r="Z604" s="101">
        <v>1</v>
      </c>
      <c r="AA604" s="183">
        <v>0</v>
      </c>
      <c r="AB604" s="99">
        <v>1</v>
      </c>
      <c r="AC604" s="363" t="s">
        <v>201</v>
      </c>
      <c r="AD604" s="363"/>
      <c r="AE604" s="124">
        <f>SUM(AE597:AE603)</f>
        <v>0</v>
      </c>
      <c r="AF604" s="364" t="s">
        <v>201</v>
      </c>
      <c r="AG604" s="363"/>
      <c r="AH604" s="143">
        <f>SUM(AH597:AH603)</f>
        <v>0</v>
      </c>
      <c r="AI604" s="101">
        <v>1</v>
      </c>
      <c r="AJ604" s="125"/>
    </row>
    <row r="605" spans="2:36" s="35" customFormat="1" ht="16.95" customHeight="1">
      <c r="B605" s="105"/>
      <c r="C605" s="54">
        <f>'3. Rekap Back Up Non Aspal '!C96</f>
        <v>11600</v>
      </c>
      <c r="D605" s="96">
        <f>'3. Rekap Back Up Non Aspal '!D96</f>
        <v>11700</v>
      </c>
      <c r="E605" s="111">
        <f>'3. Rekap Back Up Non Aspal '!E96</f>
        <v>3</v>
      </c>
      <c r="F605" s="112">
        <f>(100/((D605-C605)*E605))*((K612*0.05)+(N612*0.05)+(Q612*0.05)+(T612)+(Y612)+(AE612*1.5)+(AH612*1))</f>
        <v>100</v>
      </c>
      <c r="G605" s="113" t="str">
        <f>IF(F605&lt;=25,"RB",IF(F605&lt;=75,"RB",IF(F605&lt;=100,"RB","RB")))</f>
        <v>RB</v>
      </c>
      <c r="H605" s="183">
        <v>1</v>
      </c>
      <c r="I605" s="98">
        <v>0</v>
      </c>
      <c r="J605" s="98">
        <v>0</v>
      </c>
      <c r="K605" s="101">
        <f t="shared" ref="K605:K611" si="551">I605*J605</f>
        <v>0</v>
      </c>
      <c r="L605" s="98">
        <v>0</v>
      </c>
      <c r="M605" s="98">
        <v>0</v>
      </c>
      <c r="N605" s="101">
        <f t="shared" ref="N605:N611" si="552">L605*M605</f>
        <v>0</v>
      </c>
      <c r="O605" s="98">
        <v>0</v>
      </c>
      <c r="P605" s="98">
        <v>0</v>
      </c>
      <c r="Q605" s="101">
        <f t="shared" ref="Q605:Q611" si="553">O605*P605</f>
        <v>0</v>
      </c>
      <c r="R605" s="98">
        <v>100</v>
      </c>
      <c r="S605" s="98">
        <v>3</v>
      </c>
      <c r="T605" s="101">
        <f t="shared" ref="T605:T611" si="554">R605*S605</f>
        <v>300</v>
      </c>
      <c r="U605" s="183">
        <v>1</v>
      </c>
      <c r="V605" s="99">
        <v>1</v>
      </c>
      <c r="W605" s="98">
        <v>0</v>
      </c>
      <c r="X605" s="98">
        <v>0</v>
      </c>
      <c r="Y605" s="101">
        <f>W605*X605</f>
        <v>0</v>
      </c>
      <c r="Z605" s="101">
        <v>1</v>
      </c>
      <c r="AA605" s="183">
        <v>0</v>
      </c>
      <c r="AB605" s="99">
        <v>1</v>
      </c>
      <c r="AC605" s="98">
        <v>0</v>
      </c>
      <c r="AD605" s="98">
        <v>0</v>
      </c>
      <c r="AE605" s="101">
        <f t="shared" ref="AE605:AE611" si="555">AC605*AD605</f>
        <v>0</v>
      </c>
      <c r="AF605" s="98">
        <v>0</v>
      </c>
      <c r="AG605" s="98">
        <v>3</v>
      </c>
      <c r="AH605" s="99">
        <f t="shared" ref="AH605:AH611" si="556">AF605*AG605</f>
        <v>0</v>
      </c>
      <c r="AI605" s="101">
        <v>1</v>
      </c>
      <c r="AJ605" s="106"/>
    </row>
    <row r="606" spans="2:36" s="35" customFormat="1" ht="17.100000000000001" customHeight="1">
      <c r="B606" s="105"/>
      <c r="C606" s="54"/>
      <c r="D606" s="96"/>
      <c r="E606" s="111"/>
      <c r="F606" s="112"/>
      <c r="G606" s="113"/>
      <c r="H606" s="183">
        <v>1</v>
      </c>
      <c r="I606" s="98">
        <v>0</v>
      </c>
      <c r="J606" s="98">
        <v>0</v>
      </c>
      <c r="K606" s="101">
        <f t="shared" si="551"/>
        <v>0</v>
      </c>
      <c r="L606" s="100">
        <v>0</v>
      </c>
      <c r="M606" s="98">
        <v>0</v>
      </c>
      <c r="N606" s="101">
        <f t="shared" si="552"/>
        <v>0</v>
      </c>
      <c r="O606" s="100">
        <v>0</v>
      </c>
      <c r="P606" s="98">
        <v>0</v>
      </c>
      <c r="Q606" s="101">
        <f t="shared" si="553"/>
        <v>0</v>
      </c>
      <c r="R606" s="100">
        <v>0</v>
      </c>
      <c r="S606" s="98">
        <v>0</v>
      </c>
      <c r="T606" s="101">
        <f t="shared" si="554"/>
        <v>0</v>
      </c>
      <c r="U606" s="183">
        <v>1</v>
      </c>
      <c r="V606" s="99">
        <v>1</v>
      </c>
      <c r="W606" s="98">
        <v>0</v>
      </c>
      <c r="X606" s="98">
        <v>0</v>
      </c>
      <c r="Y606" s="101">
        <f t="shared" ref="Y606:Y611" si="557">W606*X606</f>
        <v>0</v>
      </c>
      <c r="Z606" s="101">
        <v>1</v>
      </c>
      <c r="AA606" s="183">
        <v>0</v>
      </c>
      <c r="AB606" s="99">
        <v>1</v>
      </c>
      <c r="AC606" s="98">
        <v>0</v>
      </c>
      <c r="AD606" s="98">
        <v>0</v>
      </c>
      <c r="AE606" s="101">
        <f t="shared" si="555"/>
        <v>0</v>
      </c>
      <c r="AF606" s="100">
        <v>0</v>
      </c>
      <c r="AG606" s="98">
        <v>0</v>
      </c>
      <c r="AH606" s="99">
        <f t="shared" si="556"/>
        <v>0</v>
      </c>
      <c r="AI606" s="101">
        <v>1</v>
      </c>
      <c r="AJ606" s="106"/>
    </row>
    <row r="607" spans="2:36" s="35" customFormat="1" ht="17.100000000000001" customHeight="1">
      <c r="B607" s="105"/>
      <c r="C607" s="54"/>
      <c r="D607" s="96"/>
      <c r="E607" s="111"/>
      <c r="F607" s="112"/>
      <c r="G607" s="113"/>
      <c r="H607" s="183">
        <v>1</v>
      </c>
      <c r="I607" s="98">
        <v>0</v>
      </c>
      <c r="J607" s="98">
        <v>0</v>
      </c>
      <c r="K607" s="101">
        <f t="shared" si="551"/>
        <v>0</v>
      </c>
      <c r="L607" s="100">
        <v>0</v>
      </c>
      <c r="M607" s="98">
        <v>0</v>
      </c>
      <c r="N607" s="101">
        <f t="shared" si="552"/>
        <v>0</v>
      </c>
      <c r="O607" s="100">
        <v>0</v>
      </c>
      <c r="P607" s="98">
        <v>0</v>
      </c>
      <c r="Q607" s="101">
        <f t="shared" si="553"/>
        <v>0</v>
      </c>
      <c r="R607" s="100">
        <v>0</v>
      </c>
      <c r="S607" s="98">
        <v>0</v>
      </c>
      <c r="T607" s="101">
        <f t="shared" si="554"/>
        <v>0</v>
      </c>
      <c r="U607" s="183">
        <v>1</v>
      </c>
      <c r="V607" s="99">
        <v>1</v>
      </c>
      <c r="W607" s="98">
        <v>0</v>
      </c>
      <c r="X607" s="98">
        <v>0</v>
      </c>
      <c r="Y607" s="101">
        <f t="shared" si="557"/>
        <v>0</v>
      </c>
      <c r="Z607" s="101">
        <v>1</v>
      </c>
      <c r="AA607" s="183">
        <v>0</v>
      </c>
      <c r="AB607" s="99">
        <v>1</v>
      </c>
      <c r="AC607" s="98">
        <v>0</v>
      </c>
      <c r="AD607" s="98">
        <v>0</v>
      </c>
      <c r="AE607" s="101">
        <f t="shared" si="555"/>
        <v>0</v>
      </c>
      <c r="AF607" s="100">
        <v>0</v>
      </c>
      <c r="AG607" s="98">
        <v>0</v>
      </c>
      <c r="AH607" s="99">
        <f t="shared" si="556"/>
        <v>0</v>
      </c>
      <c r="AI607" s="101">
        <v>1</v>
      </c>
      <c r="AJ607" s="106"/>
    </row>
    <row r="608" spans="2:36" s="35" customFormat="1" ht="17.100000000000001" customHeight="1">
      <c r="B608" s="105"/>
      <c r="C608" s="54"/>
      <c r="D608" s="96"/>
      <c r="E608" s="111"/>
      <c r="F608" s="112"/>
      <c r="G608" s="113"/>
      <c r="H608" s="183">
        <v>1</v>
      </c>
      <c r="I608" s="98">
        <v>0</v>
      </c>
      <c r="J608" s="98">
        <v>0</v>
      </c>
      <c r="K608" s="101">
        <f t="shared" si="551"/>
        <v>0</v>
      </c>
      <c r="L608" s="100">
        <v>0</v>
      </c>
      <c r="M608" s="98">
        <v>0</v>
      </c>
      <c r="N608" s="101">
        <f t="shared" si="552"/>
        <v>0</v>
      </c>
      <c r="O608" s="100">
        <v>0</v>
      </c>
      <c r="P608" s="98">
        <v>0</v>
      </c>
      <c r="Q608" s="101">
        <f t="shared" si="553"/>
        <v>0</v>
      </c>
      <c r="R608" s="100">
        <v>0</v>
      </c>
      <c r="S608" s="98">
        <v>0</v>
      </c>
      <c r="T608" s="101">
        <f t="shared" si="554"/>
        <v>0</v>
      </c>
      <c r="U608" s="183">
        <v>1</v>
      </c>
      <c r="V608" s="99">
        <v>1</v>
      </c>
      <c r="W608" s="98">
        <v>0</v>
      </c>
      <c r="X608" s="98">
        <v>0</v>
      </c>
      <c r="Y608" s="101">
        <f t="shared" si="557"/>
        <v>0</v>
      </c>
      <c r="Z608" s="101">
        <v>1</v>
      </c>
      <c r="AA608" s="183">
        <v>0</v>
      </c>
      <c r="AB608" s="99">
        <v>1</v>
      </c>
      <c r="AC608" s="98">
        <v>0</v>
      </c>
      <c r="AD608" s="98">
        <v>0</v>
      </c>
      <c r="AE608" s="101">
        <f t="shared" si="555"/>
        <v>0</v>
      </c>
      <c r="AF608" s="100">
        <v>0</v>
      </c>
      <c r="AG608" s="98">
        <v>0</v>
      </c>
      <c r="AH608" s="99">
        <f t="shared" si="556"/>
        <v>0</v>
      </c>
      <c r="AI608" s="101">
        <v>1</v>
      </c>
      <c r="AJ608" s="106"/>
    </row>
    <row r="609" spans="2:36" s="35" customFormat="1" ht="17.100000000000001" customHeight="1">
      <c r="B609" s="105"/>
      <c r="C609" s="54"/>
      <c r="D609" s="96"/>
      <c r="E609" s="111"/>
      <c r="F609" s="112"/>
      <c r="G609" s="113"/>
      <c r="H609" s="183">
        <v>1</v>
      </c>
      <c r="I609" s="98">
        <v>0</v>
      </c>
      <c r="J609" s="98">
        <v>0</v>
      </c>
      <c r="K609" s="101">
        <f t="shared" si="551"/>
        <v>0</v>
      </c>
      <c r="L609" s="100">
        <v>0</v>
      </c>
      <c r="M609" s="98">
        <v>0</v>
      </c>
      <c r="N609" s="101">
        <f t="shared" si="552"/>
        <v>0</v>
      </c>
      <c r="O609" s="100">
        <v>0</v>
      </c>
      <c r="P609" s="98">
        <v>0</v>
      </c>
      <c r="Q609" s="101">
        <f t="shared" si="553"/>
        <v>0</v>
      </c>
      <c r="R609" s="100">
        <v>0</v>
      </c>
      <c r="S609" s="98">
        <v>0</v>
      </c>
      <c r="T609" s="101">
        <f t="shared" si="554"/>
        <v>0</v>
      </c>
      <c r="U609" s="183">
        <v>1</v>
      </c>
      <c r="V609" s="99">
        <v>1</v>
      </c>
      <c r="W609" s="98">
        <v>0</v>
      </c>
      <c r="X609" s="98">
        <v>0</v>
      </c>
      <c r="Y609" s="101">
        <f t="shared" si="557"/>
        <v>0</v>
      </c>
      <c r="Z609" s="101">
        <v>1</v>
      </c>
      <c r="AA609" s="183">
        <v>0</v>
      </c>
      <c r="AB609" s="99">
        <v>1</v>
      </c>
      <c r="AC609" s="98">
        <v>0</v>
      </c>
      <c r="AD609" s="98">
        <v>0</v>
      </c>
      <c r="AE609" s="101">
        <f t="shared" si="555"/>
        <v>0</v>
      </c>
      <c r="AF609" s="100">
        <v>0</v>
      </c>
      <c r="AG609" s="98">
        <v>0</v>
      </c>
      <c r="AH609" s="99">
        <f t="shared" si="556"/>
        <v>0</v>
      </c>
      <c r="AI609" s="101">
        <v>1</v>
      </c>
      <c r="AJ609" s="106"/>
    </row>
    <row r="610" spans="2:36" s="35" customFormat="1" ht="17.100000000000001" customHeight="1">
      <c r="B610" s="105"/>
      <c r="C610" s="54"/>
      <c r="D610" s="96"/>
      <c r="E610" s="111"/>
      <c r="F610" s="112"/>
      <c r="G610" s="113"/>
      <c r="H610" s="183">
        <v>1</v>
      </c>
      <c r="I610" s="98">
        <v>0</v>
      </c>
      <c r="J610" s="98">
        <v>0</v>
      </c>
      <c r="K610" s="101">
        <f t="shared" si="551"/>
        <v>0</v>
      </c>
      <c r="L610" s="100">
        <v>0</v>
      </c>
      <c r="M610" s="98">
        <v>0</v>
      </c>
      <c r="N610" s="101">
        <f t="shared" si="552"/>
        <v>0</v>
      </c>
      <c r="O610" s="100">
        <v>0</v>
      </c>
      <c r="P610" s="98">
        <v>0</v>
      </c>
      <c r="Q610" s="101">
        <f t="shared" si="553"/>
        <v>0</v>
      </c>
      <c r="R610" s="100">
        <v>0</v>
      </c>
      <c r="S610" s="98">
        <v>0</v>
      </c>
      <c r="T610" s="101">
        <f t="shared" si="554"/>
        <v>0</v>
      </c>
      <c r="U610" s="183">
        <v>1</v>
      </c>
      <c r="V610" s="99">
        <v>1</v>
      </c>
      <c r="W610" s="98">
        <v>0</v>
      </c>
      <c r="X610" s="98">
        <v>0</v>
      </c>
      <c r="Y610" s="101">
        <f t="shared" si="557"/>
        <v>0</v>
      </c>
      <c r="Z610" s="101">
        <v>1</v>
      </c>
      <c r="AA610" s="183">
        <v>0</v>
      </c>
      <c r="AB610" s="99">
        <v>1</v>
      </c>
      <c r="AC610" s="98">
        <v>0</v>
      </c>
      <c r="AD610" s="98">
        <v>0</v>
      </c>
      <c r="AE610" s="101">
        <f t="shared" si="555"/>
        <v>0</v>
      </c>
      <c r="AF610" s="100">
        <v>0</v>
      </c>
      <c r="AG610" s="98">
        <v>0</v>
      </c>
      <c r="AH610" s="99">
        <f t="shared" si="556"/>
        <v>0</v>
      </c>
      <c r="AI610" s="101">
        <v>1</v>
      </c>
      <c r="AJ610" s="106"/>
    </row>
    <row r="611" spans="2:36" s="35" customFormat="1" ht="17.100000000000001" customHeight="1">
      <c r="B611" s="105"/>
      <c r="C611" s="54"/>
      <c r="D611" s="96"/>
      <c r="E611" s="111"/>
      <c r="F611" s="112"/>
      <c r="G611" s="113"/>
      <c r="H611" s="183">
        <v>1</v>
      </c>
      <c r="I611" s="98">
        <v>0</v>
      </c>
      <c r="J611" s="98">
        <v>0</v>
      </c>
      <c r="K611" s="101">
        <f t="shared" si="551"/>
        <v>0</v>
      </c>
      <c r="L611" s="100">
        <v>0</v>
      </c>
      <c r="M611" s="98">
        <v>0</v>
      </c>
      <c r="N611" s="101">
        <f t="shared" si="552"/>
        <v>0</v>
      </c>
      <c r="O611" s="100">
        <v>0</v>
      </c>
      <c r="P611" s="98">
        <v>0</v>
      </c>
      <c r="Q611" s="101">
        <f t="shared" si="553"/>
        <v>0</v>
      </c>
      <c r="R611" s="100">
        <v>0</v>
      </c>
      <c r="S611" s="98">
        <v>0</v>
      </c>
      <c r="T611" s="101">
        <f t="shared" si="554"/>
        <v>0</v>
      </c>
      <c r="U611" s="183">
        <v>1</v>
      </c>
      <c r="V611" s="99">
        <v>1</v>
      </c>
      <c r="W611" s="98">
        <v>0</v>
      </c>
      <c r="X611" s="98">
        <v>0</v>
      </c>
      <c r="Y611" s="101">
        <f t="shared" si="557"/>
        <v>0</v>
      </c>
      <c r="Z611" s="101">
        <v>1</v>
      </c>
      <c r="AA611" s="183">
        <v>0</v>
      </c>
      <c r="AB611" s="99">
        <v>1</v>
      </c>
      <c r="AC611" s="98">
        <v>0</v>
      </c>
      <c r="AD611" s="98">
        <v>0</v>
      </c>
      <c r="AE611" s="101">
        <f t="shared" si="555"/>
        <v>0</v>
      </c>
      <c r="AF611" s="100">
        <v>0</v>
      </c>
      <c r="AG611" s="98">
        <v>0</v>
      </c>
      <c r="AH611" s="99">
        <f t="shared" si="556"/>
        <v>0</v>
      </c>
      <c r="AI611" s="101">
        <v>1</v>
      </c>
      <c r="AJ611" s="106"/>
    </row>
    <row r="612" spans="2:36" s="126" customFormat="1" ht="17.100000000000001" customHeight="1">
      <c r="B612" s="118"/>
      <c r="C612" s="119"/>
      <c r="D612" s="120"/>
      <c r="E612" s="121"/>
      <c r="F612" s="122"/>
      <c r="G612" s="123"/>
      <c r="H612" s="183">
        <v>1</v>
      </c>
      <c r="I612" s="363" t="s">
        <v>201</v>
      </c>
      <c r="J612" s="363"/>
      <c r="K612" s="124">
        <f>SUM(K605:K611)</f>
        <v>0</v>
      </c>
      <c r="L612" s="341" t="s">
        <v>201</v>
      </c>
      <c r="M612" s="342"/>
      <c r="N612" s="124">
        <f>SUM(N605:N611)</f>
        <v>0</v>
      </c>
      <c r="O612" s="341" t="s">
        <v>201</v>
      </c>
      <c r="P612" s="342"/>
      <c r="Q612" s="124">
        <f>SUM(Q605:Q611)</f>
        <v>0</v>
      </c>
      <c r="R612" s="341" t="s">
        <v>201</v>
      </c>
      <c r="S612" s="342"/>
      <c r="T612" s="124">
        <f>SUM(T605:T611)</f>
        <v>300</v>
      </c>
      <c r="U612" s="183">
        <v>1</v>
      </c>
      <c r="V612" s="99">
        <v>1</v>
      </c>
      <c r="W612" s="363" t="s">
        <v>201</v>
      </c>
      <c r="X612" s="363"/>
      <c r="Y612" s="124">
        <f>SUM(Y605:Y611)</f>
        <v>0</v>
      </c>
      <c r="Z612" s="101">
        <v>1</v>
      </c>
      <c r="AA612" s="183">
        <v>0</v>
      </c>
      <c r="AB612" s="99">
        <v>1</v>
      </c>
      <c r="AC612" s="363" t="s">
        <v>201</v>
      </c>
      <c r="AD612" s="363"/>
      <c r="AE612" s="124">
        <f>SUM(AE605:AE611)</f>
        <v>0</v>
      </c>
      <c r="AF612" s="364" t="s">
        <v>201</v>
      </c>
      <c r="AG612" s="363"/>
      <c r="AH612" s="143">
        <f>SUM(AH605:AH611)</f>
        <v>0</v>
      </c>
      <c r="AI612" s="101">
        <v>1</v>
      </c>
      <c r="AJ612" s="125"/>
    </row>
    <row r="613" spans="2:36" s="35" customFormat="1" ht="16.95" customHeight="1">
      <c r="B613" s="105"/>
      <c r="C613" s="54">
        <f>'3. Rekap Back Up Non Aspal '!C97</f>
        <v>11700</v>
      </c>
      <c r="D613" s="96">
        <f>'3. Rekap Back Up Non Aspal '!D97</f>
        <v>11800</v>
      </c>
      <c r="E613" s="111">
        <f>'3. Rekap Back Up Non Aspal '!E97</f>
        <v>3</v>
      </c>
      <c r="F613" s="112">
        <f>(100/((D613-C613)*E613))*((K620*0.05)+(N620*0.05)+(Q620*0.05)+(T620)+(Y620)+(AE620*1.5)+(AH620*1))</f>
        <v>65</v>
      </c>
      <c r="G613" s="113" t="str">
        <f>IF(F613&lt;=25,"RB",IF(F613&lt;=75,"RB",IF(F613&lt;=100,"RB","RB")))</f>
        <v>RB</v>
      </c>
      <c r="H613" s="183">
        <v>1</v>
      </c>
      <c r="I613" s="98">
        <v>0</v>
      </c>
      <c r="J613" s="98">
        <v>0</v>
      </c>
      <c r="K613" s="101">
        <f t="shared" ref="K613:K619" si="558">I613*J613</f>
        <v>0</v>
      </c>
      <c r="L613" s="98">
        <v>0</v>
      </c>
      <c r="M613" s="98">
        <v>0</v>
      </c>
      <c r="N613" s="101">
        <f t="shared" ref="N613:N619" si="559">L613*M613</f>
        <v>0</v>
      </c>
      <c r="O613" s="98">
        <v>0</v>
      </c>
      <c r="P613" s="98">
        <v>0</v>
      </c>
      <c r="Q613" s="101">
        <f t="shared" ref="Q613:Q619" si="560">O613*P613</f>
        <v>0</v>
      </c>
      <c r="R613" s="98">
        <v>50</v>
      </c>
      <c r="S613" s="98">
        <v>3</v>
      </c>
      <c r="T613" s="101">
        <f t="shared" ref="T613:T619" si="561">R613*S613</f>
        <v>150</v>
      </c>
      <c r="U613" s="183">
        <v>5</v>
      </c>
      <c r="V613" s="99">
        <v>3</v>
      </c>
      <c r="W613" s="98">
        <v>15</v>
      </c>
      <c r="X613" s="98">
        <v>3</v>
      </c>
      <c r="Y613" s="101">
        <f>W613*X613</f>
        <v>45</v>
      </c>
      <c r="Z613" s="101">
        <v>1</v>
      </c>
      <c r="AA613" s="183">
        <v>0</v>
      </c>
      <c r="AB613" s="99">
        <v>1</v>
      </c>
      <c r="AC613" s="98">
        <v>0</v>
      </c>
      <c r="AD613" s="98">
        <v>0</v>
      </c>
      <c r="AE613" s="101">
        <f t="shared" ref="AE613:AE619" si="562">AC613*AD613</f>
        <v>0</v>
      </c>
      <c r="AF613" s="98">
        <v>0</v>
      </c>
      <c r="AG613" s="98">
        <v>3</v>
      </c>
      <c r="AH613" s="99">
        <f t="shared" ref="AH613:AH619" si="563">AF613*AG613</f>
        <v>0</v>
      </c>
      <c r="AI613" s="101">
        <v>1</v>
      </c>
      <c r="AJ613" s="106"/>
    </row>
    <row r="614" spans="2:36" s="35" customFormat="1" ht="17.100000000000001" customHeight="1">
      <c r="B614" s="105"/>
      <c r="C614" s="54"/>
      <c r="D614" s="96"/>
      <c r="E614" s="111"/>
      <c r="F614" s="112"/>
      <c r="G614" s="113"/>
      <c r="H614" s="183">
        <v>1</v>
      </c>
      <c r="I614" s="98">
        <v>0</v>
      </c>
      <c r="J614" s="98">
        <v>0</v>
      </c>
      <c r="K614" s="101">
        <f t="shared" si="558"/>
        <v>0</v>
      </c>
      <c r="L614" s="100">
        <v>0</v>
      </c>
      <c r="M614" s="98">
        <v>0</v>
      </c>
      <c r="N614" s="101">
        <f t="shared" si="559"/>
        <v>0</v>
      </c>
      <c r="O614" s="100">
        <v>0</v>
      </c>
      <c r="P614" s="98">
        <v>0</v>
      </c>
      <c r="Q614" s="101">
        <f t="shared" si="560"/>
        <v>0</v>
      </c>
      <c r="R614" s="100">
        <v>0</v>
      </c>
      <c r="S614" s="98">
        <v>0</v>
      </c>
      <c r="T614" s="101">
        <f t="shared" si="561"/>
        <v>0</v>
      </c>
      <c r="U614" s="183">
        <v>1</v>
      </c>
      <c r="V614" s="99">
        <v>1</v>
      </c>
      <c r="W614" s="98">
        <v>0</v>
      </c>
      <c r="X614" s="98">
        <v>0</v>
      </c>
      <c r="Y614" s="101">
        <f t="shared" ref="Y614:Y619" si="564">W614*X614</f>
        <v>0</v>
      </c>
      <c r="Z614" s="101">
        <v>1</v>
      </c>
      <c r="AA614" s="183">
        <v>0</v>
      </c>
      <c r="AB614" s="99">
        <v>1</v>
      </c>
      <c r="AC614" s="98">
        <v>0</v>
      </c>
      <c r="AD614" s="98">
        <v>0</v>
      </c>
      <c r="AE614" s="101">
        <f t="shared" si="562"/>
        <v>0</v>
      </c>
      <c r="AF614" s="100">
        <v>0</v>
      </c>
      <c r="AG614" s="98">
        <v>0</v>
      </c>
      <c r="AH614" s="99">
        <f t="shared" si="563"/>
        <v>0</v>
      </c>
      <c r="AI614" s="101">
        <v>1</v>
      </c>
      <c r="AJ614" s="106"/>
    </row>
    <row r="615" spans="2:36" s="35" customFormat="1" ht="17.100000000000001" customHeight="1">
      <c r="B615" s="105"/>
      <c r="C615" s="54"/>
      <c r="D615" s="96"/>
      <c r="E615" s="111"/>
      <c r="F615" s="112"/>
      <c r="G615" s="113"/>
      <c r="H615" s="183">
        <v>1</v>
      </c>
      <c r="I615" s="98">
        <v>0</v>
      </c>
      <c r="J615" s="98">
        <v>0</v>
      </c>
      <c r="K615" s="101">
        <f t="shared" si="558"/>
        <v>0</v>
      </c>
      <c r="L615" s="100">
        <v>0</v>
      </c>
      <c r="M615" s="98">
        <v>0</v>
      </c>
      <c r="N615" s="101">
        <f t="shared" si="559"/>
        <v>0</v>
      </c>
      <c r="O615" s="100">
        <v>0</v>
      </c>
      <c r="P615" s="98">
        <v>0</v>
      </c>
      <c r="Q615" s="101">
        <f t="shared" si="560"/>
        <v>0</v>
      </c>
      <c r="R615" s="100">
        <v>0</v>
      </c>
      <c r="S615" s="98">
        <v>0</v>
      </c>
      <c r="T615" s="101">
        <f t="shared" si="561"/>
        <v>0</v>
      </c>
      <c r="U615" s="183">
        <v>1</v>
      </c>
      <c r="V615" s="99">
        <v>1</v>
      </c>
      <c r="W615" s="98">
        <v>0</v>
      </c>
      <c r="X615" s="98">
        <v>0</v>
      </c>
      <c r="Y615" s="101">
        <f t="shared" si="564"/>
        <v>0</v>
      </c>
      <c r="Z615" s="101">
        <v>1</v>
      </c>
      <c r="AA615" s="183">
        <v>0</v>
      </c>
      <c r="AB615" s="99">
        <v>1</v>
      </c>
      <c r="AC615" s="98">
        <v>0</v>
      </c>
      <c r="AD615" s="98">
        <v>0</v>
      </c>
      <c r="AE615" s="101">
        <f t="shared" si="562"/>
        <v>0</v>
      </c>
      <c r="AF615" s="100">
        <v>0</v>
      </c>
      <c r="AG615" s="98">
        <v>0</v>
      </c>
      <c r="AH615" s="99">
        <f t="shared" si="563"/>
        <v>0</v>
      </c>
      <c r="AI615" s="101">
        <v>1</v>
      </c>
      <c r="AJ615" s="106"/>
    </row>
    <row r="616" spans="2:36" s="35" customFormat="1" ht="17.100000000000001" customHeight="1">
      <c r="B616" s="105"/>
      <c r="C616" s="54"/>
      <c r="D616" s="96"/>
      <c r="E616" s="111"/>
      <c r="F616" s="112"/>
      <c r="G616" s="113"/>
      <c r="H616" s="183">
        <v>1</v>
      </c>
      <c r="I616" s="98">
        <v>0</v>
      </c>
      <c r="J616" s="98">
        <v>0</v>
      </c>
      <c r="K616" s="101">
        <f t="shared" si="558"/>
        <v>0</v>
      </c>
      <c r="L616" s="100">
        <v>0</v>
      </c>
      <c r="M616" s="98">
        <v>0</v>
      </c>
      <c r="N616" s="101">
        <f t="shared" si="559"/>
        <v>0</v>
      </c>
      <c r="O616" s="100">
        <v>0</v>
      </c>
      <c r="P616" s="98">
        <v>0</v>
      </c>
      <c r="Q616" s="101">
        <f t="shared" si="560"/>
        <v>0</v>
      </c>
      <c r="R616" s="100">
        <v>0</v>
      </c>
      <c r="S616" s="98">
        <v>0</v>
      </c>
      <c r="T616" s="101">
        <f t="shared" si="561"/>
        <v>0</v>
      </c>
      <c r="U616" s="183">
        <v>1</v>
      </c>
      <c r="V616" s="99">
        <v>1</v>
      </c>
      <c r="W616" s="98">
        <v>0</v>
      </c>
      <c r="X616" s="98">
        <v>0</v>
      </c>
      <c r="Y616" s="101">
        <f t="shared" si="564"/>
        <v>0</v>
      </c>
      <c r="Z616" s="101">
        <v>1</v>
      </c>
      <c r="AA616" s="183">
        <v>0</v>
      </c>
      <c r="AB616" s="99">
        <v>1</v>
      </c>
      <c r="AC616" s="98">
        <v>0</v>
      </c>
      <c r="AD616" s="98">
        <v>0</v>
      </c>
      <c r="AE616" s="101">
        <f t="shared" si="562"/>
        <v>0</v>
      </c>
      <c r="AF616" s="100">
        <v>0</v>
      </c>
      <c r="AG616" s="98">
        <v>0</v>
      </c>
      <c r="AH616" s="99">
        <f t="shared" si="563"/>
        <v>0</v>
      </c>
      <c r="AI616" s="101">
        <v>1</v>
      </c>
      <c r="AJ616" s="106"/>
    </row>
    <row r="617" spans="2:36" s="35" customFormat="1" ht="17.100000000000001" customHeight="1">
      <c r="B617" s="105"/>
      <c r="C617" s="54"/>
      <c r="D617" s="96"/>
      <c r="E617" s="111"/>
      <c r="F617" s="112"/>
      <c r="G617" s="113"/>
      <c r="H617" s="183">
        <v>1</v>
      </c>
      <c r="I617" s="98">
        <v>0</v>
      </c>
      <c r="J617" s="98">
        <v>0</v>
      </c>
      <c r="K617" s="101">
        <f t="shared" si="558"/>
        <v>0</v>
      </c>
      <c r="L617" s="100">
        <v>0</v>
      </c>
      <c r="M617" s="98">
        <v>0</v>
      </c>
      <c r="N617" s="101">
        <f t="shared" si="559"/>
        <v>0</v>
      </c>
      <c r="O617" s="100">
        <v>0</v>
      </c>
      <c r="P617" s="98">
        <v>0</v>
      </c>
      <c r="Q617" s="101">
        <f t="shared" si="560"/>
        <v>0</v>
      </c>
      <c r="R617" s="100">
        <v>0</v>
      </c>
      <c r="S617" s="98">
        <v>0</v>
      </c>
      <c r="T617" s="101">
        <f t="shared" si="561"/>
        <v>0</v>
      </c>
      <c r="U617" s="183">
        <v>1</v>
      </c>
      <c r="V617" s="99">
        <v>1</v>
      </c>
      <c r="W617" s="98">
        <v>0</v>
      </c>
      <c r="X617" s="98">
        <v>0</v>
      </c>
      <c r="Y617" s="101">
        <f t="shared" si="564"/>
        <v>0</v>
      </c>
      <c r="Z617" s="101">
        <v>1</v>
      </c>
      <c r="AA617" s="183">
        <v>0</v>
      </c>
      <c r="AB617" s="99">
        <v>1</v>
      </c>
      <c r="AC617" s="98">
        <v>0</v>
      </c>
      <c r="AD617" s="98">
        <v>0</v>
      </c>
      <c r="AE617" s="101">
        <f t="shared" si="562"/>
        <v>0</v>
      </c>
      <c r="AF617" s="100">
        <v>0</v>
      </c>
      <c r="AG617" s="98">
        <v>0</v>
      </c>
      <c r="AH617" s="99">
        <f t="shared" si="563"/>
        <v>0</v>
      </c>
      <c r="AI617" s="101">
        <v>1</v>
      </c>
      <c r="AJ617" s="106"/>
    </row>
    <row r="618" spans="2:36" s="35" customFormat="1" ht="17.100000000000001" customHeight="1">
      <c r="B618" s="105"/>
      <c r="C618" s="54"/>
      <c r="D618" s="96"/>
      <c r="E618" s="111"/>
      <c r="F618" s="112"/>
      <c r="G618" s="113"/>
      <c r="H618" s="183">
        <v>1</v>
      </c>
      <c r="I618" s="98">
        <v>0</v>
      </c>
      <c r="J618" s="98">
        <v>0</v>
      </c>
      <c r="K618" s="101">
        <f t="shared" si="558"/>
        <v>0</v>
      </c>
      <c r="L618" s="100">
        <v>0</v>
      </c>
      <c r="M618" s="98">
        <v>0</v>
      </c>
      <c r="N618" s="101">
        <f t="shared" si="559"/>
        <v>0</v>
      </c>
      <c r="O618" s="100">
        <v>0</v>
      </c>
      <c r="P618" s="98">
        <v>0</v>
      </c>
      <c r="Q618" s="101">
        <f t="shared" si="560"/>
        <v>0</v>
      </c>
      <c r="R618" s="100">
        <v>0</v>
      </c>
      <c r="S618" s="98">
        <v>0</v>
      </c>
      <c r="T618" s="101">
        <f t="shared" si="561"/>
        <v>0</v>
      </c>
      <c r="U618" s="183">
        <v>1</v>
      </c>
      <c r="V618" s="99">
        <v>1</v>
      </c>
      <c r="W618" s="98">
        <v>0</v>
      </c>
      <c r="X618" s="98">
        <v>0</v>
      </c>
      <c r="Y618" s="101">
        <f t="shared" si="564"/>
        <v>0</v>
      </c>
      <c r="Z618" s="101">
        <v>1</v>
      </c>
      <c r="AA618" s="183">
        <v>0</v>
      </c>
      <c r="AB618" s="99">
        <v>1</v>
      </c>
      <c r="AC618" s="98">
        <v>0</v>
      </c>
      <c r="AD618" s="98">
        <v>0</v>
      </c>
      <c r="AE618" s="101">
        <f t="shared" si="562"/>
        <v>0</v>
      </c>
      <c r="AF618" s="100">
        <v>0</v>
      </c>
      <c r="AG618" s="98">
        <v>0</v>
      </c>
      <c r="AH618" s="99">
        <f t="shared" si="563"/>
        <v>0</v>
      </c>
      <c r="AI618" s="101">
        <v>1</v>
      </c>
      <c r="AJ618" s="106"/>
    </row>
    <row r="619" spans="2:36" s="35" customFormat="1" ht="17.100000000000001" customHeight="1">
      <c r="B619" s="105"/>
      <c r="C619" s="54"/>
      <c r="D619" s="96"/>
      <c r="E619" s="111"/>
      <c r="F619" s="112"/>
      <c r="G619" s="113"/>
      <c r="H619" s="183">
        <v>1</v>
      </c>
      <c r="I619" s="98">
        <v>0</v>
      </c>
      <c r="J619" s="98">
        <v>0</v>
      </c>
      <c r="K619" s="101">
        <f t="shared" si="558"/>
        <v>0</v>
      </c>
      <c r="L619" s="100">
        <v>0</v>
      </c>
      <c r="M619" s="98">
        <v>0</v>
      </c>
      <c r="N619" s="101">
        <f t="shared" si="559"/>
        <v>0</v>
      </c>
      <c r="O619" s="100">
        <v>0</v>
      </c>
      <c r="P619" s="98">
        <v>0</v>
      </c>
      <c r="Q619" s="101">
        <f t="shared" si="560"/>
        <v>0</v>
      </c>
      <c r="R619" s="100">
        <v>0</v>
      </c>
      <c r="S619" s="98">
        <v>0</v>
      </c>
      <c r="T619" s="101">
        <f t="shared" si="561"/>
        <v>0</v>
      </c>
      <c r="U619" s="183">
        <v>1</v>
      </c>
      <c r="V619" s="99">
        <v>1</v>
      </c>
      <c r="W619" s="98">
        <v>0</v>
      </c>
      <c r="X619" s="98">
        <v>0</v>
      </c>
      <c r="Y619" s="101">
        <f t="shared" si="564"/>
        <v>0</v>
      </c>
      <c r="Z619" s="101">
        <v>1</v>
      </c>
      <c r="AA619" s="183">
        <v>0</v>
      </c>
      <c r="AB619" s="99">
        <v>1</v>
      </c>
      <c r="AC619" s="98">
        <v>0</v>
      </c>
      <c r="AD619" s="98">
        <v>0</v>
      </c>
      <c r="AE619" s="101">
        <f t="shared" si="562"/>
        <v>0</v>
      </c>
      <c r="AF619" s="100">
        <v>0</v>
      </c>
      <c r="AG619" s="98">
        <v>0</v>
      </c>
      <c r="AH619" s="99">
        <f t="shared" si="563"/>
        <v>0</v>
      </c>
      <c r="AI619" s="101">
        <v>1</v>
      </c>
      <c r="AJ619" s="106"/>
    </row>
    <row r="620" spans="2:36" s="126" customFormat="1" ht="17.100000000000001" customHeight="1">
      <c r="B620" s="118"/>
      <c r="C620" s="119"/>
      <c r="D620" s="120"/>
      <c r="E620" s="121"/>
      <c r="F620" s="122"/>
      <c r="G620" s="123"/>
      <c r="H620" s="183">
        <v>1</v>
      </c>
      <c r="I620" s="363" t="s">
        <v>201</v>
      </c>
      <c r="J620" s="363"/>
      <c r="K620" s="124">
        <f>SUM(K613:K619)</f>
        <v>0</v>
      </c>
      <c r="L620" s="341" t="s">
        <v>201</v>
      </c>
      <c r="M620" s="342"/>
      <c r="N620" s="124">
        <f>SUM(N613:N619)</f>
        <v>0</v>
      </c>
      <c r="O620" s="341" t="s">
        <v>201</v>
      </c>
      <c r="P620" s="342"/>
      <c r="Q620" s="124">
        <f>SUM(Q613:Q619)</f>
        <v>0</v>
      </c>
      <c r="R620" s="341" t="s">
        <v>201</v>
      </c>
      <c r="S620" s="342"/>
      <c r="T620" s="124">
        <f>SUM(T613:T619)</f>
        <v>150</v>
      </c>
      <c r="U620" s="183">
        <v>1</v>
      </c>
      <c r="V620" s="99">
        <v>1</v>
      </c>
      <c r="W620" s="363" t="s">
        <v>201</v>
      </c>
      <c r="X620" s="363"/>
      <c r="Y620" s="124">
        <f>SUM(Y613:Y619)</f>
        <v>45</v>
      </c>
      <c r="Z620" s="101">
        <v>1</v>
      </c>
      <c r="AA620" s="183">
        <v>0</v>
      </c>
      <c r="AB620" s="99">
        <v>1</v>
      </c>
      <c r="AC620" s="363" t="s">
        <v>201</v>
      </c>
      <c r="AD620" s="363"/>
      <c r="AE620" s="124">
        <f>SUM(AE613:AE619)</f>
        <v>0</v>
      </c>
      <c r="AF620" s="364" t="s">
        <v>201</v>
      </c>
      <c r="AG620" s="363"/>
      <c r="AH620" s="143">
        <f>SUM(AH613:AH619)</f>
        <v>0</v>
      </c>
      <c r="AI620" s="101">
        <v>1</v>
      </c>
      <c r="AJ620" s="125"/>
    </row>
    <row r="621" spans="2:36" s="35" customFormat="1" ht="16.95" customHeight="1">
      <c r="B621" s="105"/>
      <c r="C621" s="54">
        <f>'3. Rekap Back Up Non Aspal '!C98</f>
        <v>11800</v>
      </c>
      <c r="D621" s="96">
        <f>'3. Rekap Back Up Non Aspal '!D98</f>
        <v>11900</v>
      </c>
      <c r="E621" s="111">
        <f>'3. Rekap Back Up Non Aspal '!E98</f>
        <v>3</v>
      </c>
      <c r="F621" s="112">
        <f>(100/((D621-C621)*E621))*((K628*0.05)+(N628*0.05)+(Q628*0.05)+(T628)+(Y628)+(AE628*1.5)+(AH628*1))</f>
        <v>130</v>
      </c>
      <c r="G621" s="113" t="str">
        <f>IF(F621&lt;=25,"RB",IF(F621&lt;=75,"RB",IF(F621&lt;=100,"RB","RB")))</f>
        <v>RB</v>
      </c>
      <c r="H621" s="183">
        <v>1</v>
      </c>
      <c r="I621" s="98">
        <v>0</v>
      </c>
      <c r="J621" s="98">
        <v>0</v>
      </c>
      <c r="K621" s="101">
        <f t="shared" ref="K621:K627" si="565">I621*J621</f>
        <v>0</v>
      </c>
      <c r="L621" s="98">
        <v>0</v>
      </c>
      <c r="M621" s="98">
        <v>0</v>
      </c>
      <c r="N621" s="101">
        <f t="shared" ref="N621:N627" si="566">L621*M621</f>
        <v>0</v>
      </c>
      <c r="O621" s="98">
        <v>0</v>
      </c>
      <c r="P621" s="98">
        <v>0</v>
      </c>
      <c r="Q621" s="101">
        <f t="shared" ref="Q621:Q627" si="567">O621*P621</f>
        <v>0</v>
      </c>
      <c r="R621" s="98">
        <v>80</v>
      </c>
      <c r="S621" s="98">
        <v>3</v>
      </c>
      <c r="T621" s="101">
        <f t="shared" ref="T621:T627" si="568">R621*S621</f>
        <v>240</v>
      </c>
      <c r="U621" s="183">
        <v>5</v>
      </c>
      <c r="V621" s="99">
        <v>3</v>
      </c>
      <c r="W621" s="98">
        <v>50</v>
      </c>
      <c r="X621" s="98">
        <v>3</v>
      </c>
      <c r="Y621" s="101">
        <f>W621*X621</f>
        <v>150</v>
      </c>
      <c r="Z621" s="101">
        <v>1</v>
      </c>
      <c r="AA621" s="183">
        <v>0</v>
      </c>
      <c r="AB621" s="99">
        <v>1</v>
      </c>
      <c r="AC621" s="98">
        <v>0</v>
      </c>
      <c r="AD621" s="98">
        <v>0</v>
      </c>
      <c r="AE621" s="101">
        <f t="shared" ref="AE621:AE627" si="569">AC621*AD621</f>
        <v>0</v>
      </c>
      <c r="AF621" s="98">
        <v>0</v>
      </c>
      <c r="AG621" s="98">
        <v>3</v>
      </c>
      <c r="AH621" s="99">
        <f t="shared" ref="AH621:AH627" si="570">AF621*AG621</f>
        <v>0</v>
      </c>
      <c r="AI621" s="101">
        <v>1</v>
      </c>
      <c r="AJ621" s="106"/>
    </row>
    <row r="622" spans="2:36" s="35" customFormat="1" ht="17.100000000000001" customHeight="1">
      <c r="B622" s="105"/>
      <c r="C622" s="54"/>
      <c r="D622" s="96"/>
      <c r="E622" s="111"/>
      <c r="F622" s="112"/>
      <c r="G622" s="113"/>
      <c r="H622" s="183">
        <v>1</v>
      </c>
      <c r="I622" s="98">
        <v>0</v>
      </c>
      <c r="J622" s="98">
        <v>0</v>
      </c>
      <c r="K622" s="101">
        <f t="shared" si="565"/>
        <v>0</v>
      </c>
      <c r="L622" s="100">
        <v>0</v>
      </c>
      <c r="M622" s="98">
        <v>0</v>
      </c>
      <c r="N622" s="101">
        <f t="shared" si="566"/>
        <v>0</v>
      </c>
      <c r="O622" s="100">
        <v>0</v>
      </c>
      <c r="P622" s="98">
        <v>0</v>
      </c>
      <c r="Q622" s="101">
        <f t="shared" si="567"/>
        <v>0</v>
      </c>
      <c r="R622" s="100">
        <v>0</v>
      </c>
      <c r="S622" s="98">
        <v>0</v>
      </c>
      <c r="T622" s="101">
        <f t="shared" si="568"/>
        <v>0</v>
      </c>
      <c r="U622" s="183">
        <v>1</v>
      </c>
      <c r="V622" s="99">
        <v>1</v>
      </c>
      <c r="W622" s="98">
        <v>0</v>
      </c>
      <c r="X622" s="98">
        <v>0</v>
      </c>
      <c r="Y622" s="101">
        <f t="shared" ref="Y622:Y627" si="571">W622*X622</f>
        <v>0</v>
      </c>
      <c r="Z622" s="101">
        <v>1</v>
      </c>
      <c r="AA622" s="183">
        <v>0</v>
      </c>
      <c r="AB622" s="99">
        <v>1</v>
      </c>
      <c r="AC622" s="98">
        <v>0</v>
      </c>
      <c r="AD622" s="98">
        <v>0</v>
      </c>
      <c r="AE622" s="101">
        <f t="shared" si="569"/>
        <v>0</v>
      </c>
      <c r="AF622" s="100">
        <v>0</v>
      </c>
      <c r="AG622" s="98">
        <v>0</v>
      </c>
      <c r="AH622" s="99">
        <f t="shared" si="570"/>
        <v>0</v>
      </c>
      <c r="AI622" s="101">
        <v>1</v>
      </c>
      <c r="AJ622" s="106"/>
    </row>
    <row r="623" spans="2:36" s="35" customFormat="1" ht="17.100000000000001" customHeight="1">
      <c r="B623" s="105"/>
      <c r="C623" s="54"/>
      <c r="D623" s="96"/>
      <c r="E623" s="111"/>
      <c r="F623" s="112"/>
      <c r="G623" s="113"/>
      <c r="H623" s="183">
        <v>1</v>
      </c>
      <c r="I623" s="98">
        <v>0</v>
      </c>
      <c r="J623" s="98">
        <v>0</v>
      </c>
      <c r="K623" s="101">
        <f t="shared" si="565"/>
        <v>0</v>
      </c>
      <c r="L623" s="100">
        <v>0</v>
      </c>
      <c r="M623" s="98">
        <v>0</v>
      </c>
      <c r="N623" s="101">
        <f t="shared" si="566"/>
        <v>0</v>
      </c>
      <c r="O623" s="100">
        <v>0</v>
      </c>
      <c r="P623" s="98">
        <v>0</v>
      </c>
      <c r="Q623" s="101">
        <f t="shared" si="567"/>
        <v>0</v>
      </c>
      <c r="R623" s="100">
        <v>0</v>
      </c>
      <c r="S623" s="98">
        <v>0</v>
      </c>
      <c r="T623" s="101">
        <f t="shared" si="568"/>
        <v>0</v>
      </c>
      <c r="U623" s="183">
        <v>1</v>
      </c>
      <c r="V623" s="99">
        <v>1</v>
      </c>
      <c r="W623" s="98">
        <v>0</v>
      </c>
      <c r="X623" s="98">
        <v>0</v>
      </c>
      <c r="Y623" s="101">
        <f t="shared" si="571"/>
        <v>0</v>
      </c>
      <c r="Z623" s="101">
        <v>1</v>
      </c>
      <c r="AA623" s="183">
        <v>0</v>
      </c>
      <c r="AB623" s="99">
        <v>1</v>
      </c>
      <c r="AC623" s="98">
        <v>0</v>
      </c>
      <c r="AD623" s="98">
        <v>0</v>
      </c>
      <c r="AE623" s="101">
        <f t="shared" si="569"/>
        <v>0</v>
      </c>
      <c r="AF623" s="100">
        <v>0</v>
      </c>
      <c r="AG623" s="98">
        <v>0</v>
      </c>
      <c r="AH623" s="99">
        <f t="shared" si="570"/>
        <v>0</v>
      </c>
      <c r="AI623" s="101">
        <v>1</v>
      </c>
      <c r="AJ623" s="106"/>
    </row>
    <row r="624" spans="2:36" s="35" customFormat="1" ht="17.100000000000001" customHeight="1">
      <c r="B624" s="105"/>
      <c r="C624" s="54"/>
      <c r="D624" s="96"/>
      <c r="E624" s="111"/>
      <c r="F624" s="112"/>
      <c r="G624" s="113"/>
      <c r="H624" s="183">
        <v>1</v>
      </c>
      <c r="I624" s="98">
        <v>0</v>
      </c>
      <c r="J624" s="98">
        <v>0</v>
      </c>
      <c r="K624" s="101">
        <f t="shared" si="565"/>
        <v>0</v>
      </c>
      <c r="L624" s="100">
        <v>0</v>
      </c>
      <c r="M624" s="98">
        <v>0</v>
      </c>
      <c r="N624" s="101">
        <f t="shared" si="566"/>
        <v>0</v>
      </c>
      <c r="O624" s="100">
        <v>0</v>
      </c>
      <c r="P624" s="98">
        <v>0</v>
      </c>
      <c r="Q624" s="101">
        <f t="shared" si="567"/>
        <v>0</v>
      </c>
      <c r="R624" s="100">
        <v>0</v>
      </c>
      <c r="S624" s="98">
        <v>0</v>
      </c>
      <c r="T624" s="101">
        <f t="shared" si="568"/>
        <v>0</v>
      </c>
      <c r="U624" s="183">
        <v>1</v>
      </c>
      <c r="V624" s="99">
        <v>1</v>
      </c>
      <c r="W624" s="98">
        <v>0</v>
      </c>
      <c r="X624" s="98">
        <v>0</v>
      </c>
      <c r="Y624" s="101">
        <f t="shared" si="571"/>
        <v>0</v>
      </c>
      <c r="Z624" s="101">
        <v>1</v>
      </c>
      <c r="AA624" s="183">
        <v>0</v>
      </c>
      <c r="AB624" s="99">
        <v>1</v>
      </c>
      <c r="AC624" s="98">
        <v>0</v>
      </c>
      <c r="AD624" s="98">
        <v>0</v>
      </c>
      <c r="AE624" s="101">
        <f t="shared" si="569"/>
        <v>0</v>
      </c>
      <c r="AF624" s="100">
        <v>0</v>
      </c>
      <c r="AG624" s="98">
        <v>0</v>
      </c>
      <c r="AH624" s="99">
        <f t="shared" si="570"/>
        <v>0</v>
      </c>
      <c r="AI624" s="101">
        <v>1</v>
      </c>
      <c r="AJ624" s="106"/>
    </row>
    <row r="625" spans="2:36" s="35" customFormat="1" ht="17.100000000000001" customHeight="1">
      <c r="B625" s="105"/>
      <c r="C625" s="54"/>
      <c r="D625" s="96"/>
      <c r="E625" s="111"/>
      <c r="F625" s="112"/>
      <c r="G625" s="113"/>
      <c r="H625" s="183">
        <v>1</v>
      </c>
      <c r="I625" s="98">
        <v>0</v>
      </c>
      <c r="J625" s="98">
        <v>0</v>
      </c>
      <c r="K625" s="101">
        <f t="shared" si="565"/>
        <v>0</v>
      </c>
      <c r="L625" s="100">
        <v>0</v>
      </c>
      <c r="M625" s="98">
        <v>0</v>
      </c>
      <c r="N625" s="101">
        <f t="shared" si="566"/>
        <v>0</v>
      </c>
      <c r="O625" s="100">
        <v>0</v>
      </c>
      <c r="P625" s="98">
        <v>0</v>
      </c>
      <c r="Q625" s="101">
        <f t="shared" si="567"/>
        <v>0</v>
      </c>
      <c r="R625" s="100">
        <v>0</v>
      </c>
      <c r="S625" s="98">
        <v>0</v>
      </c>
      <c r="T625" s="101">
        <f t="shared" si="568"/>
        <v>0</v>
      </c>
      <c r="U625" s="183">
        <v>1</v>
      </c>
      <c r="V625" s="99">
        <v>1</v>
      </c>
      <c r="W625" s="98">
        <v>0</v>
      </c>
      <c r="X625" s="98">
        <v>0</v>
      </c>
      <c r="Y625" s="101">
        <f t="shared" si="571"/>
        <v>0</v>
      </c>
      <c r="Z625" s="101">
        <v>1</v>
      </c>
      <c r="AA625" s="183">
        <v>0</v>
      </c>
      <c r="AB625" s="99">
        <v>1</v>
      </c>
      <c r="AC625" s="98">
        <v>0</v>
      </c>
      <c r="AD625" s="98">
        <v>0</v>
      </c>
      <c r="AE625" s="101">
        <f t="shared" si="569"/>
        <v>0</v>
      </c>
      <c r="AF625" s="100">
        <v>0</v>
      </c>
      <c r="AG625" s="98">
        <v>0</v>
      </c>
      <c r="AH625" s="99">
        <f t="shared" si="570"/>
        <v>0</v>
      </c>
      <c r="AI625" s="101">
        <v>1</v>
      </c>
      <c r="AJ625" s="106"/>
    </row>
    <row r="626" spans="2:36" s="35" customFormat="1" ht="17.100000000000001" customHeight="1">
      <c r="B626" s="105"/>
      <c r="C626" s="54"/>
      <c r="D626" s="96"/>
      <c r="E626" s="111"/>
      <c r="F626" s="112"/>
      <c r="G626" s="113"/>
      <c r="H626" s="183">
        <v>1</v>
      </c>
      <c r="I626" s="98">
        <v>0</v>
      </c>
      <c r="J626" s="98">
        <v>0</v>
      </c>
      <c r="K626" s="101">
        <f t="shared" si="565"/>
        <v>0</v>
      </c>
      <c r="L626" s="100">
        <v>0</v>
      </c>
      <c r="M626" s="98">
        <v>0</v>
      </c>
      <c r="N626" s="101">
        <f t="shared" si="566"/>
        <v>0</v>
      </c>
      <c r="O626" s="100">
        <v>0</v>
      </c>
      <c r="P626" s="98">
        <v>0</v>
      </c>
      <c r="Q626" s="101">
        <f t="shared" si="567"/>
        <v>0</v>
      </c>
      <c r="R626" s="100">
        <v>0</v>
      </c>
      <c r="S626" s="98">
        <v>0</v>
      </c>
      <c r="T626" s="101">
        <f t="shared" si="568"/>
        <v>0</v>
      </c>
      <c r="U626" s="183">
        <v>1</v>
      </c>
      <c r="V626" s="99">
        <v>1</v>
      </c>
      <c r="W626" s="98">
        <v>0</v>
      </c>
      <c r="X626" s="98">
        <v>0</v>
      </c>
      <c r="Y626" s="101">
        <f t="shared" si="571"/>
        <v>0</v>
      </c>
      <c r="Z626" s="101">
        <v>1</v>
      </c>
      <c r="AA626" s="183">
        <v>0</v>
      </c>
      <c r="AB626" s="99">
        <v>1</v>
      </c>
      <c r="AC626" s="98">
        <v>0</v>
      </c>
      <c r="AD626" s="98">
        <v>0</v>
      </c>
      <c r="AE626" s="101">
        <f t="shared" si="569"/>
        <v>0</v>
      </c>
      <c r="AF626" s="100">
        <v>0</v>
      </c>
      <c r="AG626" s="98">
        <v>0</v>
      </c>
      <c r="AH626" s="99">
        <f t="shared" si="570"/>
        <v>0</v>
      </c>
      <c r="AI626" s="101">
        <v>1</v>
      </c>
      <c r="AJ626" s="106"/>
    </row>
    <row r="627" spans="2:36" s="35" customFormat="1" ht="17.100000000000001" customHeight="1">
      <c r="B627" s="105"/>
      <c r="C627" s="54"/>
      <c r="D627" s="96"/>
      <c r="E627" s="111"/>
      <c r="F627" s="112"/>
      <c r="G627" s="113"/>
      <c r="H627" s="183">
        <v>1</v>
      </c>
      <c r="I627" s="98">
        <v>0</v>
      </c>
      <c r="J627" s="98">
        <v>0</v>
      </c>
      <c r="K627" s="101">
        <f t="shared" si="565"/>
        <v>0</v>
      </c>
      <c r="L627" s="100">
        <v>0</v>
      </c>
      <c r="M627" s="98">
        <v>0</v>
      </c>
      <c r="N627" s="101">
        <f t="shared" si="566"/>
        <v>0</v>
      </c>
      <c r="O627" s="100">
        <v>0</v>
      </c>
      <c r="P627" s="98">
        <v>0</v>
      </c>
      <c r="Q627" s="101">
        <f t="shared" si="567"/>
        <v>0</v>
      </c>
      <c r="R627" s="100">
        <v>0</v>
      </c>
      <c r="S627" s="98">
        <v>0</v>
      </c>
      <c r="T627" s="101">
        <f t="shared" si="568"/>
        <v>0</v>
      </c>
      <c r="U627" s="183">
        <v>1</v>
      </c>
      <c r="V627" s="99">
        <v>1</v>
      </c>
      <c r="W627" s="98">
        <v>0</v>
      </c>
      <c r="X627" s="98">
        <v>0</v>
      </c>
      <c r="Y627" s="101">
        <f t="shared" si="571"/>
        <v>0</v>
      </c>
      <c r="Z627" s="101">
        <v>1</v>
      </c>
      <c r="AA627" s="183">
        <v>0</v>
      </c>
      <c r="AB627" s="99">
        <v>1</v>
      </c>
      <c r="AC627" s="98">
        <v>0</v>
      </c>
      <c r="AD627" s="98">
        <v>0</v>
      </c>
      <c r="AE627" s="101">
        <f t="shared" si="569"/>
        <v>0</v>
      </c>
      <c r="AF627" s="100">
        <v>0</v>
      </c>
      <c r="AG627" s="98">
        <v>0</v>
      </c>
      <c r="AH627" s="99">
        <f t="shared" si="570"/>
        <v>0</v>
      </c>
      <c r="AI627" s="101">
        <v>1</v>
      </c>
      <c r="AJ627" s="106"/>
    </row>
    <row r="628" spans="2:36" s="126" customFormat="1" ht="17.100000000000001" customHeight="1">
      <c r="B628" s="118"/>
      <c r="C628" s="119"/>
      <c r="D628" s="120"/>
      <c r="E628" s="121"/>
      <c r="F628" s="122"/>
      <c r="G628" s="123"/>
      <c r="H628" s="183">
        <v>1</v>
      </c>
      <c r="I628" s="363" t="s">
        <v>201</v>
      </c>
      <c r="J628" s="363"/>
      <c r="K628" s="124">
        <f>SUM(K621:K627)</f>
        <v>0</v>
      </c>
      <c r="L628" s="341" t="s">
        <v>201</v>
      </c>
      <c r="M628" s="342"/>
      <c r="N628" s="124">
        <f>SUM(N621:N627)</f>
        <v>0</v>
      </c>
      <c r="O628" s="341" t="s">
        <v>201</v>
      </c>
      <c r="P628" s="342"/>
      <c r="Q628" s="124">
        <f>SUM(Q621:Q627)</f>
        <v>0</v>
      </c>
      <c r="R628" s="341" t="s">
        <v>201</v>
      </c>
      <c r="S628" s="342"/>
      <c r="T628" s="124">
        <f>SUM(T621:T627)</f>
        <v>240</v>
      </c>
      <c r="U628" s="183">
        <v>1</v>
      </c>
      <c r="V628" s="99">
        <v>1</v>
      </c>
      <c r="W628" s="363" t="s">
        <v>201</v>
      </c>
      <c r="X628" s="363"/>
      <c r="Y628" s="124">
        <f>SUM(Y621:Y627)</f>
        <v>150</v>
      </c>
      <c r="Z628" s="101">
        <v>1</v>
      </c>
      <c r="AA628" s="183">
        <v>0</v>
      </c>
      <c r="AB628" s="99">
        <v>1</v>
      </c>
      <c r="AC628" s="363" t="s">
        <v>201</v>
      </c>
      <c r="AD628" s="363"/>
      <c r="AE628" s="124">
        <f>SUM(AE621:AE627)</f>
        <v>0</v>
      </c>
      <c r="AF628" s="364" t="s">
        <v>201</v>
      </c>
      <c r="AG628" s="363"/>
      <c r="AH628" s="143">
        <f>SUM(AH621:AH627)</f>
        <v>0</v>
      </c>
      <c r="AI628" s="101">
        <v>1</v>
      </c>
      <c r="AJ628" s="125"/>
    </row>
    <row r="629" spans="2:36" s="35" customFormat="1" ht="16.95" customHeight="1">
      <c r="B629" s="105"/>
      <c r="C629" s="54">
        <f>'3. Rekap Back Up Non Aspal '!C99</f>
        <v>11900</v>
      </c>
      <c r="D629" s="96">
        <f>'3. Rekap Back Up Non Aspal '!D99</f>
        <v>12000</v>
      </c>
      <c r="E629" s="111">
        <f>'3. Rekap Back Up Non Aspal '!E99</f>
        <v>3</v>
      </c>
      <c r="F629" s="112">
        <f>(100/((D629-C629)*E629))*((K636*0.05)+(N636*0.05)+(Q636*0.05)+(T636)+(Y636)+(AE636*1.5)+(AH636*1))</f>
        <v>100</v>
      </c>
      <c r="G629" s="113" t="str">
        <f>IF(F629&lt;=25,"RB",IF(F629&lt;=75,"RB",IF(F629&lt;=100,"RB","RB")))</f>
        <v>RB</v>
      </c>
      <c r="H629" s="183">
        <v>1</v>
      </c>
      <c r="I629" s="98">
        <v>0</v>
      </c>
      <c r="J629" s="98">
        <v>0</v>
      </c>
      <c r="K629" s="101">
        <f t="shared" ref="K629:K635" si="572">I629*J629</f>
        <v>0</v>
      </c>
      <c r="L629" s="98">
        <v>0</v>
      </c>
      <c r="M629" s="98">
        <v>0</v>
      </c>
      <c r="N629" s="101">
        <f t="shared" ref="N629:N635" si="573">L629*M629</f>
        <v>0</v>
      </c>
      <c r="O629" s="98">
        <v>0</v>
      </c>
      <c r="P629" s="98">
        <v>0</v>
      </c>
      <c r="Q629" s="101">
        <f t="shared" ref="Q629:Q635" si="574">O629*P629</f>
        <v>0</v>
      </c>
      <c r="R629" s="98">
        <v>0</v>
      </c>
      <c r="S629" s="98">
        <v>0</v>
      </c>
      <c r="T629" s="101">
        <f t="shared" ref="T629:T635" si="575">R629*S629</f>
        <v>0</v>
      </c>
      <c r="U629" s="183">
        <v>3</v>
      </c>
      <c r="V629" s="99">
        <v>3</v>
      </c>
      <c r="W629" s="98">
        <v>100</v>
      </c>
      <c r="X629" s="98">
        <v>3</v>
      </c>
      <c r="Y629" s="101">
        <f>W629*X629</f>
        <v>300</v>
      </c>
      <c r="Z629" s="101">
        <v>1</v>
      </c>
      <c r="AA629" s="183">
        <v>0</v>
      </c>
      <c r="AB629" s="99">
        <v>1</v>
      </c>
      <c r="AC629" s="98">
        <v>0</v>
      </c>
      <c r="AD629" s="98">
        <v>0</v>
      </c>
      <c r="AE629" s="101">
        <f t="shared" ref="AE629:AE635" si="576">AC629*AD629</f>
        <v>0</v>
      </c>
      <c r="AF629" s="98">
        <v>0</v>
      </c>
      <c r="AG629" s="98">
        <v>3</v>
      </c>
      <c r="AH629" s="99">
        <f t="shared" ref="AH629:AH635" si="577">AF629*AG629</f>
        <v>0</v>
      </c>
      <c r="AI629" s="101">
        <v>1</v>
      </c>
      <c r="AJ629" s="106"/>
    </row>
    <row r="630" spans="2:36" s="35" customFormat="1" ht="17.100000000000001" customHeight="1">
      <c r="B630" s="105"/>
      <c r="C630" s="54"/>
      <c r="D630" s="96"/>
      <c r="E630" s="111"/>
      <c r="F630" s="112"/>
      <c r="G630" s="113"/>
      <c r="H630" s="183">
        <v>1</v>
      </c>
      <c r="I630" s="98">
        <v>0</v>
      </c>
      <c r="J630" s="98">
        <v>0</v>
      </c>
      <c r="K630" s="101">
        <f t="shared" si="572"/>
        <v>0</v>
      </c>
      <c r="L630" s="100">
        <v>0</v>
      </c>
      <c r="M630" s="98">
        <v>0</v>
      </c>
      <c r="N630" s="101">
        <f t="shared" si="573"/>
        <v>0</v>
      </c>
      <c r="O630" s="100">
        <v>0</v>
      </c>
      <c r="P630" s="98">
        <v>0</v>
      </c>
      <c r="Q630" s="101">
        <f t="shared" si="574"/>
        <v>0</v>
      </c>
      <c r="R630" s="100">
        <v>0</v>
      </c>
      <c r="S630" s="98">
        <v>0</v>
      </c>
      <c r="T630" s="101">
        <f t="shared" si="575"/>
        <v>0</v>
      </c>
      <c r="U630" s="183">
        <v>1</v>
      </c>
      <c r="V630" s="99">
        <v>1</v>
      </c>
      <c r="W630" s="98">
        <v>0</v>
      </c>
      <c r="X630" s="98">
        <v>0</v>
      </c>
      <c r="Y630" s="101">
        <f t="shared" ref="Y630:Y635" si="578">W630*X630</f>
        <v>0</v>
      </c>
      <c r="Z630" s="101">
        <v>1</v>
      </c>
      <c r="AA630" s="183">
        <v>0</v>
      </c>
      <c r="AB630" s="99">
        <v>1</v>
      </c>
      <c r="AC630" s="98">
        <v>0</v>
      </c>
      <c r="AD630" s="98">
        <v>0</v>
      </c>
      <c r="AE630" s="101">
        <f t="shared" si="576"/>
        <v>0</v>
      </c>
      <c r="AF630" s="100">
        <v>0</v>
      </c>
      <c r="AG630" s="98">
        <v>0</v>
      </c>
      <c r="AH630" s="99">
        <f t="shared" si="577"/>
        <v>0</v>
      </c>
      <c r="AI630" s="101">
        <v>1</v>
      </c>
      <c r="AJ630" s="106"/>
    </row>
    <row r="631" spans="2:36" s="35" customFormat="1" ht="17.100000000000001" customHeight="1">
      <c r="B631" s="105"/>
      <c r="C631" s="54"/>
      <c r="D631" s="96"/>
      <c r="E631" s="111"/>
      <c r="F631" s="112"/>
      <c r="G631" s="113"/>
      <c r="H631" s="183">
        <v>1</v>
      </c>
      <c r="I631" s="98">
        <v>0</v>
      </c>
      <c r="J631" s="98">
        <v>0</v>
      </c>
      <c r="K631" s="101">
        <f t="shared" si="572"/>
        <v>0</v>
      </c>
      <c r="L631" s="100">
        <v>0</v>
      </c>
      <c r="M631" s="98">
        <v>0</v>
      </c>
      <c r="N631" s="101">
        <f t="shared" si="573"/>
        <v>0</v>
      </c>
      <c r="O631" s="100">
        <v>0</v>
      </c>
      <c r="P631" s="98">
        <v>0</v>
      </c>
      <c r="Q631" s="101">
        <f t="shared" si="574"/>
        <v>0</v>
      </c>
      <c r="R631" s="100">
        <v>0</v>
      </c>
      <c r="S631" s="98">
        <v>0</v>
      </c>
      <c r="T631" s="101">
        <f t="shared" si="575"/>
        <v>0</v>
      </c>
      <c r="U631" s="183">
        <v>1</v>
      </c>
      <c r="V631" s="99">
        <v>1</v>
      </c>
      <c r="W631" s="98">
        <v>0</v>
      </c>
      <c r="X631" s="98">
        <v>0</v>
      </c>
      <c r="Y631" s="101">
        <f t="shared" si="578"/>
        <v>0</v>
      </c>
      <c r="Z631" s="101">
        <v>1</v>
      </c>
      <c r="AA631" s="183">
        <v>0</v>
      </c>
      <c r="AB631" s="99">
        <v>1</v>
      </c>
      <c r="AC631" s="98">
        <v>0</v>
      </c>
      <c r="AD631" s="98">
        <v>0</v>
      </c>
      <c r="AE631" s="101">
        <f t="shared" si="576"/>
        <v>0</v>
      </c>
      <c r="AF631" s="100">
        <v>0</v>
      </c>
      <c r="AG631" s="98">
        <v>0</v>
      </c>
      <c r="AH631" s="99">
        <f t="shared" si="577"/>
        <v>0</v>
      </c>
      <c r="AI631" s="101">
        <v>1</v>
      </c>
      <c r="AJ631" s="106"/>
    </row>
    <row r="632" spans="2:36" s="35" customFormat="1" ht="17.100000000000001" customHeight="1">
      <c r="B632" s="105"/>
      <c r="C632" s="54"/>
      <c r="D632" s="96"/>
      <c r="E632" s="111"/>
      <c r="F632" s="112"/>
      <c r="G632" s="113"/>
      <c r="H632" s="183">
        <v>1</v>
      </c>
      <c r="I632" s="98">
        <v>0</v>
      </c>
      <c r="J632" s="98">
        <v>0</v>
      </c>
      <c r="K632" s="101">
        <f t="shared" si="572"/>
        <v>0</v>
      </c>
      <c r="L632" s="100">
        <v>0</v>
      </c>
      <c r="M632" s="98">
        <v>0</v>
      </c>
      <c r="N632" s="101">
        <f t="shared" si="573"/>
        <v>0</v>
      </c>
      <c r="O632" s="100">
        <v>0</v>
      </c>
      <c r="P632" s="98">
        <v>0</v>
      </c>
      <c r="Q632" s="101">
        <f t="shared" si="574"/>
        <v>0</v>
      </c>
      <c r="R632" s="100">
        <v>0</v>
      </c>
      <c r="S632" s="98">
        <v>0</v>
      </c>
      <c r="T632" s="101">
        <f t="shared" si="575"/>
        <v>0</v>
      </c>
      <c r="U632" s="183">
        <v>1</v>
      </c>
      <c r="V632" s="99">
        <v>1</v>
      </c>
      <c r="W632" s="98">
        <v>0</v>
      </c>
      <c r="X632" s="98">
        <v>0</v>
      </c>
      <c r="Y632" s="101">
        <f t="shared" si="578"/>
        <v>0</v>
      </c>
      <c r="Z632" s="101">
        <v>1</v>
      </c>
      <c r="AA632" s="183">
        <v>0</v>
      </c>
      <c r="AB632" s="99">
        <v>1</v>
      </c>
      <c r="AC632" s="98">
        <v>0</v>
      </c>
      <c r="AD632" s="98">
        <v>0</v>
      </c>
      <c r="AE632" s="101">
        <f t="shared" si="576"/>
        <v>0</v>
      </c>
      <c r="AF632" s="100">
        <v>0</v>
      </c>
      <c r="AG632" s="98">
        <v>0</v>
      </c>
      <c r="AH632" s="99">
        <f t="shared" si="577"/>
        <v>0</v>
      </c>
      <c r="AI632" s="101">
        <v>1</v>
      </c>
      <c r="AJ632" s="106"/>
    </row>
    <row r="633" spans="2:36" s="35" customFormat="1" ht="17.100000000000001" customHeight="1">
      <c r="B633" s="105"/>
      <c r="C633" s="54"/>
      <c r="D633" s="96"/>
      <c r="E633" s="111"/>
      <c r="F633" s="112"/>
      <c r="G633" s="113"/>
      <c r="H633" s="183">
        <v>1</v>
      </c>
      <c r="I633" s="98">
        <v>0</v>
      </c>
      <c r="J633" s="98">
        <v>0</v>
      </c>
      <c r="K633" s="101">
        <f t="shared" si="572"/>
        <v>0</v>
      </c>
      <c r="L633" s="100">
        <v>0</v>
      </c>
      <c r="M633" s="98">
        <v>0</v>
      </c>
      <c r="N633" s="101">
        <f t="shared" si="573"/>
        <v>0</v>
      </c>
      <c r="O633" s="100">
        <v>0</v>
      </c>
      <c r="P633" s="98">
        <v>0</v>
      </c>
      <c r="Q633" s="101">
        <f t="shared" si="574"/>
        <v>0</v>
      </c>
      <c r="R633" s="100">
        <v>0</v>
      </c>
      <c r="S633" s="98">
        <v>0</v>
      </c>
      <c r="T633" s="101">
        <f t="shared" si="575"/>
        <v>0</v>
      </c>
      <c r="U633" s="183">
        <v>1</v>
      </c>
      <c r="V633" s="99">
        <v>1</v>
      </c>
      <c r="W633" s="98">
        <v>0</v>
      </c>
      <c r="X633" s="98">
        <v>0</v>
      </c>
      <c r="Y633" s="101">
        <f t="shared" si="578"/>
        <v>0</v>
      </c>
      <c r="Z633" s="101">
        <v>1</v>
      </c>
      <c r="AA633" s="183">
        <v>0</v>
      </c>
      <c r="AB633" s="99">
        <v>1</v>
      </c>
      <c r="AC633" s="98">
        <v>0</v>
      </c>
      <c r="AD633" s="98">
        <v>0</v>
      </c>
      <c r="AE633" s="101">
        <f t="shared" si="576"/>
        <v>0</v>
      </c>
      <c r="AF633" s="100">
        <v>0</v>
      </c>
      <c r="AG633" s="98">
        <v>0</v>
      </c>
      <c r="AH633" s="99">
        <f t="shared" si="577"/>
        <v>0</v>
      </c>
      <c r="AI633" s="101">
        <v>1</v>
      </c>
      <c r="AJ633" s="106"/>
    </row>
    <row r="634" spans="2:36" s="35" customFormat="1" ht="17.100000000000001" customHeight="1">
      <c r="B634" s="105"/>
      <c r="C634" s="54"/>
      <c r="D634" s="96"/>
      <c r="E634" s="111"/>
      <c r="F634" s="112"/>
      <c r="G634" s="113"/>
      <c r="H634" s="183">
        <v>1</v>
      </c>
      <c r="I634" s="98">
        <v>0</v>
      </c>
      <c r="J634" s="98">
        <v>0</v>
      </c>
      <c r="K634" s="101">
        <f t="shared" si="572"/>
        <v>0</v>
      </c>
      <c r="L634" s="100">
        <v>0</v>
      </c>
      <c r="M634" s="98">
        <v>0</v>
      </c>
      <c r="N634" s="101">
        <f t="shared" si="573"/>
        <v>0</v>
      </c>
      <c r="O634" s="100">
        <v>0</v>
      </c>
      <c r="P634" s="98">
        <v>0</v>
      </c>
      <c r="Q634" s="101">
        <f t="shared" si="574"/>
        <v>0</v>
      </c>
      <c r="R634" s="100">
        <v>0</v>
      </c>
      <c r="S634" s="98">
        <v>0</v>
      </c>
      <c r="T634" s="101">
        <f t="shared" si="575"/>
        <v>0</v>
      </c>
      <c r="U634" s="183">
        <v>1</v>
      </c>
      <c r="V634" s="99">
        <v>1</v>
      </c>
      <c r="W634" s="98">
        <v>0</v>
      </c>
      <c r="X634" s="98">
        <v>0</v>
      </c>
      <c r="Y634" s="101">
        <f t="shared" si="578"/>
        <v>0</v>
      </c>
      <c r="Z634" s="101">
        <v>1</v>
      </c>
      <c r="AA634" s="183">
        <v>0</v>
      </c>
      <c r="AB634" s="99">
        <v>1</v>
      </c>
      <c r="AC634" s="98">
        <v>0</v>
      </c>
      <c r="AD634" s="98">
        <v>0</v>
      </c>
      <c r="AE634" s="101">
        <f t="shared" si="576"/>
        <v>0</v>
      </c>
      <c r="AF634" s="100">
        <v>0</v>
      </c>
      <c r="AG634" s="98">
        <v>0</v>
      </c>
      <c r="AH634" s="99">
        <f t="shared" si="577"/>
        <v>0</v>
      </c>
      <c r="AI634" s="101">
        <v>1</v>
      </c>
      <c r="AJ634" s="106"/>
    </row>
    <row r="635" spans="2:36" s="35" customFormat="1" ht="17.100000000000001" customHeight="1">
      <c r="B635" s="105"/>
      <c r="C635" s="54"/>
      <c r="D635" s="96"/>
      <c r="E635" s="111"/>
      <c r="F635" s="112"/>
      <c r="G635" s="113"/>
      <c r="H635" s="183">
        <v>1</v>
      </c>
      <c r="I635" s="98">
        <v>0</v>
      </c>
      <c r="J635" s="98">
        <v>0</v>
      </c>
      <c r="K635" s="101">
        <f t="shared" si="572"/>
        <v>0</v>
      </c>
      <c r="L635" s="100">
        <v>0</v>
      </c>
      <c r="M635" s="98">
        <v>0</v>
      </c>
      <c r="N635" s="101">
        <f t="shared" si="573"/>
        <v>0</v>
      </c>
      <c r="O635" s="100">
        <v>0</v>
      </c>
      <c r="P635" s="98">
        <v>0</v>
      </c>
      <c r="Q635" s="101">
        <f t="shared" si="574"/>
        <v>0</v>
      </c>
      <c r="R635" s="100">
        <v>0</v>
      </c>
      <c r="S635" s="98">
        <v>0</v>
      </c>
      <c r="T635" s="101">
        <f t="shared" si="575"/>
        <v>0</v>
      </c>
      <c r="U635" s="183">
        <v>1</v>
      </c>
      <c r="V635" s="99">
        <v>1</v>
      </c>
      <c r="W635" s="98">
        <v>0</v>
      </c>
      <c r="X635" s="98">
        <v>0</v>
      </c>
      <c r="Y635" s="101">
        <f t="shared" si="578"/>
        <v>0</v>
      </c>
      <c r="Z635" s="101">
        <v>1</v>
      </c>
      <c r="AA635" s="183">
        <v>0</v>
      </c>
      <c r="AB635" s="99">
        <v>1</v>
      </c>
      <c r="AC635" s="98">
        <v>0</v>
      </c>
      <c r="AD635" s="98">
        <v>0</v>
      </c>
      <c r="AE635" s="101">
        <f t="shared" si="576"/>
        <v>0</v>
      </c>
      <c r="AF635" s="100">
        <v>0</v>
      </c>
      <c r="AG635" s="98">
        <v>0</v>
      </c>
      <c r="AH635" s="99">
        <f t="shared" si="577"/>
        <v>0</v>
      </c>
      <c r="AI635" s="101">
        <v>1</v>
      </c>
      <c r="AJ635" s="106"/>
    </row>
    <row r="636" spans="2:36" s="126" customFormat="1" ht="17.100000000000001" customHeight="1" thickBot="1">
      <c r="B636" s="128"/>
      <c r="C636" s="154"/>
      <c r="D636" s="155"/>
      <c r="E636" s="156"/>
      <c r="F636" s="129"/>
      <c r="G636" s="130"/>
      <c r="H636" s="184">
        <v>1</v>
      </c>
      <c r="I636" s="361" t="s">
        <v>201</v>
      </c>
      <c r="J636" s="361"/>
      <c r="K636" s="131">
        <f>SUM(K629:K635)</f>
        <v>0</v>
      </c>
      <c r="L636" s="344" t="s">
        <v>201</v>
      </c>
      <c r="M636" s="345"/>
      <c r="N636" s="131">
        <f>SUM(N629:N635)</f>
        <v>0</v>
      </c>
      <c r="O636" s="344" t="s">
        <v>201</v>
      </c>
      <c r="P636" s="345"/>
      <c r="Q636" s="131">
        <f>SUM(Q629:Q635)</f>
        <v>0</v>
      </c>
      <c r="R636" s="344" t="s">
        <v>201</v>
      </c>
      <c r="S636" s="345"/>
      <c r="T636" s="131">
        <f>SUM(T629:T635)</f>
        <v>0</v>
      </c>
      <c r="U636" s="184">
        <v>1</v>
      </c>
      <c r="V636" s="160">
        <v>1</v>
      </c>
      <c r="W636" s="361" t="s">
        <v>201</v>
      </c>
      <c r="X636" s="361"/>
      <c r="Y636" s="131">
        <f>SUM(Y629:Y635)</f>
        <v>300</v>
      </c>
      <c r="Z636" s="133">
        <v>1</v>
      </c>
      <c r="AA636" s="184">
        <v>0</v>
      </c>
      <c r="AB636" s="160">
        <v>1</v>
      </c>
      <c r="AC636" s="361" t="s">
        <v>201</v>
      </c>
      <c r="AD636" s="361"/>
      <c r="AE636" s="131">
        <f>SUM(AE629:AE635)</f>
        <v>0</v>
      </c>
      <c r="AF636" s="362" t="s">
        <v>201</v>
      </c>
      <c r="AG636" s="361"/>
      <c r="AH636" s="144">
        <f>SUM(AH629:AH635)</f>
        <v>0</v>
      </c>
      <c r="AI636" s="133">
        <v>1</v>
      </c>
      <c r="AJ636" s="134"/>
    </row>
    <row r="637" spans="2:36" s="35" customFormat="1" ht="16.95" customHeight="1">
      <c r="B637" s="114"/>
      <c r="C637" s="157">
        <f>'3. Rekap Back Up Non Aspal '!C100</f>
        <v>12000</v>
      </c>
      <c r="D637" s="158">
        <f>'3. Rekap Back Up Non Aspal '!D100</f>
        <v>12100</v>
      </c>
      <c r="E637" s="159">
        <f>'3. Rekap Back Up Non Aspal '!E100</f>
        <v>3</v>
      </c>
      <c r="F637" s="115">
        <f>(100/((D637-C637)*E637))*((K644*0.05)+(N644*0.05)+(Q644*0.05)+(T644)+(Y644)+(AE644*1.5)+(AH644*1))</f>
        <v>100</v>
      </c>
      <c r="G637" s="116" t="str">
        <f>IF(F637&lt;=25,"RB",IF(F637&lt;=75,"RB",IF(F637&lt;=100,"RB","RB")))</f>
        <v>RB</v>
      </c>
      <c r="H637" s="185">
        <v>1</v>
      </c>
      <c r="I637" s="136">
        <v>0</v>
      </c>
      <c r="J637" s="136">
        <v>0</v>
      </c>
      <c r="K637" s="137">
        <f t="shared" ref="K637:K643" si="579">I637*J637</f>
        <v>0</v>
      </c>
      <c r="L637" s="136">
        <v>0</v>
      </c>
      <c r="M637" s="136">
        <v>0</v>
      </c>
      <c r="N637" s="137">
        <f t="shared" ref="N637:N643" si="580">L637*M637</f>
        <v>0</v>
      </c>
      <c r="O637" s="136">
        <v>0</v>
      </c>
      <c r="P637" s="136">
        <v>3</v>
      </c>
      <c r="Q637" s="137">
        <f t="shared" ref="Q637:Q643" si="581">O637*P637</f>
        <v>0</v>
      </c>
      <c r="R637" s="136">
        <v>0</v>
      </c>
      <c r="S637" s="136">
        <v>0</v>
      </c>
      <c r="T637" s="137">
        <f t="shared" ref="T637:T643" si="582">R637*S637</f>
        <v>0</v>
      </c>
      <c r="U637" s="185">
        <v>3</v>
      </c>
      <c r="V637" s="138">
        <v>3</v>
      </c>
      <c r="W637" s="136">
        <v>100</v>
      </c>
      <c r="X637" s="136">
        <v>3</v>
      </c>
      <c r="Y637" s="137">
        <f>W637*X637</f>
        <v>300</v>
      </c>
      <c r="Z637" s="137">
        <v>1</v>
      </c>
      <c r="AA637" s="185">
        <v>0</v>
      </c>
      <c r="AB637" s="138">
        <v>1</v>
      </c>
      <c r="AC637" s="136">
        <v>0</v>
      </c>
      <c r="AD637" s="136">
        <v>0</v>
      </c>
      <c r="AE637" s="137">
        <f t="shared" ref="AE637:AE643" si="583">AC637*AD637</f>
        <v>0</v>
      </c>
      <c r="AF637" s="136">
        <v>0</v>
      </c>
      <c r="AG637" s="136">
        <v>0</v>
      </c>
      <c r="AH637" s="138">
        <f t="shared" ref="AH637:AH643" si="584">AF637*AG637</f>
        <v>0</v>
      </c>
      <c r="AI637" s="137">
        <v>1</v>
      </c>
      <c r="AJ637" s="139"/>
    </row>
    <row r="638" spans="2:36" s="35" customFormat="1" ht="17.100000000000001" customHeight="1">
      <c r="B638" s="105"/>
      <c r="C638" s="54"/>
      <c r="D638" s="96"/>
      <c r="E638" s="111"/>
      <c r="F638" s="112"/>
      <c r="G638" s="113"/>
      <c r="H638" s="183">
        <v>1</v>
      </c>
      <c r="I638" s="98">
        <v>0</v>
      </c>
      <c r="J638" s="98">
        <v>0</v>
      </c>
      <c r="K638" s="101">
        <f t="shared" si="579"/>
        <v>0</v>
      </c>
      <c r="L638" s="100">
        <v>0</v>
      </c>
      <c r="M638" s="98">
        <v>0</v>
      </c>
      <c r="N638" s="101">
        <f t="shared" si="580"/>
        <v>0</v>
      </c>
      <c r="O638" s="100">
        <v>0</v>
      </c>
      <c r="P638" s="98">
        <v>0</v>
      </c>
      <c r="Q638" s="101">
        <f t="shared" si="581"/>
        <v>0</v>
      </c>
      <c r="R638" s="100">
        <v>0</v>
      </c>
      <c r="S638" s="98">
        <v>0</v>
      </c>
      <c r="T638" s="101">
        <f t="shared" si="582"/>
        <v>0</v>
      </c>
      <c r="U638" s="183">
        <v>1</v>
      </c>
      <c r="V638" s="99">
        <v>1</v>
      </c>
      <c r="W638" s="98">
        <v>0</v>
      </c>
      <c r="X638" s="98">
        <v>0</v>
      </c>
      <c r="Y638" s="101">
        <f t="shared" ref="Y638:Y643" si="585">W638*X638</f>
        <v>0</v>
      </c>
      <c r="Z638" s="101">
        <v>1</v>
      </c>
      <c r="AA638" s="183">
        <v>0</v>
      </c>
      <c r="AB638" s="99">
        <v>1</v>
      </c>
      <c r="AC638" s="98">
        <v>0</v>
      </c>
      <c r="AD638" s="98">
        <v>0</v>
      </c>
      <c r="AE638" s="101">
        <f t="shared" si="583"/>
        <v>0</v>
      </c>
      <c r="AF638" s="100">
        <v>0</v>
      </c>
      <c r="AG638" s="98">
        <v>0</v>
      </c>
      <c r="AH638" s="99">
        <f t="shared" si="584"/>
        <v>0</v>
      </c>
      <c r="AI638" s="101">
        <v>1</v>
      </c>
      <c r="AJ638" s="106"/>
    </row>
    <row r="639" spans="2:36" s="35" customFormat="1" ht="17.100000000000001" customHeight="1">
      <c r="B639" s="105"/>
      <c r="C639" s="54"/>
      <c r="D639" s="96"/>
      <c r="E639" s="111"/>
      <c r="F639" s="112"/>
      <c r="G639" s="113"/>
      <c r="H639" s="183">
        <v>1</v>
      </c>
      <c r="I639" s="98">
        <v>0</v>
      </c>
      <c r="J639" s="98">
        <v>0</v>
      </c>
      <c r="K639" s="101">
        <f t="shared" si="579"/>
        <v>0</v>
      </c>
      <c r="L639" s="100">
        <v>0</v>
      </c>
      <c r="M639" s="98">
        <v>0</v>
      </c>
      <c r="N639" s="101">
        <f t="shared" si="580"/>
        <v>0</v>
      </c>
      <c r="O639" s="100">
        <v>0</v>
      </c>
      <c r="P639" s="98">
        <v>0</v>
      </c>
      <c r="Q639" s="101">
        <f t="shared" si="581"/>
        <v>0</v>
      </c>
      <c r="R639" s="100">
        <v>0</v>
      </c>
      <c r="S639" s="98">
        <v>0</v>
      </c>
      <c r="T639" s="101">
        <f t="shared" si="582"/>
        <v>0</v>
      </c>
      <c r="U639" s="183">
        <v>1</v>
      </c>
      <c r="V639" s="99">
        <v>1</v>
      </c>
      <c r="W639" s="98">
        <v>0</v>
      </c>
      <c r="X639" s="98">
        <v>0</v>
      </c>
      <c r="Y639" s="101">
        <f t="shared" si="585"/>
        <v>0</v>
      </c>
      <c r="Z639" s="101">
        <v>1</v>
      </c>
      <c r="AA639" s="183">
        <v>0</v>
      </c>
      <c r="AB639" s="99">
        <v>1</v>
      </c>
      <c r="AC639" s="98">
        <v>0</v>
      </c>
      <c r="AD639" s="98">
        <v>0</v>
      </c>
      <c r="AE639" s="101">
        <f t="shared" si="583"/>
        <v>0</v>
      </c>
      <c r="AF639" s="100">
        <v>0</v>
      </c>
      <c r="AG639" s="98">
        <v>0</v>
      </c>
      <c r="AH639" s="99">
        <f t="shared" si="584"/>
        <v>0</v>
      </c>
      <c r="AI639" s="101">
        <v>1</v>
      </c>
      <c r="AJ639" s="106"/>
    </row>
    <row r="640" spans="2:36" s="35" customFormat="1" ht="17.100000000000001" customHeight="1">
      <c r="B640" s="105"/>
      <c r="C640" s="54"/>
      <c r="D640" s="96"/>
      <c r="E640" s="111"/>
      <c r="F640" s="112"/>
      <c r="G640" s="113"/>
      <c r="H640" s="183">
        <v>1</v>
      </c>
      <c r="I640" s="98">
        <v>0</v>
      </c>
      <c r="J640" s="98">
        <v>0</v>
      </c>
      <c r="K640" s="101">
        <f t="shared" si="579"/>
        <v>0</v>
      </c>
      <c r="L640" s="100">
        <v>0</v>
      </c>
      <c r="M640" s="98">
        <v>0</v>
      </c>
      <c r="N640" s="101">
        <f t="shared" si="580"/>
        <v>0</v>
      </c>
      <c r="O640" s="100">
        <v>0</v>
      </c>
      <c r="P640" s="98">
        <v>0</v>
      </c>
      <c r="Q640" s="101">
        <f t="shared" si="581"/>
        <v>0</v>
      </c>
      <c r="R640" s="100">
        <v>0</v>
      </c>
      <c r="S640" s="98">
        <v>0</v>
      </c>
      <c r="T640" s="101">
        <f t="shared" si="582"/>
        <v>0</v>
      </c>
      <c r="U640" s="183">
        <v>1</v>
      </c>
      <c r="V640" s="99">
        <v>1</v>
      </c>
      <c r="W640" s="98">
        <v>0</v>
      </c>
      <c r="X640" s="98">
        <v>0</v>
      </c>
      <c r="Y640" s="101">
        <f t="shared" si="585"/>
        <v>0</v>
      </c>
      <c r="Z640" s="101">
        <v>1</v>
      </c>
      <c r="AA640" s="183">
        <v>0</v>
      </c>
      <c r="AB640" s="99">
        <v>1</v>
      </c>
      <c r="AC640" s="98">
        <v>0</v>
      </c>
      <c r="AD640" s="98">
        <v>0</v>
      </c>
      <c r="AE640" s="101">
        <f t="shared" si="583"/>
        <v>0</v>
      </c>
      <c r="AF640" s="100">
        <v>0</v>
      </c>
      <c r="AG640" s="98">
        <v>0</v>
      </c>
      <c r="AH640" s="99">
        <f t="shared" si="584"/>
        <v>0</v>
      </c>
      <c r="AI640" s="101">
        <v>1</v>
      </c>
      <c r="AJ640" s="106"/>
    </row>
    <row r="641" spans="2:36" s="35" customFormat="1" ht="17.100000000000001" customHeight="1">
      <c r="B641" s="105"/>
      <c r="C641" s="54"/>
      <c r="D641" s="96"/>
      <c r="E641" s="111"/>
      <c r="F641" s="112"/>
      <c r="G641" s="113"/>
      <c r="H641" s="183">
        <v>1</v>
      </c>
      <c r="I641" s="98">
        <v>0</v>
      </c>
      <c r="J641" s="98">
        <v>0</v>
      </c>
      <c r="K641" s="101">
        <f t="shared" si="579"/>
        <v>0</v>
      </c>
      <c r="L641" s="100">
        <v>0</v>
      </c>
      <c r="M641" s="98">
        <v>0</v>
      </c>
      <c r="N641" s="101">
        <f t="shared" si="580"/>
        <v>0</v>
      </c>
      <c r="O641" s="100">
        <v>0</v>
      </c>
      <c r="P641" s="98">
        <v>0</v>
      </c>
      <c r="Q641" s="101">
        <f t="shared" si="581"/>
        <v>0</v>
      </c>
      <c r="R641" s="100">
        <v>0</v>
      </c>
      <c r="S641" s="98">
        <v>0</v>
      </c>
      <c r="T641" s="101">
        <f t="shared" si="582"/>
        <v>0</v>
      </c>
      <c r="U641" s="183">
        <v>1</v>
      </c>
      <c r="V641" s="99">
        <v>1</v>
      </c>
      <c r="W641" s="98">
        <v>0</v>
      </c>
      <c r="X641" s="98">
        <v>0</v>
      </c>
      <c r="Y641" s="101">
        <f t="shared" si="585"/>
        <v>0</v>
      </c>
      <c r="Z641" s="101">
        <v>1</v>
      </c>
      <c r="AA641" s="183">
        <v>0</v>
      </c>
      <c r="AB641" s="99">
        <v>1</v>
      </c>
      <c r="AC641" s="98">
        <v>0</v>
      </c>
      <c r="AD641" s="98">
        <v>0</v>
      </c>
      <c r="AE641" s="101">
        <f t="shared" si="583"/>
        <v>0</v>
      </c>
      <c r="AF641" s="100">
        <v>0</v>
      </c>
      <c r="AG641" s="98">
        <v>0</v>
      </c>
      <c r="AH641" s="99">
        <f t="shared" si="584"/>
        <v>0</v>
      </c>
      <c r="AI641" s="101">
        <v>1</v>
      </c>
      <c r="AJ641" s="106"/>
    </row>
    <row r="642" spans="2:36" s="35" customFormat="1" ht="17.100000000000001" customHeight="1">
      <c r="B642" s="105"/>
      <c r="C642" s="54"/>
      <c r="D642" s="96"/>
      <c r="E642" s="111"/>
      <c r="F642" s="112"/>
      <c r="G642" s="113"/>
      <c r="H642" s="183">
        <v>1</v>
      </c>
      <c r="I642" s="98">
        <v>0</v>
      </c>
      <c r="J642" s="98">
        <v>0</v>
      </c>
      <c r="K642" s="101">
        <f t="shared" si="579"/>
        <v>0</v>
      </c>
      <c r="L642" s="100">
        <v>0</v>
      </c>
      <c r="M642" s="98">
        <v>0</v>
      </c>
      <c r="N642" s="101">
        <f t="shared" si="580"/>
        <v>0</v>
      </c>
      <c r="O642" s="100">
        <v>0</v>
      </c>
      <c r="P642" s="98">
        <v>0</v>
      </c>
      <c r="Q642" s="101">
        <f t="shared" si="581"/>
        <v>0</v>
      </c>
      <c r="R642" s="100">
        <v>0</v>
      </c>
      <c r="S642" s="98">
        <v>0</v>
      </c>
      <c r="T642" s="101">
        <f t="shared" si="582"/>
        <v>0</v>
      </c>
      <c r="U642" s="183">
        <v>1</v>
      </c>
      <c r="V642" s="99">
        <v>1</v>
      </c>
      <c r="W642" s="98">
        <v>0</v>
      </c>
      <c r="X642" s="98">
        <v>0</v>
      </c>
      <c r="Y642" s="101">
        <f t="shared" si="585"/>
        <v>0</v>
      </c>
      <c r="Z642" s="101">
        <v>1</v>
      </c>
      <c r="AA642" s="183">
        <v>0</v>
      </c>
      <c r="AB642" s="99">
        <v>1</v>
      </c>
      <c r="AC642" s="98">
        <v>0</v>
      </c>
      <c r="AD642" s="98">
        <v>0</v>
      </c>
      <c r="AE642" s="101">
        <f t="shared" si="583"/>
        <v>0</v>
      </c>
      <c r="AF642" s="100">
        <v>0</v>
      </c>
      <c r="AG642" s="98">
        <v>0</v>
      </c>
      <c r="AH642" s="99">
        <f t="shared" si="584"/>
        <v>0</v>
      </c>
      <c r="AI642" s="101">
        <v>1</v>
      </c>
      <c r="AJ642" s="106"/>
    </row>
    <row r="643" spans="2:36" s="35" customFormat="1" ht="17.100000000000001" customHeight="1">
      <c r="B643" s="105"/>
      <c r="C643" s="54"/>
      <c r="D643" s="96"/>
      <c r="E643" s="111"/>
      <c r="F643" s="112"/>
      <c r="G643" s="113"/>
      <c r="H643" s="183">
        <v>1</v>
      </c>
      <c r="I643" s="98">
        <v>0</v>
      </c>
      <c r="J643" s="98">
        <v>0</v>
      </c>
      <c r="K643" s="101">
        <f t="shared" si="579"/>
        <v>0</v>
      </c>
      <c r="L643" s="100">
        <v>0</v>
      </c>
      <c r="M643" s="98">
        <v>0</v>
      </c>
      <c r="N643" s="101">
        <f t="shared" si="580"/>
        <v>0</v>
      </c>
      <c r="O643" s="100">
        <v>0</v>
      </c>
      <c r="P643" s="98">
        <v>0</v>
      </c>
      <c r="Q643" s="101">
        <f t="shared" si="581"/>
        <v>0</v>
      </c>
      <c r="R643" s="100">
        <v>0</v>
      </c>
      <c r="S643" s="98">
        <v>0</v>
      </c>
      <c r="T643" s="101">
        <f t="shared" si="582"/>
        <v>0</v>
      </c>
      <c r="U643" s="183">
        <v>1</v>
      </c>
      <c r="V643" s="99">
        <v>1</v>
      </c>
      <c r="W643" s="98">
        <v>0</v>
      </c>
      <c r="X643" s="98">
        <v>0</v>
      </c>
      <c r="Y643" s="101">
        <f t="shared" si="585"/>
        <v>0</v>
      </c>
      <c r="Z643" s="101">
        <v>1</v>
      </c>
      <c r="AA643" s="183">
        <v>0</v>
      </c>
      <c r="AB643" s="99">
        <v>1</v>
      </c>
      <c r="AC643" s="98">
        <v>0</v>
      </c>
      <c r="AD643" s="98">
        <v>0</v>
      </c>
      <c r="AE643" s="101">
        <f t="shared" si="583"/>
        <v>0</v>
      </c>
      <c r="AF643" s="100">
        <v>0</v>
      </c>
      <c r="AG643" s="98">
        <v>0</v>
      </c>
      <c r="AH643" s="99">
        <f t="shared" si="584"/>
        <v>0</v>
      </c>
      <c r="AI643" s="101">
        <v>1</v>
      </c>
      <c r="AJ643" s="106"/>
    </row>
    <row r="644" spans="2:36" s="126" customFormat="1" ht="17.100000000000001" customHeight="1" thickBot="1">
      <c r="B644" s="118"/>
      <c r="C644" s="119"/>
      <c r="D644" s="120"/>
      <c r="E644" s="121"/>
      <c r="F644" s="122"/>
      <c r="G644" s="123"/>
      <c r="H644" s="183">
        <v>1</v>
      </c>
      <c r="I644" s="363" t="s">
        <v>201</v>
      </c>
      <c r="J644" s="363"/>
      <c r="K644" s="124">
        <f>SUM(K637:K643)</f>
        <v>0</v>
      </c>
      <c r="L644" s="341" t="s">
        <v>201</v>
      </c>
      <c r="M644" s="342"/>
      <c r="N644" s="124">
        <f>SUM(N637:N643)</f>
        <v>0</v>
      </c>
      <c r="O644" s="341" t="s">
        <v>201</v>
      </c>
      <c r="P644" s="342"/>
      <c r="Q644" s="124">
        <f>SUM(Q637:Q643)</f>
        <v>0</v>
      </c>
      <c r="R644" s="341" t="s">
        <v>201</v>
      </c>
      <c r="S644" s="342"/>
      <c r="T644" s="124">
        <f>SUM(T637:T643)</f>
        <v>0</v>
      </c>
      <c r="U644" s="183">
        <v>1</v>
      </c>
      <c r="V644" s="99">
        <v>1</v>
      </c>
      <c r="W644" s="363" t="s">
        <v>201</v>
      </c>
      <c r="X644" s="363"/>
      <c r="Y644" s="124">
        <f>SUM(Y637:Y643)</f>
        <v>300</v>
      </c>
      <c r="Z644" s="101">
        <v>1</v>
      </c>
      <c r="AA644" s="183">
        <v>0</v>
      </c>
      <c r="AB644" s="99">
        <v>1</v>
      </c>
      <c r="AC644" s="363" t="s">
        <v>201</v>
      </c>
      <c r="AD644" s="363"/>
      <c r="AE644" s="124">
        <f>SUM(AE637:AE643)</f>
        <v>0</v>
      </c>
      <c r="AF644" s="364" t="s">
        <v>201</v>
      </c>
      <c r="AG644" s="363"/>
      <c r="AH644" s="143">
        <f>SUM(AH637:AH643)</f>
        <v>0</v>
      </c>
      <c r="AI644" s="101">
        <v>1</v>
      </c>
      <c r="AJ644" s="125"/>
    </row>
    <row r="645" spans="2:36" s="35" customFormat="1" ht="16.95" customHeight="1">
      <c r="B645" s="105"/>
      <c r="C645" s="54">
        <f>'3. Rekap Back Up Non Aspal '!C101</f>
        <v>12100</v>
      </c>
      <c r="D645" s="96">
        <f>'3. Rekap Back Up Non Aspal '!D101</f>
        <v>12200</v>
      </c>
      <c r="E645" s="111">
        <f>'3. Rekap Back Up Non Aspal '!E101</f>
        <v>3</v>
      </c>
      <c r="F645" s="112">
        <f>(100/((D645-C645)*E645))*((K652*0.05)+(N652*0.05)+(Q652*0.05)+(T652)+(Y652)+(AE652*1.5)+(AH652*1))</f>
        <v>100</v>
      </c>
      <c r="G645" s="113" t="str">
        <f>IF(F645&lt;=25,"RB",IF(F645&lt;=75,"RB",IF(F645&lt;=100,"RB","RB")))</f>
        <v>RB</v>
      </c>
      <c r="H645" s="183">
        <v>1</v>
      </c>
      <c r="I645" s="98">
        <v>0</v>
      </c>
      <c r="J645" s="98">
        <v>0</v>
      </c>
      <c r="K645" s="101">
        <f t="shared" ref="K645:K651" si="586">I645*J645</f>
        <v>0</v>
      </c>
      <c r="L645" s="98">
        <v>0</v>
      </c>
      <c r="M645" s="98">
        <v>0</v>
      </c>
      <c r="N645" s="101">
        <f t="shared" ref="N645:N651" si="587">L645*M645</f>
        <v>0</v>
      </c>
      <c r="O645" s="98">
        <v>0</v>
      </c>
      <c r="P645" s="98">
        <v>0</v>
      </c>
      <c r="Q645" s="101">
        <f t="shared" ref="Q645:Q651" si="588">O645*P645</f>
        <v>0</v>
      </c>
      <c r="R645" s="98">
        <v>0</v>
      </c>
      <c r="S645" s="98">
        <v>0</v>
      </c>
      <c r="T645" s="101">
        <f t="shared" ref="T645:T651" si="589">R645*S645</f>
        <v>0</v>
      </c>
      <c r="U645" s="183">
        <v>3</v>
      </c>
      <c r="V645" s="99">
        <v>3</v>
      </c>
      <c r="W645" s="136">
        <v>100</v>
      </c>
      <c r="X645" s="136">
        <v>3</v>
      </c>
      <c r="Y645" s="101">
        <f>W645*X645</f>
        <v>300</v>
      </c>
      <c r="Z645" s="101">
        <v>1</v>
      </c>
      <c r="AA645" s="183">
        <v>0</v>
      </c>
      <c r="AB645" s="99">
        <v>1</v>
      </c>
      <c r="AC645" s="98">
        <v>0</v>
      </c>
      <c r="AD645" s="98">
        <v>0</v>
      </c>
      <c r="AE645" s="101">
        <f t="shared" ref="AE645:AE651" si="590">AC645*AD645</f>
        <v>0</v>
      </c>
      <c r="AF645" s="98">
        <v>0</v>
      </c>
      <c r="AG645" s="98">
        <v>3</v>
      </c>
      <c r="AH645" s="99">
        <f t="shared" ref="AH645:AH651" si="591">AF645*AG645</f>
        <v>0</v>
      </c>
      <c r="AI645" s="101">
        <v>1</v>
      </c>
      <c r="AJ645" s="106"/>
    </row>
    <row r="646" spans="2:36" s="35" customFormat="1" ht="17.100000000000001" customHeight="1">
      <c r="B646" s="105"/>
      <c r="C646" s="54"/>
      <c r="D646" s="96"/>
      <c r="E646" s="111"/>
      <c r="F646" s="112"/>
      <c r="G646" s="113"/>
      <c r="H646" s="183">
        <v>1</v>
      </c>
      <c r="I646" s="98">
        <v>0</v>
      </c>
      <c r="J646" s="98">
        <v>0</v>
      </c>
      <c r="K646" s="101">
        <f t="shared" si="586"/>
        <v>0</v>
      </c>
      <c r="L646" s="100">
        <v>0</v>
      </c>
      <c r="M646" s="98">
        <v>0</v>
      </c>
      <c r="N646" s="101">
        <f t="shared" si="587"/>
        <v>0</v>
      </c>
      <c r="O646" s="100">
        <v>0</v>
      </c>
      <c r="P646" s="98">
        <v>0</v>
      </c>
      <c r="Q646" s="101">
        <f t="shared" si="588"/>
        <v>0</v>
      </c>
      <c r="R646" s="100">
        <v>0</v>
      </c>
      <c r="S646" s="98">
        <v>0</v>
      </c>
      <c r="T646" s="101">
        <f t="shared" si="589"/>
        <v>0</v>
      </c>
      <c r="U646" s="183">
        <v>1</v>
      </c>
      <c r="V646" s="99">
        <v>1</v>
      </c>
      <c r="W646" s="98">
        <v>0</v>
      </c>
      <c r="X646" s="98">
        <v>0</v>
      </c>
      <c r="Y646" s="101">
        <f t="shared" ref="Y646:Y651" si="592">W646*X646</f>
        <v>0</v>
      </c>
      <c r="Z646" s="101">
        <v>1</v>
      </c>
      <c r="AA646" s="183">
        <v>0</v>
      </c>
      <c r="AB646" s="99">
        <v>1</v>
      </c>
      <c r="AC646" s="98">
        <v>0</v>
      </c>
      <c r="AD646" s="98">
        <v>0</v>
      </c>
      <c r="AE646" s="101">
        <f t="shared" si="590"/>
        <v>0</v>
      </c>
      <c r="AF646" s="100">
        <v>0</v>
      </c>
      <c r="AG646" s="98">
        <v>0</v>
      </c>
      <c r="AH646" s="99">
        <f t="shared" si="591"/>
        <v>0</v>
      </c>
      <c r="AI646" s="101">
        <v>1</v>
      </c>
      <c r="AJ646" s="106"/>
    </row>
    <row r="647" spans="2:36" s="35" customFormat="1" ht="17.100000000000001" customHeight="1">
      <c r="B647" s="105"/>
      <c r="C647" s="54"/>
      <c r="D647" s="96"/>
      <c r="E647" s="111"/>
      <c r="F647" s="112"/>
      <c r="G647" s="113"/>
      <c r="H647" s="183">
        <v>1</v>
      </c>
      <c r="I647" s="98">
        <v>0</v>
      </c>
      <c r="J647" s="98">
        <v>0</v>
      </c>
      <c r="K647" s="101">
        <f t="shared" si="586"/>
        <v>0</v>
      </c>
      <c r="L647" s="100">
        <v>0</v>
      </c>
      <c r="M647" s="98">
        <v>0</v>
      </c>
      <c r="N647" s="101">
        <f t="shared" si="587"/>
        <v>0</v>
      </c>
      <c r="O647" s="100">
        <v>0</v>
      </c>
      <c r="P647" s="98">
        <v>0</v>
      </c>
      <c r="Q647" s="101">
        <f t="shared" si="588"/>
        <v>0</v>
      </c>
      <c r="R647" s="100">
        <v>0</v>
      </c>
      <c r="S647" s="98">
        <v>0</v>
      </c>
      <c r="T647" s="101">
        <f t="shared" si="589"/>
        <v>0</v>
      </c>
      <c r="U647" s="183">
        <v>1</v>
      </c>
      <c r="V647" s="99">
        <v>1</v>
      </c>
      <c r="W647" s="98">
        <v>0</v>
      </c>
      <c r="X647" s="98">
        <v>0</v>
      </c>
      <c r="Y647" s="101">
        <f t="shared" si="592"/>
        <v>0</v>
      </c>
      <c r="Z647" s="101">
        <v>1</v>
      </c>
      <c r="AA647" s="183">
        <v>0</v>
      </c>
      <c r="AB647" s="99">
        <v>1</v>
      </c>
      <c r="AC647" s="98">
        <v>0</v>
      </c>
      <c r="AD647" s="98">
        <v>0</v>
      </c>
      <c r="AE647" s="101">
        <f t="shared" si="590"/>
        <v>0</v>
      </c>
      <c r="AF647" s="100">
        <v>0</v>
      </c>
      <c r="AG647" s="98">
        <v>0</v>
      </c>
      <c r="AH647" s="99">
        <f t="shared" si="591"/>
        <v>0</v>
      </c>
      <c r="AI647" s="101">
        <v>1</v>
      </c>
      <c r="AJ647" s="106"/>
    </row>
    <row r="648" spans="2:36" s="35" customFormat="1" ht="17.100000000000001" customHeight="1">
      <c r="B648" s="105"/>
      <c r="C648" s="54"/>
      <c r="D648" s="96"/>
      <c r="E648" s="111"/>
      <c r="F648" s="112"/>
      <c r="G648" s="113"/>
      <c r="H648" s="183">
        <v>1</v>
      </c>
      <c r="I648" s="98">
        <v>0</v>
      </c>
      <c r="J648" s="98">
        <v>0</v>
      </c>
      <c r="K648" s="101">
        <f t="shared" si="586"/>
        <v>0</v>
      </c>
      <c r="L648" s="100">
        <v>0</v>
      </c>
      <c r="M648" s="98">
        <v>0</v>
      </c>
      <c r="N648" s="101">
        <f t="shared" si="587"/>
        <v>0</v>
      </c>
      <c r="O648" s="100">
        <v>0</v>
      </c>
      <c r="P648" s="98">
        <v>0</v>
      </c>
      <c r="Q648" s="101">
        <f t="shared" si="588"/>
        <v>0</v>
      </c>
      <c r="R648" s="100">
        <v>0</v>
      </c>
      <c r="S648" s="98">
        <v>0</v>
      </c>
      <c r="T648" s="101">
        <f t="shared" si="589"/>
        <v>0</v>
      </c>
      <c r="U648" s="183">
        <v>1</v>
      </c>
      <c r="V648" s="99">
        <v>1</v>
      </c>
      <c r="W648" s="98">
        <v>0</v>
      </c>
      <c r="X648" s="98">
        <v>0</v>
      </c>
      <c r="Y648" s="101">
        <f t="shared" si="592"/>
        <v>0</v>
      </c>
      <c r="Z648" s="101">
        <v>1</v>
      </c>
      <c r="AA648" s="183">
        <v>0</v>
      </c>
      <c r="AB648" s="99">
        <v>1</v>
      </c>
      <c r="AC648" s="98">
        <v>0</v>
      </c>
      <c r="AD648" s="98">
        <v>0</v>
      </c>
      <c r="AE648" s="101">
        <f t="shared" si="590"/>
        <v>0</v>
      </c>
      <c r="AF648" s="100">
        <v>0</v>
      </c>
      <c r="AG648" s="98">
        <v>0</v>
      </c>
      <c r="AH648" s="99">
        <f t="shared" si="591"/>
        <v>0</v>
      </c>
      <c r="AI648" s="101">
        <v>1</v>
      </c>
      <c r="AJ648" s="106"/>
    </row>
    <row r="649" spans="2:36" s="35" customFormat="1" ht="17.100000000000001" customHeight="1">
      <c r="B649" s="105"/>
      <c r="C649" s="54"/>
      <c r="D649" s="96"/>
      <c r="E649" s="111"/>
      <c r="F649" s="112"/>
      <c r="G649" s="113"/>
      <c r="H649" s="183">
        <v>1</v>
      </c>
      <c r="I649" s="98">
        <v>0</v>
      </c>
      <c r="J649" s="98">
        <v>0</v>
      </c>
      <c r="K649" s="101">
        <f t="shared" si="586"/>
        <v>0</v>
      </c>
      <c r="L649" s="100">
        <v>0</v>
      </c>
      <c r="M649" s="98">
        <v>0</v>
      </c>
      <c r="N649" s="101">
        <f t="shared" si="587"/>
        <v>0</v>
      </c>
      <c r="O649" s="100">
        <v>0</v>
      </c>
      <c r="P649" s="98">
        <v>0</v>
      </c>
      <c r="Q649" s="101">
        <f t="shared" si="588"/>
        <v>0</v>
      </c>
      <c r="R649" s="100">
        <v>0</v>
      </c>
      <c r="S649" s="98">
        <v>0</v>
      </c>
      <c r="T649" s="101">
        <f t="shared" si="589"/>
        <v>0</v>
      </c>
      <c r="U649" s="183">
        <v>1</v>
      </c>
      <c r="V649" s="99">
        <v>1</v>
      </c>
      <c r="W649" s="98">
        <v>0</v>
      </c>
      <c r="X649" s="98">
        <v>0</v>
      </c>
      <c r="Y649" s="101">
        <f t="shared" si="592"/>
        <v>0</v>
      </c>
      <c r="Z649" s="101">
        <v>1</v>
      </c>
      <c r="AA649" s="183">
        <v>0</v>
      </c>
      <c r="AB649" s="99">
        <v>1</v>
      </c>
      <c r="AC649" s="98">
        <v>0</v>
      </c>
      <c r="AD649" s="98">
        <v>0</v>
      </c>
      <c r="AE649" s="101">
        <f t="shared" si="590"/>
        <v>0</v>
      </c>
      <c r="AF649" s="100">
        <v>0</v>
      </c>
      <c r="AG649" s="98">
        <v>0</v>
      </c>
      <c r="AH649" s="99">
        <f t="shared" si="591"/>
        <v>0</v>
      </c>
      <c r="AI649" s="101">
        <v>1</v>
      </c>
      <c r="AJ649" s="106"/>
    </row>
    <row r="650" spans="2:36" s="35" customFormat="1" ht="17.100000000000001" customHeight="1">
      <c r="B650" s="105"/>
      <c r="C650" s="54"/>
      <c r="D650" s="96"/>
      <c r="E650" s="111"/>
      <c r="F650" s="112"/>
      <c r="G650" s="113"/>
      <c r="H650" s="183">
        <v>1</v>
      </c>
      <c r="I650" s="98">
        <v>0</v>
      </c>
      <c r="J650" s="98">
        <v>0</v>
      </c>
      <c r="K650" s="101">
        <f t="shared" si="586"/>
        <v>0</v>
      </c>
      <c r="L650" s="100">
        <v>0</v>
      </c>
      <c r="M650" s="98">
        <v>0</v>
      </c>
      <c r="N650" s="101">
        <f t="shared" si="587"/>
        <v>0</v>
      </c>
      <c r="O650" s="100">
        <v>0</v>
      </c>
      <c r="P650" s="98">
        <v>0</v>
      </c>
      <c r="Q650" s="101">
        <f t="shared" si="588"/>
        <v>0</v>
      </c>
      <c r="R650" s="100">
        <v>0</v>
      </c>
      <c r="S650" s="98">
        <v>0</v>
      </c>
      <c r="T650" s="101">
        <f t="shared" si="589"/>
        <v>0</v>
      </c>
      <c r="U650" s="183">
        <v>1</v>
      </c>
      <c r="V650" s="99">
        <v>1</v>
      </c>
      <c r="W650" s="98">
        <v>0</v>
      </c>
      <c r="X650" s="98">
        <v>0</v>
      </c>
      <c r="Y650" s="101">
        <f t="shared" si="592"/>
        <v>0</v>
      </c>
      <c r="Z650" s="101">
        <v>1</v>
      </c>
      <c r="AA650" s="183">
        <v>0</v>
      </c>
      <c r="AB650" s="99">
        <v>1</v>
      </c>
      <c r="AC650" s="98">
        <v>0</v>
      </c>
      <c r="AD650" s="98">
        <v>0</v>
      </c>
      <c r="AE650" s="101">
        <f t="shared" si="590"/>
        <v>0</v>
      </c>
      <c r="AF650" s="100">
        <v>0</v>
      </c>
      <c r="AG650" s="98">
        <v>0</v>
      </c>
      <c r="AH650" s="99">
        <f t="shared" si="591"/>
        <v>0</v>
      </c>
      <c r="AI650" s="101">
        <v>1</v>
      </c>
      <c r="AJ650" s="106"/>
    </row>
    <row r="651" spans="2:36" s="35" customFormat="1" ht="17.100000000000001" customHeight="1">
      <c r="B651" s="105"/>
      <c r="C651" s="54"/>
      <c r="D651" s="96"/>
      <c r="E651" s="111"/>
      <c r="F651" s="112"/>
      <c r="G651" s="113"/>
      <c r="H651" s="183">
        <v>1</v>
      </c>
      <c r="I651" s="98">
        <v>0</v>
      </c>
      <c r="J651" s="98">
        <v>0</v>
      </c>
      <c r="K651" s="101">
        <f t="shared" si="586"/>
        <v>0</v>
      </c>
      <c r="L651" s="100">
        <v>0</v>
      </c>
      <c r="M651" s="98">
        <v>0</v>
      </c>
      <c r="N651" s="101">
        <f t="shared" si="587"/>
        <v>0</v>
      </c>
      <c r="O651" s="100">
        <v>0</v>
      </c>
      <c r="P651" s="98">
        <v>0</v>
      </c>
      <c r="Q651" s="101">
        <f t="shared" si="588"/>
        <v>0</v>
      </c>
      <c r="R651" s="100">
        <v>0</v>
      </c>
      <c r="S651" s="98">
        <v>0</v>
      </c>
      <c r="T651" s="101">
        <f t="shared" si="589"/>
        <v>0</v>
      </c>
      <c r="U651" s="183">
        <v>1</v>
      </c>
      <c r="V651" s="99">
        <v>1</v>
      </c>
      <c r="W651" s="98">
        <v>0</v>
      </c>
      <c r="X651" s="98">
        <v>0</v>
      </c>
      <c r="Y651" s="101">
        <f t="shared" si="592"/>
        <v>0</v>
      </c>
      <c r="Z651" s="101">
        <v>1</v>
      </c>
      <c r="AA651" s="183">
        <v>0</v>
      </c>
      <c r="AB651" s="99">
        <v>1</v>
      </c>
      <c r="AC651" s="98">
        <v>0</v>
      </c>
      <c r="AD651" s="98">
        <v>0</v>
      </c>
      <c r="AE651" s="101">
        <f t="shared" si="590"/>
        <v>0</v>
      </c>
      <c r="AF651" s="100">
        <v>0</v>
      </c>
      <c r="AG651" s="98">
        <v>0</v>
      </c>
      <c r="AH651" s="99">
        <f t="shared" si="591"/>
        <v>0</v>
      </c>
      <c r="AI651" s="101">
        <v>1</v>
      </c>
      <c r="AJ651" s="106"/>
    </row>
    <row r="652" spans="2:36" s="126" customFormat="1" ht="17.100000000000001" customHeight="1">
      <c r="B652" s="118"/>
      <c r="C652" s="119"/>
      <c r="D652" s="120"/>
      <c r="E652" s="121"/>
      <c r="F652" s="122"/>
      <c r="G652" s="123"/>
      <c r="H652" s="183">
        <v>1</v>
      </c>
      <c r="I652" s="363" t="s">
        <v>201</v>
      </c>
      <c r="J652" s="363"/>
      <c r="K652" s="124">
        <f>SUM(K645:K651)</f>
        <v>0</v>
      </c>
      <c r="L652" s="341" t="s">
        <v>201</v>
      </c>
      <c r="M652" s="342"/>
      <c r="N652" s="124">
        <f>SUM(N645:N651)</f>
        <v>0</v>
      </c>
      <c r="O652" s="341" t="s">
        <v>201</v>
      </c>
      <c r="P652" s="342"/>
      <c r="Q652" s="124">
        <f>SUM(Q645:Q651)</f>
        <v>0</v>
      </c>
      <c r="R652" s="341" t="s">
        <v>201</v>
      </c>
      <c r="S652" s="342"/>
      <c r="T652" s="124">
        <f>SUM(T645:T651)</f>
        <v>0</v>
      </c>
      <c r="U652" s="183">
        <v>1</v>
      </c>
      <c r="V652" s="99">
        <v>1</v>
      </c>
      <c r="W652" s="363" t="s">
        <v>201</v>
      </c>
      <c r="X652" s="363"/>
      <c r="Y652" s="124">
        <f>SUM(Y645:Y651)</f>
        <v>300</v>
      </c>
      <c r="Z652" s="101">
        <v>1</v>
      </c>
      <c r="AA652" s="183">
        <v>0</v>
      </c>
      <c r="AB652" s="99">
        <v>1</v>
      </c>
      <c r="AC652" s="363" t="s">
        <v>201</v>
      </c>
      <c r="AD652" s="363"/>
      <c r="AE652" s="124">
        <f>SUM(AE645:AE651)</f>
        <v>0</v>
      </c>
      <c r="AF652" s="364" t="s">
        <v>201</v>
      </c>
      <c r="AG652" s="363"/>
      <c r="AH652" s="143">
        <f>SUM(AH645:AH651)</f>
        <v>0</v>
      </c>
      <c r="AI652" s="101">
        <v>1</v>
      </c>
      <c r="AJ652" s="125"/>
    </row>
    <row r="653" spans="2:36" s="35" customFormat="1" ht="16.95" customHeight="1">
      <c r="B653" s="105"/>
      <c r="C653" s="54">
        <f>'3. Rekap Back Up Non Aspal '!C102</f>
        <v>12200</v>
      </c>
      <c r="D653" s="96">
        <f>'3. Rekap Back Up Non Aspal '!D102</f>
        <v>12300</v>
      </c>
      <c r="E653" s="111">
        <f>'3. Rekap Back Up Non Aspal '!E102</f>
        <v>3</v>
      </c>
      <c r="F653" s="112">
        <f>(100/((D653-C653)*E653))*((K660*0.05)+(N660*0.05)+(Q660*0.05)+(T660)+(Y660)+(AE660*1.5)+(AH660*1))</f>
        <v>30</v>
      </c>
      <c r="G653" s="113" t="str">
        <f>IF(F653&lt;=25,"RB",IF(F653&lt;=75,"RB",IF(F653&lt;=100,"RB","RB")))</f>
        <v>RB</v>
      </c>
      <c r="H653" s="183">
        <v>1</v>
      </c>
      <c r="I653" s="98">
        <v>0</v>
      </c>
      <c r="J653" s="98">
        <v>0</v>
      </c>
      <c r="K653" s="101">
        <f t="shared" ref="K653:K659" si="593">I653*J653</f>
        <v>0</v>
      </c>
      <c r="L653" s="98">
        <v>0</v>
      </c>
      <c r="M653" s="98">
        <v>0</v>
      </c>
      <c r="N653" s="101">
        <f t="shared" ref="N653:N659" si="594">L653*M653</f>
        <v>0</v>
      </c>
      <c r="O653" s="98">
        <v>0</v>
      </c>
      <c r="P653" s="98">
        <v>0</v>
      </c>
      <c r="Q653" s="101">
        <f t="shared" ref="Q653:Q659" si="595">O653*P653</f>
        <v>0</v>
      </c>
      <c r="R653" s="98">
        <v>30</v>
      </c>
      <c r="S653" s="98">
        <v>3</v>
      </c>
      <c r="T653" s="101">
        <f t="shared" ref="T653:T659" si="596">R653*S653</f>
        <v>90</v>
      </c>
      <c r="U653" s="183">
        <v>1</v>
      </c>
      <c r="V653" s="99">
        <v>1</v>
      </c>
      <c r="W653" s="98">
        <v>0</v>
      </c>
      <c r="X653" s="98">
        <v>0</v>
      </c>
      <c r="Y653" s="101">
        <f>W653*X653</f>
        <v>0</v>
      </c>
      <c r="Z653" s="101">
        <v>1</v>
      </c>
      <c r="AA653" s="183">
        <v>0</v>
      </c>
      <c r="AB653" s="99">
        <v>1</v>
      </c>
      <c r="AC653" s="98">
        <v>0</v>
      </c>
      <c r="AD653" s="98">
        <v>0</v>
      </c>
      <c r="AE653" s="101">
        <f t="shared" ref="AE653:AE659" si="597">AC653*AD653</f>
        <v>0</v>
      </c>
      <c r="AF653" s="98">
        <v>0</v>
      </c>
      <c r="AG653" s="98">
        <v>3</v>
      </c>
      <c r="AH653" s="99">
        <f t="shared" ref="AH653:AH659" si="598">AF653*AG653</f>
        <v>0</v>
      </c>
      <c r="AI653" s="101">
        <v>1</v>
      </c>
      <c r="AJ653" s="106"/>
    </row>
    <row r="654" spans="2:36" s="35" customFormat="1" ht="17.100000000000001" customHeight="1">
      <c r="B654" s="105"/>
      <c r="C654" s="54"/>
      <c r="D654" s="96"/>
      <c r="E654" s="111"/>
      <c r="F654" s="112"/>
      <c r="G654" s="113"/>
      <c r="H654" s="183">
        <v>1</v>
      </c>
      <c r="I654" s="98">
        <v>0</v>
      </c>
      <c r="J654" s="98">
        <v>0</v>
      </c>
      <c r="K654" s="101">
        <f t="shared" si="593"/>
        <v>0</v>
      </c>
      <c r="L654" s="100">
        <v>0</v>
      </c>
      <c r="M654" s="98">
        <v>0</v>
      </c>
      <c r="N654" s="101">
        <f t="shared" si="594"/>
        <v>0</v>
      </c>
      <c r="O654" s="100">
        <v>0</v>
      </c>
      <c r="P654" s="98">
        <v>0</v>
      </c>
      <c r="Q654" s="101">
        <f t="shared" si="595"/>
        <v>0</v>
      </c>
      <c r="R654" s="100">
        <v>0</v>
      </c>
      <c r="S654" s="98">
        <v>0</v>
      </c>
      <c r="T654" s="101">
        <f t="shared" si="596"/>
        <v>0</v>
      </c>
      <c r="U654" s="183">
        <v>1</v>
      </c>
      <c r="V654" s="99">
        <v>1</v>
      </c>
      <c r="W654" s="98">
        <v>0</v>
      </c>
      <c r="X654" s="98">
        <v>0</v>
      </c>
      <c r="Y654" s="101">
        <f t="shared" ref="Y654:Y659" si="599">W654*X654</f>
        <v>0</v>
      </c>
      <c r="Z654" s="101">
        <v>1</v>
      </c>
      <c r="AA654" s="183">
        <v>0</v>
      </c>
      <c r="AB654" s="99">
        <v>1</v>
      </c>
      <c r="AC654" s="98">
        <v>0</v>
      </c>
      <c r="AD654" s="98">
        <v>0</v>
      </c>
      <c r="AE654" s="101">
        <f t="shared" si="597"/>
        <v>0</v>
      </c>
      <c r="AF654" s="100">
        <v>0</v>
      </c>
      <c r="AG654" s="98">
        <v>0</v>
      </c>
      <c r="AH654" s="99">
        <f t="shared" si="598"/>
        <v>0</v>
      </c>
      <c r="AI654" s="101">
        <v>1</v>
      </c>
      <c r="AJ654" s="106"/>
    </row>
    <row r="655" spans="2:36" s="35" customFormat="1" ht="17.100000000000001" customHeight="1">
      <c r="B655" s="105"/>
      <c r="C655" s="54"/>
      <c r="D655" s="96"/>
      <c r="E655" s="111"/>
      <c r="F655" s="112"/>
      <c r="G655" s="113"/>
      <c r="H655" s="183">
        <v>1</v>
      </c>
      <c r="I655" s="98">
        <v>0</v>
      </c>
      <c r="J655" s="98">
        <v>0</v>
      </c>
      <c r="K655" s="101">
        <f t="shared" si="593"/>
        <v>0</v>
      </c>
      <c r="L655" s="100">
        <v>0</v>
      </c>
      <c r="M655" s="98">
        <v>0</v>
      </c>
      <c r="N655" s="101">
        <f t="shared" si="594"/>
        <v>0</v>
      </c>
      <c r="O655" s="100">
        <v>0</v>
      </c>
      <c r="P655" s="98">
        <v>0</v>
      </c>
      <c r="Q655" s="101">
        <f t="shared" si="595"/>
        <v>0</v>
      </c>
      <c r="R655" s="100">
        <v>0</v>
      </c>
      <c r="S655" s="98">
        <v>0</v>
      </c>
      <c r="T655" s="101">
        <f t="shared" si="596"/>
        <v>0</v>
      </c>
      <c r="U655" s="183">
        <v>1</v>
      </c>
      <c r="V655" s="99">
        <v>1</v>
      </c>
      <c r="W655" s="98">
        <v>0</v>
      </c>
      <c r="X655" s="98">
        <v>0</v>
      </c>
      <c r="Y655" s="101">
        <f t="shared" si="599"/>
        <v>0</v>
      </c>
      <c r="Z655" s="101">
        <v>1</v>
      </c>
      <c r="AA655" s="183">
        <v>0</v>
      </c>
      <c r="AB655" s="99">
        <v>1</v>
      </c>
      <c r="AC655" s="98">
        <v>0</v>
      </c>
      <c r="AD655" s="98">
        <v>0</v>
      </c>
      <c r="AE655" s="101">
        <f t="shared" si="597"/>
        <v>0</v>
      </c>
      <c r="AF655" s="100">
        <v>0</v>
      </c>
      <c r="AG655" s="98">
        <v>0</v>
      </c>
      <c r="AH655" s="99">
        <f t="shared" si="598"/>
        <v>0</v>
      </c>
      <c r="AI655" s="101">
        <v>1</v>
      </c>
      <c r="AJ655" s="106"/>
    </row>
    <row r="656" spans="2:36" s="35" customFormat="1" ht="17.100000000000001" customHeight="1">
      <c r="B656" s="105"/>
      <c r="C656" s="54"/>
      <c r="D656" s="96"/>
      <c r="E656" s="111"/>
      <c r="F656" s="112"/>
      <c r="G656" s="113"/>
      <c r="H656" s="183">
        <v>1</v>
      </c>
      <c r="I656" s="98">
        <v>0</v>
      </c>
      <c r="J656" s="98">
        <v>0</v>
      </c>
      <c r="K656" s="101">
        <f t="shared" si="593"/>
        <v>0</v>
      </c>
      <c r="L656" s="100">
        <v>0</v>
      </c>
      <c r="M656" s="98">
        <v>0</v>
      </c>
      <c r="N656" s="101">
        <f t="shared" si="594"/>
        <v>0</v>
      </c>
      <c r="O656" s="100">
        <v>0</v>
      </c>
      <c r="P656" s="98">
        <v>0</v>
      </c>
      <c r="Q656" s="101">
        <f t="shared" si="595"/>
        <v>0</v>
      </c>
      <c r="R656" s="100">
        <v>0</v>
      </c>
      <c r="S656" s="98">
        <v>0</v>
      </c>
      <c r="T656" s="101">
        <f t="shared" si="596"/>
        <v>0</v>
      </c>
      <c r="U656" s="183">
        <v>1</v>
      </c>
      <c r="V656" s="99">
        <v>1</v>
      </c>
      <c r="W656" s="98">
        <v>0</v>
      </c>
      <c r="X656" s="98">
        <v>0</v>
      </c>
      <c r="Y656" s="101">
        <f t="shared" si="599"/>
        <v>0</v>
      </c>
      <c r="Z656" s="101">
        <v>1</v>
      </c>
      <c r="AA656" s="183">
        <v>0</v>
      </c>
      <c r="AB656" s="99">
        <v>1</v>
      </c>
      <c r="AC656" s="98">
        <v>0</v>
      </c>
      <c r="AD656" s="98">
        <v>0</v>
      </c>
      <c r="AE656" s="101">
        <f t="shared" si="597"/>
        <v>0</v>
      </c>
      <c r="AF656" s="100">
        <v>0</v>
      </c>
      <c r="AG656" s="98">
        <v>0</v>
      </c>
      <c r="AH656" s="99">
        <f t="shared" si="598"/>
        <v>0</v>
      </c>
      <c r="AI656" s="101">
        <v>1</v>
      </c>
      <c r="AJ656" s="106"/>
    </row>
    <row r="657" spans="2:36" s="35" customFormat="1" ht="17.100000000000001" customHeight="1">
      <c r="B657" s="105"/>
      <c r="C657" s="54"/>
      <c r="D657" s="96"/>
      <c r="E657" s="111"/>
      <c r="F657" s="112"/>
      <c r="G657" s="113"/>
      <c r="H657" s="183">
        <v>1</v>
      </c>
      <c r="I657" s="98">
        <v>0</v>
      </c>
      <c r="J657" s="98">
        <v>0</v>
      </c>
      <c r="K657" s="101">
        <f t="shared" si="593"/>
        <v>0</v>
      </c>
      <c r="L657" s="100">
        <v>0</v>
      </c>
      <c r="M657" s="98">
        <v>0</v>
      </c>
      <c r="N657" s="101">
        <f t="shared" si="594"/>
        <v>0</v>
      </c>
      <c r="O657" s="100">
        <v>0</v>
      </c>
      <c r="P657" s="98">
        <v>0</v>
      </c>
      <c r="Q657" s="101">
        <f t="shared" si="595"/>
        <v>0</v>
      </c>
      <c r="R657" s="100">
        <v>0</v>
      </c>
      <c r="S657" s="98">
        <v>0</v>
      </c>
      <c r="T657" s="101">
        <f t="shared" si="596"/>
        <v>0</v>
      </c>
      <c r="U657" s="183">
        <v>1</v>
      </c>
      <c r="V657" s="99">
        <v>1</v>
      </c>
      <c r="W657" s="98">
        <v>0</v>
      </c>
      <c r="X657" s="98">
        <v>0</v>
      </c>
      <c r="Y657" s="101">
        <f t="shared" si="599"/>
        <v>0</v>
      </c>
      <c r="Z657" s="101">
        <v>1</v>
      </c>
      <c r="AA657" s="183">
        <v>0</v>
      </c>
      <c r="AB657" s="99">
        <v>1</v>
      </c>
      <c r="AC657" s="98">
        <v>0</v>
      </c>
      <c r="AD657" s="98">
        <v>0</v>
      </c>
      <c r="AE657" s="101">
        <f t="shared" si="597"/>
        <v>0</v>
      </c>
      <c r="AF657" s="100">
        <v>0</v>
      </c>
      <c r="AG657" s="98">
        <v>0</v>
      </c>
      <c r="AH657" s="99">
        <f t="shared" si="598"/>
        <v>0</v>
      </c>
      <c r="AI657" s="101">
        <v>1</v>
      </c>
      <c r="AJ657" s="106"/>
    </row>
    <row r="658" spans="2:36" s="35" customFormat="1" ht="17.100000000000001" customHeight="1">
      <c r="B658" s="105"/>
      <c r="C658" s="54"/>
      <c r="D658" s="96"/>
      <c r="E658" s="111"/>
      <c r="F658" s="112"/>
      <c r="G658" s="113"/>
      <c r="H658" s="183">
        <v>1</v>
      </c>
      <c r="I658" s="98">
        <v>0</v>
      </c>
      <c r="J658" s="98">
        <v>0</v>
      </c>
      <c r="K658" s="101">
        <f t="shared" si="593"/>
        <v>0</v>
      </c>
      <c r="L658" s="100">
        <v>0</v>
      </c>
      <c r="M658" s="98">
        <v>0</v>
      </c>
      <c r="N658" s="101">
        <f t="shared" si="594"/>
        <v>0</v>
      </c>
      <c r="O658" s="100">
        <v>0</v>
      </c>
      <c r="P658" s="98">
        <v>0</v>
      </c>
      <c r="Q658" s="101">
        <f t="shared" si="595"/>
        <v>0</v>
      </c>
      <c r="R658" s="100">
        <v>0</v>
      </c>
      <c r="S658" s="98">
        <v>0</v>
      </c>
      <c r="T658" s="101">
        <f t="shared" si="596"/>
        <v>0</v>
      </c>
      <c r="U658" s="183">
        <v>1</v>
      </c>
      <c r="V658" s="99">
        <v>1</v>
      </c>
      <c r="W658" s="98">
        <v>0</v>
      </c>
      <c r="X658" s="98">
        <v>0</v>
      </c>
      <c r="Y658" s="101">
        <f t="shared" si="599"/>
        <v>0</v>
      </c>
      <c r="Z658" s="101">
        <v>1</v>
      </c>
      <c r="AA658" s="183">
        <v>0</v>
      </c>
      <c r="AB658" s="99">
        <v>1</v>
      </c>
      <c r="AC658" s="98">
        <v>0</v>
      </c>
      <c r="AD658" s="98">
        <v>0</v>
      </c>
      <c r="AE658" s="101">
        <f t="shared" si="597"/>
        <v>0</v>
      </c>
      <c r="AF658" s="100">
        <v>0</v>
      </c>
      <c r="AG658" s="98">
        <v>0</v>
      </c>
      <c r="AH658" s="99">
        <f t="shared" si="598"/>
        <v>0</v>
      </c>
      <c r="AI658" s="101">
        <v>1</v>
      </c>
      <c r="AJ658" s="106"/>
    </row>
    <row r="659" spans="2:36" s="35" customFormat="1" ht="17.100000000000001" customHeight="1">
      <c r="B659" s="105"/>
      <c r="C659" s="54"/>
      <c r="D659" s="96"/>
      <c r="E659" s="111"/>
      <c r="F659" s="112"/>
      <c r="G659" s="113"/>
      <c r="H659" s="183">
        <v>1</v>
      </c>
      <c r="I659" s="98">
        <v>0</v>
      </c>
      <c r="J659" s="98">
        <v>0</v>
      </c>
      <c r="K659" s="101">
        <f t="shared" si="593"/>
        <v>0</v>
      </c>
      <c r="L659" s="100">
        <v>0</v>
      </c>
      <c r="M659" s="98">
        <v>0</v>
      </c>
      <c r="N659" s="101">
        <f t="shared" si="594"/>
        <v>0</v>
      </c>
      <c r="O659" s="100">
        <v>0</v>
      </c>
      <c r="P659" s="98">
        <v>0</v>
      </c>
      <c r="Q659" s="101">
        <f t="shared" si="595"/>
        <v>0</v>
      </c>
      <c r="R659" s="100">
        <v>0</v>
      </c>
      <c r="S659" s="98">
        <v>0</v>
      </c>
      <c r="T659" s="101">
        <f t="shared" si="596"/>
        <v>0</v>
      </c>
      <c r="U659" s="183">
        <v>1</v>
      </c>
      <c r="V659" s="99">
        <v>1</v>
      </c>
      <c r="W659" s="98">
        <v>0</v>
      </c>
      <c r="X659" s="98">
        <v>0</v>
      </c>
      <c r="Y659" s="101">
        <f t="shared" si="599"/>
        <v>0</v>
      </c>
      <c r="Z659" s="101">
        <v>1</v>
      </c>
      <c r="AA659" s="183">
        <v>0</v>
      </c>
      <c r="AB659" s="99">
        <v>1</v>
      </c>
      <c r="AC659" s="98">
        <v>0</v>
      </c>
      <c r="AD659" s="98">
        <v>0</v>
      </c>
      <c r="AE659" s="101">
        <f t="shared" si="597"/>
        <v>0</v>
      </c>
      <c r="AF659" s="100">
        <v>0</v>
      </c>
      <c r="AG659" s="98">
        <v>0</v>
      </c>
      <c r="AH659" s="99">
        <f t="shared" si="598"/>
        <v>0</v>
      </c>
      <c r="AI659" s="101">
        <v>1</v>
      </c>
      <c r="AJ659" s="106"/>
    </row>
    <row r="660" spans="2:36" s="126" customFormat="1" ht="17.100000000000001" customHeight="1">
      <c r="B660" s="118"/>
      <c r="C660" s="119"/>
      <c r="D660" s="120"/>
      <c r="E660" s="121"/>
      <c r="F660" s="122"/>
      <c r="G660" s="123"/>
      <c r="H660" s="183">
        <v>1</v>
      </c>
      <c r="I660" s="363" t="s">
        <v>201</v>
      </c>
      <c r="J660" s="363"/>
      <c r="K660" s="124">
        <f>SUM(K653:K659)</f>
        <v>0</v>
      </c>
      <c r="L660" s="341" t="s">
        <v>201</v>
      </c>
      <c r="M660" s="342"/>
      <c r="N660" s="124">
        <f>SUM(N653:N659)</f>
        <v>0</v>
      </c>
      <c r="O660" s="341" t="s">
        <v>201</v>
      </c>
      <c r="P660" s="342"/>
      <c r="Q660" s="124">
        <f>SUM(Q653:Q659)</f>
        <v>0</v>
      </c>
      <c r="R660" s="341" t="s">
        <v>201</v>
      </c>
      <c r="S660" s="342"/>
      <c r="T660" s="124">
        <f>SUM(T653:T659)</f>
        <v>90</v>
      </c>
      <c r="U660" s="183">
        <v>1</v>
      </c>
      <c r="V660" s="99">
        <v>1</v>
      </c>
      <c r="W660" s="363" t="s">
        <v>201</v>
      </c>
      <c r="X660" s="363"/>
      <c r="Y660" s="124">
        <f>SUM(Y653:Y659)</f>
        <v>0</v>
      </c>
      <c r="Z660" s="101">
        <v>1</v>
      </c>
      <c r="AA660" s="183">
        <v>0</v>
      </c>
      <c r="AB660" s="99">
        <v>1</v>
      </c>
      <c r="AC660" s="363" t="s">
        <v>201</v>
      </c>
      <c r="AD660" s="363"/>
      <c r="AE660" s="124">
        <f>SUM(AE653:AE659)</f>
        <v>0</v>
      </c>
      <c r="AF660" s="364" t="s">
        <v>201</v>
      </c>
      <c r="AG660" s="363"/>
      <c r="AH660" s="143">
        <f>SUM(AH653:AH659)</f>
        <v>0</v>
      </c>
      <c r="AI660" s="101">
        <v>1</v>
      </c>
      <c r="AJ660" s="125"/>
    </row>
    <row r="661" spans="2:36" s="35" customFormat="1" ht="16.95" customHeight="1">
      <c r="B661" s="105"/>
      <c r="C661" s="54">
        <f>'3. Rekap Back Up Non Aspal '!C103</f>
        <v>12300</v>
      </c>
      <c r="D661" s="96">
        <f>'3. Rekap Back Up Non Aspal '!D103</f>
        <v>12400</v>
      </c>
      <c r="E661" s="111">
        <f>'3. Rekap Back Up Non Aspal '!E103</f>
        <v>3</v>
      </c>
      <c r="F661" s="112">
        <f>(100/((D661-C661)*E661))*((K668*0.05)+(N668*0.05)+(Q668*0.05)+(T668)+(Y668)+(AE668*1.5)+(AH668*1))</f>
        <v>25</v>
      </c>
      <c r="G661" s="113" t="str">
        <f>IF(F661&lt;=25,"RB",IF(F661&lt;=75,"RB",IF(F661&lt;=100,"RB","RB")))</f>
        <v>RB</v>
      </c>
      <c r="H661" s="183">
        <v>1</v>
      </c>
      <c r="I661" s="98">
        <v>0</v>
      </c>
      <c r="J661" s="98">
        <v>0</v>
      </c>
      <c r="K661" s="101">
        <f t="shared" ref="K661:K667" si="600">I661*J661</f>
        <v>0</v>
      </c>
      <c r="L661" s="98">
        <v>0</v>
      </c>
      <c r="M661" s="98">
        <v>0</v>
      </c>
      <c r="N661" s="101">
        <f t="shared" ref="N661:N667" si="601">L661*M661</f>
        <v>0</v>
      </c>
      <c r="O661" s="98">
        <v>0</v>
      </c>
      <c r="P661" s="98">
        <v>0</v>
      </c>
      <c r="Q661" s="101">
        <f t="shared" ref="Q661:Q667" si="602">O661*P661</f>
        <v>0</v>
      </c>
      <c r="R661" s="98">
        <v>0</v>
      </c>
      <c r="S661" s="98">
        <v>0</v>
      </c>
      <c r="T661" s="101">
        <f t="shared" ref="T661:T667" si="603">R661*S661</f>
        <v>0</v>
      </c>
      <c r="U661" s="183">
        <v>4</v>
      </c>
      <c r="V661" s="99">
        <v>4</v>
      </c>
      <c r="W661" s="98">
        <v>25</v>
      </c>
      <c r="X661" s="98">
        <v>3</v>
      </c>
      <c r="Y661" s="101">
        <f>W661*X661</f>
        <v>75</v>
      </c>
      <c r="Z661" s="101">
        <v>1</v>
      </c>
      <c r="AA661" s="183">
        <v>0</v>
      </c>
      <c r="AB661" s="99">
        <v>1</v>
      </c>
      <c r="AC661" s="98">
        <v>0</v>
      </c>
      <c r="AD661" s="98">
        <v>0</v>
      </c>
      <c r="AE661" s="101">
        <f t="shared" ref="AE661:AE667" si="604">AC661*AD661</f>
        <v>0</v>
      </c>
      <c r="AF661" s="98">
        <v>0</v>
      </c>
      <c r="AG661" s="98">
        <v>3</v>
      </c>
      <c r="AH661" s="99">
        <f t="shared" ref="AH661:AH667" si="605">AF661*AG661</f>
        <v>0</v>
      </c>
      <c r="AI661" s="101">
        <v>1</v>
      </c>
      <c r="AJ661" s="106"/>
    </row>
    <row r="662" spans="2:36" s="35" customFormat="1" ht="17.100000000000001" customHeight="1">
      <c r="B662" s="105"/>
      <c r="C662" s="54"/>
      <c r="D662" s="96"/>
      <c r="E662" s="111"/>
      <c r="F662" s="112"/>
      <c r="G662" s="113"/>
      <c r="H662" s="183">
        <v>1</v>
      </c>
      <c r="I662" s="98">
        <v>0</v>
      </c>
      <c r="J662" s="98">
        <v>0</v>
      </c>
      <c r="K662" s="101">
        <f t="shared" si="600"/>
        <v>0</v>
      </c>
      <c r="L662" s="100">
        <v>0</v>
      </c>
      <c r="M662" s="98">
        <v>0</v>
      </c>
      <c r="N662" s="101">
        <f t="shared" si="601"/>
        <v>0</v>
      </c>
      <c r="O662" s="100">
        <v>0</v>
      </c>
      <c r="P662" s="98">
        <v>0</v>
      </c>
      <c r="Q662" s="101">
        <f t="shared" si="602"/>
        <v>0</v>
      </c>
      <c r="R662" s="100">
        <v>0</v>
      </c>
      <c r="S662" s="98">
        <v>0</v>
      </c>
      <c r="T662" s="101">
        <f t="shared" si="603"/>
        <v>0</v>
      </c>
      <c r="U662" s="183">
        <v>1</v>
      </c>
      <c r="V662" s="99">
        <v>1</v>
      </c>
      <c r="W662" s="98">
        <v>0</v>
      </c>
      <c r="X662" s="98">
        <v>0</v>
      </c>
      <c r="Y662" s="101">
        <f t="shared" ref="Y662:Y667" si="606">W662*X662</f>
        <v>0</v>
      </c>
      <c r="Z662" s="101">
        <v>1</v>
      </c>
      <c r="AA662" s="183">
        <v>0</v>
      </c>
      <c r="AB662" s="99">
        <v>1</v>
      </c>
      <c r="AC662" s="98">
        <v>0</v>
      </c>
      <c r="AD662" s="98">
        <v>0</v>
      </c>
      <c r="AE662" s="101">
        <f t="shared" si="604"/>
        <v>0</v>
      </c>
      <c r="AF662" s="100">
        <v>0</v>
      </c>
      <c r="AG662" s="98">
        <v>0</v>
      </c>
      <c r="AH662" s="99">
        <f t="shared" si="605"/>
        <v>0</v>
      </c>
      <c r="AI662" s="101">
        <v>1</v>
      </c>
      <c r="AJ662" s="106"/>
    </row>
    <row r="663" spans="2:36" s="35" customFormat="1" ht="17.100000000000001" customHeight="1">
      <c r="B663" s="105"/>
      <c r="C663" s="54"/>
      <c r="D663" s="96"/>
      <c r="E663" s="111"/>
      <c r="F663" s="112"/>
      <c r="G663" s="113"/>
      <c r="H663" s="183">
        <v>1</v>
      </c>
      <c r="I663" s="98">
        <v>0</v>
      </c>
      <c r="J663" s="98">
        <v>0</v>
      </c>
      <c r="K663" s="101">
        <f t="shared" si="600"/>
        <v>0</v>
      </c>
      <c r="L663" s="100">
        <v>0</v>
      </c>
      <c r="M663" s="98">
        <v>0</v>
      </c>
      <c r="N663" s="101">
        <f t="shared" si="601"/>
        <v>0</v>
      </c>
      <c r="O663" s="100">
        <v>0</v>
      </c>
      <c r="P663" s="98">
        <v>0</v>
      </c>
      <c r="Q663" s="101">
        <f t="shared" si="602"/>
        <v>0</v>
      </c>
      <c r="R663" s="100">
        <v>0</v>
      </c>
      <c r="S663" s="98">
        <v>0</v>
      </c>
      <c r="T663" s="101">
        <f t="shared" si="603"/>
        <v>0</v>
      </c>
      <c r="U663" s="183">
        <v>1</v>
      </c>
      <c r="V663" s="99">
        <v>1</v>
      </c>
      <c r="W663" s="98">
        <v>0</v>
      </c>
      <c r="X663" s="98">
        <v>0</v>
      </c>
      <c r="Y663" s="101">
        <f t="shared" si="606"/>
        <v>0</v>
      </c>
      <c r="Z663" s="101">
        <v>1</v>
      </c>
      <c r="AA663" s="183">
        <v>0</v>
      </c>
      <c r="AB663" s="99">
        <v>1</v>
      </c>
      <c r="AC663" s="98">
        <v>0</v>
      </c>
      <c r="AD663" s="98">
        <v>0</v>
      </c>
      <c r="AE663" s="101">
        <f t="shared" si="604"/>
        <v>0</v>
      </c>
      <c r="AF663" s="100">
        <v>0</v>
      </c>
      <c r="AG663" s="98">
        <v>0</v>
      </c>
      <c r="AH663" s="99">
        <f t="shared" si="605"/>
        <v>0</v>
      </c>
      <c r="AI663" s="101">
        <v>1</v>
      </c>
      <c r="AJ663" s="106"/>
    </row>
    <row r="664" spans="2:36" s="35" customFormat="1" ht="17.100000000000001" customHeight="1">
      <c r="B664" s="105"/>
      <c r="C664" s="54"/>
      <c r="D664" s="96"/>
      <c r="E664" s="111"/>
      <c r="F664" s="112"/>
      <c r="G664" s="113"/>
      <c r="H664" s="183">
        <v>1</v>
      </c>
      <c r="I664" s="98">
        <v>0</v>
      </c>
      <c r="J664" s="98">
        <v>0</v>
      </c>
      <c r="K664" s="101">
        <f t="shared" si="600"/>
        <v>0</v>
      </c>
      <c r="L664" s="100">
        <v>0</v>
      </c>
      <c r="M664" s="98">
        <v>0</v>
      </c>
      <c r="N664" s="101">
        <f t="shared" si="601"/>
        <v>0</v>
      </c>
      <c r="O664" s="100">
        <v>0</v>
      </c>
      <c r="P664" s="98">
        <v>0</v>
      </c>
      <c r="Q664" s="101">
        <f t="shared" si="602"/>
        <v>0</v>
      </c>
      <c r="R664" s="100">
        <v>0</v>
      </c>
      <c r="S664" s="98">
        <v>0</v>
      </c>
      <c r="T664" s="101">
        <f t="shared" si="603"/>
        <v>0</v>
      </c>
      <c r="U664" s="183">
        <v>1</v>
      </c>
      <c r="V664" s="99">
        <v>1</v>
      </c>
      <c r="W664" s="98">
        <v>0</v>
      </c>
      <c r="X664" s="98">
        <v>0</v>
      </c>
      <c r="Y664" s="101">
        <f t="shared" si="606"/>
        <v>0</v>
      </c>
      <c r="Z664" s="101">
        <v>1</v>
      </c>
      <c r="AA664" s="183">
        <v>0</v>
      </c>
      <c r="AB664" s="99">
        <v>1</v>
      </c>
      <c r="AC664" s="98">
        <v>0</v>
      </c>
      <c r="AD664" s="98">
        <v>0</v>
      </c>
      <c r="AE664" s="101">
        <f t="shared" si="604"/>
        <v>0</v>
      </c>
      <c r="AF664" s="100">
        <v>0</v>
      </c>
      <c r="AG664" s="98">
        <v>0</v>
      </c>
      <c r="AH664" s="99">
        <f t="shared" si="605"/>
        <v>0</v>
      </c>
      <c r="AI664" s="101">
        <v>1</v>
      </c>
      <c r="AJ664" s="106"/>
    </row>
    <row r="665" spans="2:36" s="35" customFormat="1" ht="17.100000000000001" customHeight="1">
      <c r="B665" s="105"/>
      <c r="C665" s="54"/>
      <c r="D665" s="96"/>
      <c r="E665" s="111"/>
      <c r="F665" s="112"/>
      <c r="G665" s="113"/>
      <c r="H665" s="183">
        <v>1</v>
      </c>
      <c r="I665" s="98">
        <v>0</v>
      </c>
      <c r="J665" s="98">
        <v>0</v>
      </c>
      <c r="K665" s="101">
        <f t="shared" si="600"/>
        <v>0</v>
      </c>
      <c r="L665" s="100">
        <v>0</v>
      </c>
      <c r="M665" s="98">
        <v>0</v>
      </c>
      <c r="N665" s="101">
        <f t="shared" si="601"/>
        <v>0</v>
      </c>
      <c r="O665" s="100">
        <v>0</v>
      </c>
      <c r="P665" s="98">
        <v>0</v>
      </c>
      <c r="Q665" s="101">
        <f t="shared" si="602"/>
        <v>0</v>
      </c>
      <c r="R665" s="100">
        <v>0</v>
      </c>
      <c r="S665" s="98">
        <v>0</v>
      </c>
      <c r="T665" s="101">
        <f t="shared" si="603"/>
        <v>0</v>
      </c>
      <c r="U665" s="183">
        <v>1</v>
      </c>
      <c r="V665" s="99">
        <v>1</v>
      </c>
      <c r="W665" s="98">
        <v>0</v>
      </c>
      <c r="X665" s="98">
        <v>0</v>
      </c>
      <c r="Y665" s="101">
        <f t="shared" si="606"/>
        <v>0</v>
      </c>
      <c r="Z665" s="101">
        <v>1</v>
      </c>
      <c r="AA665" s="183">
        <v>0</v>
      </c>
      <c r="AB665" s="99">
        <v>1</v>
      </c>
      <c r="AC665" s="98">
        <v>0</v>
      </c>
      <c r="AD665" s="98">
        <v>0</v>
      </c>
      <c r="AE665" s="101">
        <f t="shared" si="604"/>
        <v>0</v>
      </c>
      <c r="AF665" s="100">
        <v>0</v>
      </c>
      <c r="AG665" s="98">
        <v>0</v>
      </c>
      <c r="AH665" s="99">
        <f t="shared" si="605"/>
        <v>0</v>
      </c>
      <c r="AI665" s="101">
        <v>1</v>
      </c>
      <c r="AJ665" s="106"/>
    </row>
    <row r="666" spans="2:36" s="35" customFormat="1" ht="17.100000000000001" customHeight="1">
      <c r="B666" s="105"/>
      <c r="C666" s="54"/>
      <c r="D666" s="96"/>
      <c r="E666" s="111"/>
      <c r="F666" s="112"/>
      <c r="G666" s="113"/>
      <c r="H666" s="183">
        <v>1</v>
      </c>
      <c r="I666" s="98">
        <v>0</v>
      </c>
      <c r="J666" s="98">
        <v>0</v>
      </c>
      <c r="K666" s="101">
        <f t="shared" si="600"/>
        <v>0</v>
      </c>
      <c r="L666" s="100">
        <v>0</v>
      </c>
      <c r="M666" s="98">
        <v>0</v>
      </c>
      <c r="N666" s="101">
        <f t="shared" si="601"/>
        <v>0</v>
      </c>
      <c r="O666" s="100">
        <v>0</v>
      </c>
      <c r="P666" s="98">
        <v>0</v>
      </c>
      <c r="Q666" s="101">
        <f t="shared" si="602"/>
        <v>0</v>
      </c>
      <c r="R666" s="100">
        <v>0</v>
      </c>
      <c r="S666" s="98">
        <v>0</v>
      </c>
      <c r="T666" s="101">
        <f t="shared" si="603"/>
        <v>0</v>
      </c>
      <c r="U666" s="183">
        <v>1</v>
      </c>
      <c r="V666" s="99">
        <v>1</v>
      </c>
      <c r="W666" s="98">
        <v>0</v>
      </c>
      <c r="X666" s="98">
        <v>0</v>
      </c>
      <c r="Y666" s="101">
        <f t="shared" si="606"/>
        <v>0</v>
      </c>
      <c r="Z666" s="101">
        <v>1</v>
      </c>
      <c r="AA666" s="183">
        <v>0</v>
      </c>
      <c r="AB666" s="99">
        <v>1</v>
      </c>
      <c r="AC666" s="98">
        <v>0</v>
      </c>
      <c r="AD666" s="98">
        <v>0</v>
      </c>
      <c r="AE666" s="101">
        <f t="shared" si="604"/>
        <v>0</v>
      </c>
      <c r="AF666" s="100">
        <v>0</v>
      </c>
      <c r="AG666" s="98">
        <v>0</v>
      </c>
      <c r="AH666" s="99">
        <f t="shared" si="605"/>
        <v>0</v>
      </c>
      <c r="AI666" s="101">
        <v>1</v>
      </c>
      <c r="AJ666" s="106"/>
    </row>
    <row r="667" spans="2:36" s="35" customFormat="1" ht="17.100000000000001" customHeight="1">
      <c r="B667" s="105"/>
      <c r="C667" s="54"/>
      <c r="D667" s="96"/>
      <c r="E667" s="111"/>
      <c r="F667" s="112"/>
      <c r="G667" s="113"/>
      <c r="H667" s="183">
        <v>1</v>
      </c>
      <c r="I667" s="98">
        <v>0</v>
      </c>
      <c r="J667" s="98">
        <v>0</v>
      </c>
      <c r="K667" s="101">
        <f t="shared" si="600"/>
        <v>0</v>
      </c>
      <c r="L667" s="100">
        <v>0</v>
      </c>
      <c r="M667" s="98">
        <v>0</v>
      </c>
      <c r="N667" s="101">
        <f t="shared" si="601"/>
        <v>0</v>
      </c>
      <c r="O667" s="100">
        <v>0</v>
      </c>
      <c r="P667" s="98">
        <v>0</v>
      </c>
      <c r="Q667" s="101">
        <f t="shared" si="602"/>
        <v>0</v>
      </c>
      <c r="R667" s="100">
        <v>0</v>
      </c>
      <c r="S667" s="98">
        <v>0</v>
      </c>
      <c r="T667" s="101">
        <f t="shared" si="603"/>
        <v>0</v>
      </c>
      <c r="U667" s="183">
        <v>1</v>
      </c>
      <c r="V667" s="99">
        <v>1</v>
      </c>
      <c r="W667" s="98">
        <v>0</v>
      </c>
      <c r="X667" s="98">
        <v>0</v>
      </c>
      <c r="Y667" s="101">
        <f t="shared" si="606"/>
        <v>0</v>
      </c>
      <c r="Z667" s="101">
        <v>1</v>
      </c>
      <c r="AA667" s="183">
        <v>0</v>
      </c>
      <c r="AB667" s="99">
        <v>1</v>
      </c>
      <c r="AC667" s="98">
        <v>0</v>
      </c>
      <c r="AD667" s="98">
        <v>0</v>
      </c>
      <c r="AE667" s="101">
        <f t="shared" si="604"/>
        <v>0</v>
      </c>
      <c r="AF667" s="100">
        <v>0</v>
      </c>
      <c r="AG667" s="98">
        <v>0</v>
      </c>
      <c r="AH667" s="99">
        <f t="shared" si="605"/>
        <v>0</v>
      </c>
      <c r="AI667" s="101">
        <v>1</v>
      </c>
      <c r="AJ667" s="106"/>
    </row>
    <row r="668" spans="2:36" s="126" customFormat="1" ht="17.100000000000001" customHeight="1">
      <c r="B668" s="118"/>
      <c r="C668" s="119"/>
      <c r="D668" s="120"/>
      <c r="E668" s="121"/>
      <c r="F668" s="122"/>
      <c r="G668" s="123"/>
      <c r="H668" s="183">
        <v>1</v>
      </c>
      <c r="I668" s="363" t="s">
        <v>201</v>
      </c>
      <c r="J668" s="363"/>
      <c r="K668" s="124">
        <f>SUM(K661:K667)</f>
        <v>0</v>
      </c>
      <c r="L668" s="341" t="s">
        <v>201</v>
      </c>
      <c r="M668" s="342"/>
      <c r="N668" s="124">
        <f>SUM(N661:N667)</f>
        <v>0</v>
      </c>
      <c r="O668" s="341" t="s">
        <v>201</v>
      </c>
      <c r="P668" s="342"/>
      <c r="Q668" s="124">
        <f>SUM(Q661:Q667)</f>
        <v>0</v>
      </c>
      <c r="R668" s="341" t="s">
        <v>201</v>
      </c>
      <c r="S668" s="342"/>
      <c r="T668" s="124">
        <f>SUM(T661:T667)</f>
        <v>0</v>
      </c>
      <c r="U668" s="183">
        <v>1</v>
      </c>
      <c r="V668" s="99">
        <v>1</v>
      </c>
      <c r="W668" s="363" t="s">
        <v>201</v>
      </c>
      <c r="X668" s="363"/>
      <c r="Y668" s="124">
        <f>SUM(Y661:Y667)</f>
        <v>75</v>
      </c>
      <c r="Z668" s="101">
        <v>1</v>
      </c>
      <c r="AA668" s="183">
        <v>0</v>
      </c>
      <c r="AB668" s="99">
        <v>1</v>
      </c>
      <c r="AC668" s="363" t="s">
        <v>201</v>
      </c>
      <c r="AD668" s="363"/>
      <c r="AE668" s="124">
        <f>SUM(AE661:AE667)</f>
        <v>0</v>
      </c>
      <c r="AF668" s="364" t="s">
        <v>201</v>
      </c>
      <c r="AG668" s="363"/>
      <c r="AH668" s="143">
        <f>SUM(AH661:AH667)</f>
        <v>0</v>
      </c>
      <c r="AI668" s="101">
        <v>1</v>
      </c>
      <c r="AJ668" s="125"/>
    </row>
    <row r="669" spans="2:36" s="35" customFormat="1" ht="16.95" customHeight="1">
      <c r="B669" s="105"/>
      <c r="C669" s="54">
        <f>'3. Rekap Back Up Non Aspal '!C104</f>
        <v>12400</v>
      </c>
      <c r="D669" s="96">
        <f>'3. Rekap Back Up Non Aspal '!D104</f>
        <v>12500</v>
      </c>
      <c r="E669" s="111">
        <f>'3. Rekap Back Up Non Aspal '!E104</f>
        <v>3</v>
      </c>
      <c r="F669" s="112">
        <f>(100/((D669-C669)*E669))*((K676*0.05)+(N676*0.05)+(Q676*0.05)+(T676)+(Y676)+(AE676*1.5)+(AH676*1))</f>
        <v>100</v>
      </c>
      <c r="G669" s="113" t="str">
        <f>IF(F669&lt;=25,"RB",IF(F669&lt;=75,"RB",IF(F669&lt;=100,"RB","RB")))</f>
        <v>RB</v>
      </c>
      <c r="H669" s="183">
        <v>1</v>
      </c>
      <c r="I669" s="98">
        <v>0</v>
      </c>
      <c r="J669" s="98">
        <v>0</v>
      </c>
      <c r="K669" s="101">
        <f t="shared" ref="K669:K675" si="607">I669*J669</f>
        <v>0</v>
      </c>
      <c r="L669" s="98">
        <v>0</v>
      </c>
      <c r="M669" s="98">
        <v>0</v>
      </c>
      <c r="N669" s="101">
        <f t="shared" ref="N669:N675" si="608">L669*M669</f>
        <v>0</v>
      </c>
      <c r="O669" s="98">
        <v>0</v>
      </c>
      <c r="P669" s="98">
        <v>0</v>
      </c>
      <c r="Q669" s="101">
        <f t="shared" ref="Q669:Q675" si="609">O669*P669</f>
        <v>0</v>
      </c>
      <c r="R669" s="98">
        <v>0</v>
      </c>
      <c r="S669" s="98">
        <v>0</v>
      </c>
      <c r="T669" s="101">
        <f t="shared" ref="T669:T675" si="610">R669*S669</f>
        <v>0</v>
      </c>
      <c r="U669" s="183">
        <v>1</v>
      </c>
      <c r="V669" s="99">
        <v>1</v>
      </c>
      <c r="W669" s="98">
        <v>0</v>
      </c>
      <c r="X669" s="98">
        <v>0</v>
      </c>
      <c r="Y669" s="101">
        <f>W669*X669</f>
        <v>0</v>
      </c>
      <c r="Z669" s="101">
        <v>1</v>
      </c>
      <c r="AA669" s="183">
        <v>0</v>
      </c>
      <c r="AB669" s="99">
        <v>1</v>
      </c>
      <c r="AC669" s="98">
        <v>0</v>
      </c>
      <c r="AD669" s="98">
        <v>0</v>
      </c>
      <c r="AE669" s="101">
        <f t="shared" ref="AE669:AE675" si="611">AC669*AD669</f>
        <v>0</v>
      </c>
      <c r="AF669" s="98">
        <v>0</v>
      </c>
      <c r="AG669" s="98">
        <v>3</v>
      </c>
      <c r="AH669" s="99">
        <f t="shared" ref="AH669:AH675" si="612">AF669*AG669</f>
        <v>0</v>
      </c>
      <c r="AI669" s="101">
        <v>1</v>
      </c>
      <c r="AJ669" s="106"/>
    </row>
    <row r="670" spans="2:36" s="35" customFormat="1" ht="17.100000000000001" customHeight="1">
      <c r="B670" s="105"/>
      <c r="C670" s="54"/>
      <c r="D670" s="96"/>
      <c r="E670" s="111"/>
      <c r="F670" s="112"/>
      <c r="G670" s="113"/>
      <c r="H670" s="183">
        <v>1</v>
      </c>
      <c r="I670" s="98">
        <v>0</v>
      </c>
      <c r="J670" s="98">
        <v>0</v>
      </c>
      <c r="K670" s="101">
        <f t="shared" si="607"/>
        <v>0</v>
      </c>
      <c r="L670" s="100">
        <v>0</v>
      </c>
      <c r="M670" s="98">
        <v>0</v>
      </c>
      <c r="N670" s="101">
        <f t="shared" si="608"/>
        <v>0</v>
      </c>
      <c r="O670" s="100">
        <v>0</v>
      </c>
      <c r="P670" s="98">
        <v>0</v>
      </c>
      <c r="Q670" s="101">
        <f t="shared" si="609"/>
        <v>0</v>
      </c>
      <c r="R670" s="100">
        <v>0</v>
      </c>
      <c r="S670" s="98">
        <v>0</v>
      </c>
      <c r="T670" s="101">
        <f t="shared" si="610"/>
        <v>0</v>
      </c>
      <c r="U670" s="183">
        <v>2</v>
      </c>
      <c r="V670" s="99">
        <v>2</v>
      </c>
      <c r="W670" s="98">
        <v>100</v>
      </c>
      <c r="X670" s="98">
        <v>3</v>
      </c>
      <c r="Y670" s="101">
        <f t="shared" ref="Y670:Y675" si="613">W670*X670</f>
        <v>300</v>
      </c>
      <c r="Z670" s="101">
        <v>1</v>
      </c>
      <c r="AA670" s="183">
        <v>0</v>
      </c>
      <c r="AB670" s="99">
        <v>1</v>
      </c>
      <c r="AC670" s="98">
        <v>0</v>
      </c>
      <c r="AD670" s="98">
        <v>0</v>
      </c>
      <c r="AE670" s="101">
        <f t="shared" si="611"/>
        <v>0</v>
      </c>
      <c r="AF670" s="100">
        <v>0</v>
      </c>
      <c r="AG670" s="98">
        <v>0</v>
      </c>
      <c r="AH670" s="99">
        <f t="shared" si="612"/>
        <v>0</v>
      </c>
      <c r="AI670" s="101">
        <v>1</v>
      </c>
      <c r="AJ670" s="106"/>
    </row>
    <row r="671" spans="2:36" s="35" customFormat="1" ht="17.100000000000001" customHeight="1">
      <c r="B671" s="105"/>
      <c r="C671" s="54"/>
      <c r="D671" s="96"/>
      <c r="E671" s="111"/>
      <c r="F671" s="112"/>
      <c r="G671" s="113"/>
      <c r="H671" s="183">
        <v>1</v>
      </c>
      <c r="I671" s="98">
        <v>0</v>
      </c>
      <c r="J671" s="98">
        <v>0</v>
      </c>
      <c r="K671" s="101">
        <f t="shared" si="607"/>
        <v>0</v>
      </c>
      <c r="L671" s="100">
        <v>0</v>
      </c>
      <c r="M671" s="98">
        <v>0</v>
      </c>
      <c r="N671" s="101">
        <f t="shared" si="608"/>
        <v>0</v>
      </c>
      <c r="O671" s="100">
        <v>0</v>
      </c>
      <c r="P671" s="98">
        <v>0</v>
      </c>
      <c r="Q671" s="101">
        <f t="shared" si="609"/>
        <v>0</v>
      </c>
      <c r="R671" s="100">
        <v>0</v>
      </c>
      <c r="S671" s="98">
        <v>0</v>
      </c>
      <c r="T671" s="101">
        <f t="shared" si="610"/>
        <v>0</v>
      </c>
      <c r="U671" s="183">
        <v>1</v>
      </c>
      <c r="V671" s="99">
        <v>1</v>
      </c>
      <c r="W671" s="98">
        <v>0</v>
      </c>
      <c r="X671" s="98">
        <v>0</v>
      </c>
      <c r="Y671" s="101">
        <f t="shared" si="613"/>
        <v>0</v>
      </c>
      <c r="Z671" s="101">
        <v>1</v>
      </c>
      <c r="AA671" s="183">
        <v>0</v>
      </c>
      <c r="AB671" s="99">
        <v>1</v>
      </c>
      <c r="AC671" s="98">
        <v>0</v>
      </c>
      <c r="AD671" s="98">
        <v>0</v>
      </c>
      <c r="AE671" s="101">
        <f t="shared" si="611"/>
        <v>0</v>
      </c>
      <c r="AF671" s="100">
        <v>0</v>
      </c>
      <c r="AG671" s="98">
        <v>0</v>
      </c>
      <c r="AH671" s="99">
        <f t="shared" si="612"/>
        <v>0</v>
      </c>
      <c r="AI671" s="101">
        <v>1</v>
      </c>
      <c r="AJ671" s="106"/>
    </row>
    <row r="672" spans="2:36" s="35" customFormat="1" ht="17.100000000000001" customHeight="1">
      <c r="B672" s="105"/>
      <c r="C672" s="54"/>
      <c r="D672" s="96"/>
      <c r="E672" s="111"/>
      <c r="F672" s="112"/>
      <c r="G672" s="113"/>
      <c r="H672" s="183">
        <v>1</v>
      </c>
      <c r="I672" s="98">
        <v>0</v>
      </c>
      <c r="J672" s="98">
        <v>0</v>
      </c>
      <c r="K672" s="101">
        <f t="shared" si="607"/>
        <v>0</v>
      </c>
      <c r="L672" s="100">
        <v>0</v>
      </c>
      <c r="M672" s="98">
        <v>0</v>
      </c>
      <c r="N672" s="101">
        <f t="shared" si="608"/>
        <v>0</v>
      </c>
      <c r="O672" s="100">
        <v>0</v>
      </c>
      <c r="P672" s="98">
        <v>0</v>
      </c>
      <c r="Q672" s="101">
        <f t="shared" si="609"/>
        <v>0</v>
      </c>
      <c r="R672" s="100">
        <v>0</v>
      </c>
      <c r="S672" s="98">
        <v>0</v>
      </c>
      <c r="T672" s="101">
        <f t="shared" si="610"/>
        <v>0</v>
      </c>
      <c r="U672" s="183">
        <v>1</v>
      </c>
      <c r="V672" s="99">
        <v>1</v>
      </c>
      <c r="W672" s="98">
        <v>0</v>
      </c>
      <c r="X672" s="98">
        <v>0</v>
      </c>
      <c r="Y672" s="101">
        <f t="shared" si="613"/>
        <v>0</v>
      </c>
      <c r="Z672" s="101">
        <v>1</v>
      </c>
      <c r="AA672" s="183">
        <v>0</v>
      </c>
      <c r="AB672" s="99">
        <v>1</v>
      </c>
      <c r="AC672" s="98">
        <v>0</v>
      </c>
      <c r="AD672" s="98">
        <v>0</v>
      </c>
      <c r="AE672" s="101">
        <f t="shared" si="611"/>
        <v>0</v>
      </c>
      <c r="AF672" s="100">
        <v>0</v>
      </c>
      <c r="AG672" s="98">
        <v>0</v>
      </c>
      <c r="AH672" s="99">
        <f t="shared" si="612"/>
        <v>0</v>
      </c>
      <c r="AI672" s="101">
        <v>1</v>
      </c>
      <c r="AJ672" s="106"/>
    </row>
    <row r="673" spans="2:36" s="35" customFormat="1" ht="17.100000000000001" customHeight="1">
      <c r="B673" s="105"/>
      <c r="C673" s="54"/>
      <c r="D673" s="96"/>
      <c r="E673" s="111"/>
      <c r="F673" s="112"/>
      <c r="G673" s="113"/>
      <c r="H673" s="183">
        <v>1</v>
      </c>
      <c r="I673" s="98">
        <v>0</v>
      </c>
      <c r="J673" s="98">
        <v>0</v>
      </c>
      <c r="K673" s="101">
        <f t="shared" si="607"/>
        <v>0</v>
      </c>
      <c r="L673" s="100">
        <v>0</v>
      </c>
      <c r="M673" s="98">
        <v>0</v>
      </c>
      <c r="N673" s="101">
        <f t="shared" si="608"/>
        <v>0</v>
      </c>
      <c r="O673" s="100">
        <v>0</v>
      </c>
      <c r="P673" s="98">
        <v>0</v>
      </c>
      <c r="Q673" s="101">
        <f t="shared" si="609"/>
        <v>0</v>
      </c>
      <c r="R673" s="100">
        <v>0</v>
      </c>
      <c r="S673" s="98">
        <v>0</v>
      </c>
      <c r="T673" s="101">
        <f t="shared" si="610"/>
        <v>0</v>
      </c>
      <c r="U673" s="183">
        <v>1</v>
      </c>
      <c r="V673" s="99">
        <v>1</v>
      </c>
      <c r="W673" s="98">
        <v>0</v>
      </c>
      <c r="X673" s="98">
        <v>0</v>
      </c>
      <c r="Y673" s="101">
        <f t="shared" si="613"/>
        <v>0</v>
      </c>
      <c r="Z673" s="101">
        <v>1</v>
      </c>
      <c r="AA673" s="183">
        <v>0</v>
      </c>
      <c r="AB673" s="99">
        <v>1</v>
      </c>
      <c r="AC673" s="98">
        <v>0</v>
      </c>
      <c r="AD673" s="98">
        <v>0</v>
      </c>
      <c r="AE673" s="101">
        <f t="shared" si="611"/>
        <v>0</v>
      </c>
      <c r="AF673" s="100">
        <v>0</v>
      </c>
      <c r="AG673" s="98">
        <v>0</v>
      </c>
      <c r="AH673" s="99">
        <f t="shared" si="612"/>
        <v>0</v>
      </c>
      <c r="AI673" s="101">
        <v>1</v>
      </c>
      <c r="AJ673" s="106"/>
    </row>
    <row r="674" spans="2:36" s="35" customFormat="1" ht="17.100000000000001" customHeight="1">
      <c r="B674" s="105"/>
      <c r="C674" s="54"/>
      <c r="D674" s="96"/>
      <c r="E674" s="111"/>
      <c r="F674" s="112"/>
      <c r="G674" s="113"/>
      <c r="H674" s="183">
        <v>1</v>
      </c>
      <c r="I674" s="98">
        <v>0</v>
      </c>
      <c r="J674" s="98">
        <v>0</v>
      </c>
      <c r="K674" s="101">
        <f t="shared" si="607"/>
        <v>0</v>
      </c>
      <c r="L674" s="100">
        <v>0</v>
      </c>
      <c r="M674" s="98">
        <v>0</v>
      </c>
      <c r="N674" s="101">
        <f t="shared" si="608"/>
        <v>0</v>
      </c>
      <c r="O674" s="100">
        <v>0</v>
      </c>
      <c r="P674" s="98">
        <v>0</v>
      </c>
      <c r="Q674" s="101">
        <f t="shared" si="609"/>
        <v>0</v>
      </c>
      <c r="R674" s="100">
        <v>0</v>
      </c>
      <c r="S674" s="98">
        <v>0</v>
      </c>
      <c r="T674" s="101">
        <f t="shared" si="610"/>
        <v>0</v>
      </c>
      <c r="U674" s="183">
        <v>1</v>
      </c>
      <c r="V674" s="99">
        <v>1</v>
      </c>
      <c r="W674" s="98">
        <v>0</v>
      </c>
      <c r="X674" s="98">
        <v>0</v>
      </c>
      <c r="Y674" s="101">
        <f t="shared" si="613"/>
        <v>0</v>
      </c>
      <c r="Z674" s="101">
        <v>1</v>
      </c>
      <c r="AA674" s="183">
        <v>0</v>
      </c>
      <c r="AB674" s="99">
        <v>1</v>
      </c>
      <c r="AC674" s="98">
        <v>0</v>
      </c>
      <c r="AD674" s="98">
        <v>0</v>
      </c>
      <c r="AE674" s="101">
        <f t="shared" si="611"/>
        <v>0</v>
      </c>
      <c r="AF674" s="100">
        <v>0</v>
      </c>
      <c r="AG674" s="98">
        <v>0</v>
      </c>
      <c r="AH674" s="99">
        <f t="shared" si="612"/>
        <v>0</v>
      </c>
      <c r="AI674" s="101">
        <v>1</v>
      </c>
      <c r="AJ674" s="106"/>
    </row>
    <row r="675" spans="2:36" s="35" customFormat="1" ht="17.100000000000001" customHeight="1">
      <c r="B675" s="105"/>
      <c r="C675" s="54"/>
      <c r="D675" s="96"/>
      <c r="E675" s="111"/>
      <c r="F675" s="112"/>
      <c r="G675" s="113"/>
      <c r="H675" s="183">
        <v>1</v>
      </c>
      <c r="I675" s="98">
        <v>0</v>
      </c>
      <c r="J675" s="98">
        <v>0</v>
      </c>
      <c r="K675" s="101">
        <f t="shared" si="607"/>
        <v>0</v>
      </c>
      <c r="L675" s="100">
        <v>0</v>
      </c>
      <c r="M675" s="98">
        <v>0</v>
      </c>
      <c r="N675" s="101">
        <f t="shared" si="608"/>
        <v>0</v>
      </c>
      <c r="O675" s="100">
        <v>0</v>
      </c>
      <c r="P675" s="98">
        <v>0</v>
      </c>
      <c r="Q675" s="101">
        <f t="shared" si="609"/>
        <v>0</v>
      </c>
      <c r="R675" s="100">
        <v>0</v>
      </c>
      <c r="S675" s="98">
        <v>0</v>
      </c>
      <c r="T675" s="101">
        <f t="shared" si="610"/>
        <v>0</v>
      </c>
      <c r="U675" s="183">
        <v>1</v>
      </c>
      <c r="V675" s="99">
        <v>1</v>
      </c>
      <c r="W675" s="98">
        <v>0</v>
      </c>
      <c r="X675" s="98">
        <v>0</v>
      </c>
      <c r="Y675" s="101">
        <f t="shared" si="613"/>
        <v>0</v>
      </c>
      <c r="Z675" s="101">
        <v>1</v>
      </c>
      <c r="AA675" s="183">
        <v>0</v>
      </c>
      <c r="AB675" s="99">
        <v>1</v>
      </c>
      <c r="AC675" s="98">
        <v>0</v>
      </c>
      <c r="AD675" s="98">
        <v>0</v>
      </c>
      <c r="AE675" s="101">
        <f t="shared" si="611"/>
        <v>0</v>
      </c>
      <c r="AF675" s="100">
        <v>0</v>
      </c>
      <c r="AG675" s="98">
        <v>0</v>
      </c>
      <c r="AH675" s="99">
        <f t="shared" si="612"/>
        <v>0</v>
      </c>
      <c r="AI675" s="101">
        <v>1</v>
      </c>
      <c r="AJ675" s="106"/>
    </row>
    <row r="676" spans="2:36" s="126" customFormat="1" ht="17.100000000000001" customHeight="1">
      <c r="B676" s="118"/>
      <c r="C676" s="119"/>
      <c r="D676" s="120"/>
      <c r="E676" s="121"/>
      <c r="F676" s="122"/>
      <c r="G676" s="123"/>
      <c r="H676" s="183">
        <v>1</v>
      </c>
      <c r="I676" s="363" t="s">
        <v>201</v>
      </c>
      <c r="J676" s="363"/>
      <c r="K676" s="124">
        <f>SUM(K669:K675)</f>
        <v>0</v>
      </c>
      <c r="L676" s="341" t="s">
        <v>201</v>
      </c>
      <c r="M676" s="342"/>
      <c r="N676" s="124">
        <f>SUM(N669:N675)</f>
        <v>0</v>
      </c>
      <c r="O676" s="341" t="s">
        <v>201</v>
      </c>
      <c r="P676" s="342"/>
      <c r="Q676" s="124">
        <f>SUM(Q669:Q675)</f>
        <v>0</v>
      </c>
      <c r="R676" s="341" t="s">
        <v>201</v>
      </c>
      <c r="S676" s="342"/>
      <c r="T676" s="124">
        <f>SUM(T669:T675)</f>
        <v>0</v>
      </c>
      <c r="U676" s="183">
        <v>1</v>
      </c>
      <c r="V676" s="99">
        <v>1</v>
      </c>
      <c r="W676" s="363" t="s">
        <v>201</v>
      </c>
      <c r="X676" s="363"/>
      <c r="Y676" s="124">
        <f>SUM(Y669:Y675)</f>
        <v>300</v>
      </c>
      <c r="Z676" s="101">
        <v>1</v>
      </c>
      <c r="AA676" s="183">
        <v>0</v>
      </c>
      <c r="AB676" s="99">
        <v>1</v>
      </c>
      <c r="AC676" s="363" t="s">
        <v>201</v>
      </c>
      <c r="AD676" s="363"/>
      <c r="AE676" s="124">
        <f>SUM(AE669:AE675)</f>
        <v>0</v>
      </c>
      <c r="AF676" s="364" t="s">
        <v>201</v>
      </c>
      <c r="AG676" s="363"/>
      <c r="AH676" s="143">
        <f>SUM(AH669:AH675)</f>
        <v>0</v>
      </c>
      <c r="AI676" s="101">
        <v>1</v>
      </c>
      <c r="AJ676" s="125"/>
    </row>
    <row r="677" spans="2:36" s="35" customFormat="1" ht="16.95" customHeight="1">
      <c r="B677" s="105"/>
      <c r="C677" s="54">
        <f>'3. Rekap Back Up Non Aspal '!C105</f>
        <v>12500</v>
      </c>
      <c r="D677" s="96">
        <f>'3. Rekap Back Up Non Aspal '!D105</f>
        <v>12600</v>
      </c>
      <c r="E677" s="111">
        <f>'3. Rekap Back Up Non Aspal '!E105</f>
        <v>3</v>
      </c>
      <c r="F677" s="112">
        <f>(100/((D677-C677)*E677))*((K684*0.05)+(N684*0.05)+(Q684*0.05)+(T684)+(Y684)+(AE684*1.5)+(AH684*1))</f>
        <v>100</v>
      </c>
      <c r="G677" s="113" t="str">
        <f>IF(F677&lt;=25,"RB",IF(F677&lt;=75,"RB",IF(F677&lt;=100,"RB","RB")))</f>
        <v>RB</v>
      </c>
      <c r="H677" s="183">
        <v>1</v>
      </c>
      <c r="I677" s="98">
        <v>0</v>
      </c>
      <c r="J677" s="98">
        <v>0</v>
      </c>
      <c r="K677" s="101">
        <f t="shared" ref="K677:K683" si="614">I677*J677</f>
        <v>0</v>
      </c>
      <c r="L677" s="98">
        <v>0</v>
      </c>
      <c r="M677" s="98">
        <v>0</v>
      </c>
      <c r="N677" s="101">
        <f t="shared" ref="N677:N683" si="615">L677*M677</f>
        <v>0</v>
      </c>
      <c r="O677" s="98">
        <v>0</v>
      </c>
      <c r="P677" s="98">
        <v>0</v>
      </c>
      <c r="Q677" s="101">
        <f t="shared" ref="Q677:Q683" si="616">O677*P677</f>
        <v>0</v>
      </c>
      <c r="R677" s="98">
        <v>50</v>
      </c>
      <c r="S677" s="98">
        <v>3</v>
      </c>
      <c r="T677" s="101">
        <f t="shared" ref="T677:T683" si="617">R677*S677</f>
        <v>150</v>
      </c>
      <c r="U677" s="183">
        <v>3</v>
      </c>
      <c r="V677" s="99">
        <v>3</v>
      </c>
      <c r="W677" s="98">
        <v>50</v>
      </c>
      <c r="X677" s="98">
        <v>3</v>
      </c>
      <c r="Y677" s="101">
        <f>W677*X677</f>
        <v>150</v>
      </c>
      <c r="Z677" s="101">
        <v>1</v>
      </c>
      <c r="AA677" s="183">
        <v>0</v>
      </c>
      <c r="AB677" s="99">
        <v>1</v>
      </c>
      <c r="AC677" s="98">
        <v>0</v>
      </c>
      <c r="AD677" s="98">
        <v>0</v>
      </c>
      <c r="AE677" s="101">
        <f t="shared" ref="AE677:AE683" si="618">AC677*AD677</f>
        <v>0</v>
      </c>
      <c r="AF677" s="98">
        <v>0</v>
      </c>
      <c r="AG677" s="98">
        <v>3</v>
      </c>
      <c r="AH677" s="99">
        <f t="shared" ref="AH677:AH683" si="619">AF677*AG677</f>
        <v>0</v>
      </c>
      <c r="AI677" s="101">
        <v>1</v>
      </c>
      <c r="AJ677" s="106"/>
    </row>
    <row r="678" spans="2:36" s="35" customFormat="1" ht="17.100000000000001" customHeight="1">
      <c r="B678" s="105"/>
      <c r="C678" s="54"/>
      <c r="D678" s="96"/>
      <c r="E678" s="111"/>
      <c r="F678" s="112"/>
      <c r="G678" s="113"/>
      <c r="H678" s="183">
        <v>1</v>
      </c>
      <c r="I678" s="98">
        <v>0</v>
      </c>
      <c r="J678" s="98">
        <v>0</v>
      </c>
      <c r="K678" s="101">
        <f t="shared" si="614"/>
        <v>0</v>
      </c>
      <c r="L678" s="100">
        <v>0</v>
      </c>
      <c r="M678" s="98">
        <v>0</v>
      </c>
      <c r="N678" s="101">
        <f t="shared" si="615"/>
        <v>0</v>
      </c>
      <c r="O678" s="100">
        <v>0</v>
      </c>
      <c r="P678" s="98">
        <v>0</v>
      </c>
      <c r="Q678" s="101">
        <f t="shared" si="616"/>
        <v>0</v>
      </c>
      <c r="R678" s="100">
        <v>0</v>
      </c>
      <c r="S678" s="98">
        <v>0</v>
      </c>
      <c r="T678" s="101">
        <f t="shared" si="617"/>
        <v>0</v>
      </c>
      <c r="U678" s="183">
        <v>1</v>
      </c>
      <c r="V678" s="99">
        <v>1</v>
      </c>
      <c r="W678" s="98">
        <v>0</v>
      </c>
      <c r="X678" s="98">
        <v>0</v>
      </c>
      <c r="Y678" s="101">
        <f t="shared" ref="Y678:Y683" si="620">W678*X678</f>
        <v>0</v>
      </c>
      <c r="Z678" s="101">
        <v>1</v>
      </c>
      <c r="AA678" s="183">
        <v>0</v>
      </c>
      <c r="AB678" s="99">
        <v>1</v>
      </c>
      <c r="AC678" s="98">
        <v>0</v>
      </c>
      <c r="AD678" s="98">
        <v>0</v>
      </c>
      <c r="AE678" s="101">
        <f t="shared" si="618"/>
        <v>0</v>
      </c>
      <c r="AF678" s="100">
        <v>0</v>
      </c>
      <c r="AG678" s="98">
        <v>0</v>
      </c>
      <c r="AH678" s="99">
        <f t="shared" si="619"/>
        <v>0</v>
      </c>
      <c r="AI678" s="101">
        <v>1</v>
      </c>
      <c r="AJ678" s="106"/>
    </row>
    <row r="679" spans="2:36" s="35" customFormat="1" ht="17.100000000000001" customHeight="1">
      <c r="B679" s="105"/>
      <c r="C679" s="54"/>
      <c r="D679" s="96"/>
      <c r="E679" s="111"/>
      <c r="F679" s="112"/>
      <c r="G679" s="113"/>
      <c r="H679" s="183">
        <v>1</v>
      </c>
      <c r="I679" s="98">
        <v>0</v>
      </c>
      <c r="J679" s="98">
        <v>0</v>
      </c>
      <c r="K679" s="101">
        <f t="shared" si="614"/>
        <v>0</v>
      </c>
      <c r="L679" s="100">
        <v>0</v>
      </c>
      <c r="M679" s="98">
        <v>0</v>
      </c>
      <c r="N679" s="101">
        <f t="shared" si="615"/>
        <v>0</v>
      </c>
      <c r="O679" s="100">
        <v>0</v>
      </c>
      <c r="P679" s="98">
        <v>0</v>
      </c>
      <c r="Q679" s="101">
        <f t="shared" si="616"/>
        <v>0</v>
      </c>
      <c r="R679" s="100">
        <v>0</v>
      </c>
      <c r="S679" s="98">
        <v>0</v>
      </c>
      <c r="T679" s="101">
        <f t="shared" si="617"/>
        <v>0</v>
      </c>
      <c r="U679" s="183">
        <v>1</v>
      </c>
      <c r="V679" s="99">
        <v>1</v>
      </c>
      <c r="W679" s="98">
        <v>0</v>
      </c>
      <c r="X679" s="98">
        <v>0</v>
      </c>
      <c r="Y679" s="101">
        <f t="shared" si="620"/>
        <v>0</v>
      </c>
      <c r="Z679" s="101">
        <v>1</v>
      </c>
      <c r="AA679" s="183">
        <v>0</v>
      </c>
      <c r="AB679" s="99">
        <v>1</v>
      </c>
      <c r="AC679" s="98">
        <v>0</v>
      </c>
      <c r="AD679" s="98">
        <v>0</v>
      </c>
      <c r="AE679" s="101">
        <f t="shared" si="618"/>
        <v>0</v>
      </c>
      <c r="AF679" s="100">
        <v>0</v>
      </c>
      <c r="AG679" s="98">
        <v>0</v>
      </c>
      <c r="AH679" s="99">
        <f t="shared" si="619"/>
        <v>0</v>
      </c>
      <c r="AI679" s="101">
        <v>1</v>
      </c>
      <c r="AJ679" s="106"/>
    </row>
    <row r="680" spans="2:36" s="35" customFormat="1" ht="17.100000000000001" customHeight="1">
      <c r="B680" s="105"/>
      <c r="C680" s="54"/>
      <c r="D680" s="96"/>
      <c r="E680" s="111"/>
      <c r="F680" s="112"/>
      <c r="G680" s="113"/>
      <c r="H680" s="183">
        <v>1</v>
      </c>
      <c r="I680" s="98">
        <v>0</v>
      </c>
      <c r="J680" s="98">
        <v>0</v>
      </c>
      <c r="K680" s="101">
        <f t="shared" si="614"/>
        <v>0</v>
      </c>
      <c r="L680" s="100">
        <v>0</v>
      </c>
      <c r="M680" s="98">
        <v>0</v>
      </c>
      <c r="N680" s="101">
        <f t="shared" si="615"/>
        <v>0</v>
      </c>
      <c r="O680" s="100">
        <v>0</v>
      </c>
      <c r="P680" s="98">
        <v>0</v>
      </c>
      <c r="Q680" s="101">
        <f t="shared" si="616"/>
        <v>0</v>
      </c>
      <c r="R680" s="100">
        <v>0</v>
      </c>
      <c r="S680" s="98">
        <v>0</v>
      </c>
      <c r="T680" s="101">
        <f t="shared" si="617"/>
        <v>0</v>
      </c>
      <c r="U680" s="183">
        <v>1</v>
      </c>
      <c r="V680" s="99">
        <v>1</v>
      </c>
      <c r="W680" s="98">
        <v>0</v>
      </c>
      <c r="X680" s="98">
        <v>0</v>
      </c>
      <c r="Y680" s="101">
        <f t="shared" si="620"/>
        <v>0</v>
      </c>
      <c r="Z680" s="101">
        <v>1</v>
      </c>
      <c r="AA680" s="183">
        <v>0</v>
      </c>
      <c r="AB680" s="99">
        <v>1</v>
      </c>
      <c r="AC680" s="98">
        <v>0</v>
      </c>
      <c r="AD680" s="98">
        <v>0</v>
      </c>
      <c r="AE680" s="101">
        <f t="shared" si="618"/>
        <v>0</v>
      </c>
      <c r="AF680" s="100">
        <v>0</v>
      </c>
      <c r="AG680" s="98">
        <v>0</v>
      </c>
      <c r="AH680" s="99">
        <f t="shared" si="619"/>
        <v>0</v>
      </c>
      <c r="AI680" s="101">
        <v>1</v>
      </c>
      <c r="AJ680" s="106"/>
    </row>
    <row r="681" spans="2:36" s="35" customFormat="1" ht="17.100000000000001" customHeight="1">
      <c r="B681" s="105"/>
      <c r="C681" s="54"/>
      <c r="D681" s="96"/>
      <c r="E681" s="111"/>
      <c r="F681" s="112"/>
      <c r="G681" s="113"/>
      <c r="H681" s="183">
        <v>1</v>
      </c>
      <c r="I681" s="98">
        <v>0</v>
      </c>
      <c r="J681" s="98">
        <v>0</v>
      </c>
      <c r="K681" s="101">
        <f t="shared" si="614"/>
        <v>0</v>
      </c>
      <c r="L681" s="100">
        <v>0</v>
      </c>
      <c r="M681" s="98">
        <v>0</v>
      </c>
      <c r="N681" s="101">
        <f t="shared" si="615"/>
        <v>0</v>
      </c>
      <c r="O681" s="100">
        <v>0</v>
      </c>
      <c r="P681" s="98">
        <v>0</v>
      </c>
      <c r="Q681" s="101">
        <f t="shared" si="616"/>
        <v>0</v>
      </c>
      <c r="R681" s="100">
        <v>0</v>
      </c>
      <c r="S681" s="98">
        <v>0</v>
      </c>
      <c r="T681" s="101">
        <f t="shared" si="617"/>
        <v>0</v>
      </c>
      <c r="U681" s="183">
        <v>1</v>
      </c>
      <c r="V681" s="99">
        <v>1</v>
      </c>
      <c r="W681" s="98">
        <v>0</v>
      </c>
      <c r="X681" s="98">
        <v>0</v>
      </c>
      <c r="Y681" s="101">
        <f t="shared" si="620"/>
        <v>0</v>
      </c>
      <c r="Z681" s="101">
        <v>1</v>
      </c>
      <c r="AA681" s="183">
        <v>0</v>
      </c>
      <c r="AB681" s="99">
        <v>1</v>
      </c>
      <c r="AC681" s="98">
        <v>0</v>
      </c>
      <c r="AD681" s="98">
        <v>0</v>
      </c>
      <c r="AE681" s="101">
        <f t="shared" si="618"/>
        <v>0</v>
      </c>
      <c r="AF681" s="100">
        <v>0</v>
      </c>
      <c r="AG681" s="98">
        <v>0</v>
      </c>
      <c r="AH681" s="99">
        <f t="shared" si="619"/>
        <v>0</v>
      </c>
      <c r="AI681" s="101">
        <v>1</v>
      </c>
      <c r="AJ681" s="106"/>
    </row>
    <row r="682" spans="2:36" s="35" customFormat="1" ht="17.100000000000001" customHeight="1">
      <c r="B682" s="105"/>
      <c r="C682" s="54"/>
      <c r="D682" s="96"/>
      <c r="E682" s="111"/>
      <c r="F682" s="112"/>
      <c r="G682" s="113"/>
      <c r="H682" s="183">
        <v>1</v>
      </c>
      <c r="I682" s="98">
        <v>0</v>
      </c>
      <c r="J682" s="98">
        <v>0</v>
      </c>
      <c r="K682" s="101">
        <f t="shared" si="614"/>
        <v>0</v>
      </c>
      <c r="L682" s="100">
        <v>0</v>
      </c>
      <c r="M682" s="98">
        <v>0</v>
      </c>
      <c r="N682" s="101">
        <f t="shared" si="615"/>
        <v>0</v>
      </c>
      <c r="O682" s="100">
        <v>0</v>
      </c>
      <c r="P682" s="98">
        <v>0</v>
      </c>
      <c r="Q682" s="101">
        <f t="shared" si="616"/>
        <v>0</v>
      </c>
      <c r="R682" s="100">
        <v>0</v>
      </c>
      <c r="S682" s="98">
        <v>0</v>
      </c>
      <c r="T682" s="101">
        <f t="shared" si="617"/>
        <v>0</v>
      </c>
      <c r="U682" s="183">
        <v>1</v>
      </c>
      <c r="V682" s="99">
        <v>1</v>
      </c>
      <c r="W682" s="98">
        <v>0</v>
      </c>
      <c r="X682" s="98">
        <v>0</v>
      </c>
      <c r="Y682" s="101">
        <f t="shared" si="620"/>
        <v>0</v>
      </c>
      <c r="Z682" s="101">
        <v>1</v>
      </c>
      <c r="AA682" s="183">
        <v>0</v>
      </c>
      <c r="AB682" s="99">
        <v>1</v>
      </c>
      <c r="AC682" s="98">
        <v>0</v>
      </c>
      <c r="AD682" s="98">
        <v>0</v>
      </c>
      <c r="AE682" s="101">
        <f t="shared" si="618"/>
        <v>0</v>
      </c>
      <c r="AF682" s="100">
        <v>0</v>
      </c>
      <c r="AG682" s="98">
        <v>0</v>
      </c>
      <c r="AH682" s="99">
        <f t="shared" si="619"/>
        <v>0</v>
      </c>
      <c r="AI682" s="101">
        <v>1</v>
      </c>
      <c r="AJ682" s="106"/>
    </row>
    <row r="683" spans="2:36" s="35" customFormat="1" ht="17.100000000000001" customHeight="1">
      <c r="B683" s="105"/>
      <c r="C683" s="54"/>
      <c r="D683" s="96"/>
      <c r="E683" s="111"/>
      <c r="F683" s="112"/>
      <c r="G683" s="113"/>
      <c r="H683" s="183">
        <v>1</v>
      </c>
      <c r="I683" s="98">
        <v>0</v>
      </c>
      <c r="J683" s="98">
        <v>0</v>
      </c>
      <c r="K683" s="101">
        <f t="shared" si="614"/>
        <v>0</v>
      </c>
      <c r="L683" s="100">
        <v>0</v>
      </c>
      <c r="M683" s="98">
        <v>0</v>
      </c>
      <c r="N683" s="101">
        <f t="shared" si="615"/>
        <v>0</v>
      </c>
      <c r="O683" s="100">
        <v>0</v>
      </c>
      <c r="P683" s="98">
        <v>0</v>
      </c>
      <c r="Q683" s="101">
        <f t="shared" si="616"/>
        <v>0</v>
      </c>
      <c r="R683" s="100">
        <v>0</v>
      </c>
      <c r="S683" s="98">
        <v>0</v>
      </c>
      <c r="T683" s="101">
        <f t="shared" si="617"/>
        <v>0</v>
      </c>
      <c r="U683" s="183">
        <v>1</v>
      </c>
      <c r="V683" s="99">
        <v>1</v>
      </c>
      <c r="W683" s="98">
        <v>0</v>
      </c>
      <c r="X683" s="98">
        <v>0</v>
      </c>
      <c r="Y683" s="101">
        <f t="shared" si="620"/>
        <v>0</v>
      </c>
      <c r="Z683" s="101">
        <v>1</v>
      </c>
      <c r="AA683" s="183">
        <v>0</v>
      </c>
      <c r="AB683" s="99">
        <v>1</v>
      </c>
      <c r="AC683" s="98">
        <v>0</v>
      </c>
      <c r="AD683" s="98">
        <v>0</v>
      </c>
      <c r="AE683" s="101">
        <f t="shared" si="618"/>
        <v>0</v>
      </c>
      <c r="AF683" s="100">
        <v>0</v>
      </c>
      <c r="AG683" s="98">
        <v>0</v>
      </c>
      <c r="AH683" s="99">
        <f t="shared" si="619"/>
        <v>0</v>
      </c>
      <c r="AI683" s="101">
        <v>1</v>
      </c>
      <c r="AJ683" s="106"/>
    </row>
    <row r="684" spans="2:36" s="126" customFormat="1" ht="17.100000000000001" customHeight="1">
      <c r="B684" s="118"/>
      <c r="C684" s="119"/>
      <c r="D684" s="120"/>
      <c r="E684" s="121"/>
      <c r="F684" s="122"/>
      <c r="G684" s="123"/>
      <c r="H684" s="183">
        <v>1</v>
      </c>
      <c r="I684" s="363" t="s">
        <v>201</v>
      </c>
      <c r="J684" s="363"/>
      <c r="K684" s="124">
        <f>SUM(K677:K683)</f>
        <v>0</v>
      </c>
      <c r="L684" s="341" t="s">
        <v>201</v>
      </c>
      <c r="M684" s="342"/>
      <c r="N684" s="124">
        <f>SUM(N677:N683)</f>
        <v>0</v>
      </c>
      <c r="O684" s="341" t="s">
        <v>201</v>
      </c>
      <c r="P684" s="342"/>
      <c r="Q684" s="124">
        <f>SUM(Q677:Q683)</f>
        <v>0</v>
      </c>
      <c r="R684" s="341" t="s">
        <v>201</v>
      </c>
      <c r="S684" s="342"/>
      <c r="T684" s="124">
        <f>SUM(T677:T683)</f>
        <v>150</v>
      </c>
      <c r="U684" s="183">
        <v>1</v>
      </c>
      <c r="V684" s="99">
        <v>1</v>
      </c>
      <c r="W684" s="363" t="s">
        <v>201</v>
      </c>
      <c r="X684" s="363"/>
      <c r="Y684" s="124">
        <f>SUM(Y677:Y683)</f>
        <v>150</v>
      </c>
      <c r="Z684" s="101">
        <v>1</v>
      </c>
      <c r="AA684" s="183">
        <v>0</v>
      </c>
      <c r="AB684" s="99">
        <v>1</v>
      </c>
      <c r="AC684" s="363" t="s">
        <v>201</v>
      </c>
      <c r="AD684" s="363"/>
      <c r="AE684" s="124">
        <f>SUM(AE677:AE683)</f>
        <v>0</v>
      </c>
      <c r="AF684" s="364" t="s">
        <v>201</v>
      </c>
      <c r="AG684" s="363"/>
      <c r="AH684" s="143">
        <f>SUM(AH677:AH683)</f>
        <v>0</v>
      </c>
      <c r="AI684" s="101">
        <v>1</v>
      </c>
      <c r="AJ684" s="125"/>
    </row>
    <row r="685" spans="2:36" s="35" customFormat="1" ht="16.95" customHeight="1">
      <c r="B685" s="105"/>
      <c r="C685" s="54">
        <f>'3. Rekap Back Up Non Aspal '!C106</f>
        <v>12600</v>
      </c>
      <c r="D685" s="96">
        <f>'3. Rekap Back Up Non Aspal '!D106</f>
        <v>12700</v>
      </c>
      <c r="E685" s="111">
        <f>'3. Rekap Back Up Non Aspal '!E106</f>
        <v>3</v>
      </c>
      <c r="F685" s="112">
        <f>(100/((D685-C685)*E685))*((K692*0.05)+(N692*0.05)+(Q692*0.05)+(T692)+(Y692)+(AE692*1.5)+(AH692*1))</f>
        <v>100</v>
      </c>
      <c r="G685" s="113" t="str">
        <f>IF(F685&lt;=25,"RB",IF(F685&lt;=75,"RB",IF(F685&lt;=100,"RB","RB")))</f>
        <v>RB</v>
      </c>
      <c r="H685" s="183">
        <v>1</v>
      </c>
      <c r="I685" s="98">
        <v>0</v>
      </c>
      <c r="J685" s="98">
        <v>0</v>
      </c>
      <c r="K685" s="101">
        <f t="shared" ref="K685:K691" si="621">I685*J685</f>
        <v>0</v>
      </c>
      <c r="L685" s="98">
        <v>0</v>
      </c>
      <c r="M685" s="98">
        <v>0</v>
      </c>
      <c r="N685" s="101">
        <f t="shared" ref="N685:N691" si="622">L685*M685</f>
        <v>0</v>
      </c>
      <c r="O685" s="98">
        <v>0</v>
      </c>
      <c r="P685" s="98">
        <v>0</v>
      </c>
      <c r="Q685" s="101">
        <f t="shared" ref="Q685:Q691" si="623">O685*P685</f>
        <v>0</v>
      </c>
      <c r="R685" s="98">
        <v>50</v>
      </c>
      <c r="S685" s="98">
        <v>3</v>
      </c>
      <c r="T685" s="101">
        <f t="shared" ref="T685:T691" si="624">R685*S685</f>
        <v>150</v>
      </c>
      <c r="U685" s="183">
        <v>5</v>
      </c>
      <c r="V685" s="99">
        <v>3</v>
      </c>
      <c r="W685" s="98">
        <v>50</v>
      </c>
      <c r="X685" s="98">
        <v>3</v>
      </c>
      <c r="Y685" s="101">
        <f>W685*X685</f>
        <v>150</v>
      </c>
      <c r="Z685" s="101">
        <v>1</v>
      </c>
      <c r="AA685" s="183">
        <v>0</v>
      </c>
      <c r="AB685" s="99">
        <v>1</v>
      </c>
      <c r="AC685" s="98">
        <v>0</v>
      </c>
      <c r="AD685" s="98">
        <v>0</v>
      </c>
      <c r="AE685" s="101">
        <f t="shared" ref="AE685:AE691" si="625">AC685*AD685</f>
        <v>0</v>
      </c>
      <c r="AF685" s="98">
        <v>0</v>
      </c>
      <c r="AG685" s="98">
        <v>3</v>
      </c>
      <c r="AH685" s="99">
        <f t="shared" ref="AH685:AH691" si="626">AF685*AG685</f>
        <v>0</v>
      </c>
      <c r="AI685" s="101">
        <v>1</v>
      </c>
      <c r="AJ685" s="106"/>
    </row>
    <row r="686" spans="2:36" s="35" customFormat="1" ht="17.100000000000001" customHeight="1">
      <c r="B686" s="105"/>
      <c r="C686" s="54"/>
      <c r="D686" s="96"/>
      <c r="E686" s="111"/>
      <c r="F686" s="112"/>
      <c r="G686" s="113"/>
      <c r="H686" s="183">
        <v>1</v>
      </c>
      <c r="I686" s="98">
        <v>0</v>
      </c>
      <c r="J686" s="98">
        <v>0</v>
      </c>
      <c r="K686" s="101">
        <f t="shared" si="621"/>
        <v>0</v>
      </c>
      <c r="L686" s="100">
        <v>0</v>
      </c>
      <c r="M686" s="98">
        <v>0</v>
      </c>
      <c r="N686" s="101">
        <f t="shared" si="622"/>
        <v>0</v>
      </c>
      <c r="O686" s="100">
        <v>0</v>
      </c>
      <c r="P686" s="98">
        <v>0</v>
      </c>
      <c r="Q686" s="101">
        <f t="shared" si="623"/>
        <v>0</v>
      </c>
      <c r="R686" s="100">
        <v>0</v>
      </c>
      <c r="S686" s="98">
        <v>0</v>
      </c>
      <c r="T686" s="101">
        <f t="shared" si="624"/>
        <v>0</v>
      </c>
      <c r="U686" s="183">
        <v>1</v>
      </c>
      <c r="V686" s="99">
        <v>1</v>
      </c>
      <c r="W686" s="98">
        <v>0</v>
      </c>
      <c r="X686" s="98">
        <v>0</v>
      </c>
      <c r="Y686" s="101">
        <f t="shared" ref="Y686:Y691" si="627">W686*X686</f>
        <v>0</v>
      </c>
      <c r="Z686" s="101">
        <v>1</v>
      </c>
      <c r="AA686" s="183">
        <v>0</v>
      </c>
      <c r="AB686" s="99">
        <v>1</v>
      </c>
      <c r="AC686" s="98">
        <v>0</v>
      </c>
      <c r="AD686" s="98">
        <v>0</v>
      </c>
      <c r="AE686" s="101">
        <f t="shared" si="625"/>
        <v>0</v>
      </c>
      <c r="AF686" s="100">
        <v>0</v>
      </c>
      <c r="AG686" s="98">
        <v>0</v>
      </c>
      <c r="AH686" s="99">
        <f t="shared" si="626"/>
        <v>0</v>
      </c>
      <c r="AI686" s="101">
        <v>1</v>
      </c>
      <c r="AJ686" s="106"/>
    </row>
    <row r="687" spans="2:36" s="35" customFormat="1" ht="17.100000000000001" customHeight="1">
      <c r="B687" s="105"/>
      <c r="C687" s="54"/>
      <c r="D687" s="96"/>
      <c r="E687" s="111"/>
      <c r="F687" s="112"/>
      <c r="G687" s="113"/>
      <c r="H687" s="183">
        <v>1</v>
      </c>
      <c r="I687" s="98">
        <v>0</v>
      </c>
      <c r="J687" s="98">
        <v>0</v>
      </c>
      <c r="K687" s="101">
        <f t="shared" si="621"/>
        <v>0</v>
      </c>
      <c r="L687" s="100">
        <v>0</v>
      </c>
      <c r="M687" s="98">
        <v>0</v>
      </c>
      <c r="N687" s="101">
        <f t="shared" si="622"/>
        <v>0</v>
      </c>
      <c r="O687" s="100">
        <v>0</v>
      </c>
      <c r="P687" s="98">
        <v>0</v>
      </c>
      <c r="Q687" s="101">
        <f t="shared" si="623"/>
        <v>0</v>
      </c>
      <c r="R687" s="100">
        <v>0</v>
      </c>
      <c r="S687" s="98">
        <v>0</v>
      </c>
      <c r="T687" s="101">
        <f t="shared" si="624"/>
        <v>0</v>
      </c>
      <c r="U687" s="183">
        <v>1</v>
      </c>
      <c r="V687" s="99">
        <v>1</v>
      </c>
      <c r="W687" s="98">
        <v>0</v>
      </c>
      <c r="X687" s="98">
        <v>0</v>
      </c>
      <c r="Y687" s="101">
        <f t="shared" si="627"/>
        <v>0</v>
      </c>
      <c r="Z687" s="101">
        <v>1</v>
      </c>
      <c r="AA687" s="183">
        <v>0</v>
      </c>
      <c r="AB687" s="99">
        <v>1</v>
      </c>
      <c r="AC687" s="98">
        <v>0</v>
      </c>
      <c r="AD687" s="98">
        <v>0</v>
      </c>
      <c r="AE687" s="101">
        <f t="shared" si="625"/>
        <v>0</v>
      </c>
      <c r="AF687" s="100">
        <v>0</v>
      </c>
      <c r="AG687" s="98">
        <v>0</v>
      </c>
      <c r="AH687" s="99">
        <f t="shared" si="626"/>
        <v>0</v>
      </c>
      <c r="AI687" s="101">
        <v>1</v>
      </c>
      <c r="AJ687" s="106"/>
    </row>
    <row r="688" spans="2:36" s="35" customFormat="1" ht="17.100000000000001" customHeight="1">
      <c r="B688" s="105"/>
      <c r="C688" s="54"/>
      <c r="D688" s="96"/>
      <c r="E688" s="111"/>
      <c r="F688" s="112"/>
      <c r="G688" s="113"/>
      <c r="H688" s="183">
        <v>1</v>
      </c>
      <c r="I688" s="98">
        <v>0</v>
      </c>
      <c r="J688" s="98">
        <v>0</v>
      </c>
      <c r="K688" s="101">
        <f t="shared" si="621"/>
        <v>0</v>
      </c>
      <c r="L688" s="100">
        <v>0</v>
      </c>
      <c r="M688" s="98">
        <v>0</v>
      </c>
      <c r="N688" s="101">
        <f t="shared" si="622"/>
        <v>0</v>
      </c>
      <c r="O688" s="100">
        <v>0</v>
      </c>
      <c r="P688" s="98">
        <v>0</v>
      </c>
      <c r="Q688" s="101">
        <f t="shared" si="623"/>
        <v>0</v>
      </c>
      <c r="R688" s="100">
        <v>0</v>
      </c>
      <c r="S688" s="98">
        <v>0</v>
      </c>
      <c r="T688" s="101">
        <f t="shared" si="624"/>
        <v>0</v>
      </c>
      <c r="U688" s="183">
        <v>1</v>
      </c>
      <c r="V688" s="99">
        <v>1</v>
      </c>
      <c r="W688" s="98">
        <v>0</v>
      </c>
      <c r="X688" s="98">
        <v>0</v>
      </c>
      <c r="Y688" s="101">
        <f t="shared" si="627"/>
        <v>0</v>
      </c>
      <c r="Z688" s="101">
        <v>1</v>
      </c>
      <c r="AA688" s="183">
        <v>0</v>
      </c>
      <c r="AB688" s="99">
        <v>1</v>
      </c>
      <c r="AC688" s="98">
        <v>0</v>
      </c>
      <c r="AD688" s="98">
        <v>0</v>
      </c>
      <c r="AE688" s="101">
        <f t="shared" si="625"/>
        <v>0</v>
      </c>
      <c r="AF688" s="100">
        <v>0</v>
      </c>
      <c r="AG688" s="98">
        <v>0</v>
      </c>
      <c r="AH688" s="99">
        <f t="shared" si="626"/>
        <v>0</v>
      </c>
      <c r="AI688" s="101">
        <v>1</v>
      </c>
      <c r="AJ688" s="106"/>
    </row>
    <row r="689" spans="2:36" s="35" customFormat="1" ht="17.100000000000001" customHeight="1">
      <c r="B689" s="105"/>
      <c r="C689" s="54"/>
      <c r="D689" s="96"/>
      <c r="E689" s="111"/>
      <c r="F689" s="112"/>
      <c r="G689" s="113"/>
      <c r="H689" s="183">
        <v>1</v>
      </c>
      <c r="I689" s="98">
        <v>0</v>
      </c>
      <c r="J689" s="98">
        <v>0</v>
      </c>
      <c r="K689" s="101">
        <f t="shared" si="621"/>
        <v>0</v>
      </c>
      <c r="L689" s="100">
        <v>0</v>
      </c>
      <c r="M689" s="98">
        <v>0</v>
      </c>
      <c r="N689" s="101">
        <f t="shared" si="622"/>
        <v>0</v>
      </c>
      <c r="O689" s="100">
        <v>0</v>
      </c>
      <c r="P689" s="98">
        <v>0</v>
      </c>
      <c r="Q689" s="101">
        <f t="shared" si="623"/>
        <v>0</v>
      </c>
      <c r="R689" s="100">
        <v>0</v>
      </c>
      <c r="S689" s="98">
        <v>0</v>
      </c>
      <c r="T689" s="101">
        <f t="shared" si="624"/>
        <v>0</v>
      </c>
      <c r="U689" s="183">
        <v>1</v>
      </c>
      <c r="V689" s="99">
        <v>1</v>
      </c>
      <c r="W689" s="98">
        <v>0</v>
      </c>
      <c r="X689" s="98">
        <v>0</v>
      </c>
      <c r="Y689" s="101">
        <f t="shared" si="627"/>
        <v>0</v>
      </c>
      <c r="Z689" s="101">
        <v>1</v>
      </c>
      <c r="AA689" s="183">
        <v>0</v>
      </c>
      <c r="AB689" s="99">
        <v>1</v>
      </c>
      <c r="AC689" s="98">
        <v>0</v>
      </c>
      <c r="AD689" s="98">
        <v>0</v>
      </c>
      <c r="AE689" s="101">
        <f t="shared" si="625"/>
        <v>0</v>
      </c>
      <c r="AF689" s="100">
        <v>0</v>
      </c>
      <c r="AG689" s="98">
        <v>0</v>
      </c>
      <c r="AH689" s="99">
        <f t="shared" si="626"/>
        <v>0</v>
      </c>
      <c r="AI689" s="101">
        <v>1</v>
      </c>
      <c r="AJ689" s="106"/>
    </row>
    <row r="690" spans="2:36" s="35" customFormat="1" ht="17.100000000000001" customHeight="1">
      <c r="B690" s="105"/>
      <c r="C690" s="54"/>
      <c r="D690" s="96"/>
      <c r="E690" s="111"/>
      <c r="F690" s="112"/>
      <c r="G690" s="113"/>
      <c r="H690" s="183">
        <v>1</v>
      </c>
      <c r="I690" s="98">
        <v>0</v>
      </c>
      <c r="J690" s="98">
        <v>0</v>
      </c>
      <c r="K690" s="101">
        <f t="shared" si="621"/>
        <v>0</v>
      </c>
      <c r="L690" s="100">
        <v>0</v>
      </c>
      <c r="M690" s="98">
        <v>0</v>
      </c>
      <c r="N690" s="101">
        <f t="shared" si="622"/>
        <v>0</v>
      </c>
      <c r="O690" s="100">
        <v>0</v>
      </c>
      <c r="P690" s="98">
        <v>0</v>
      </c>
      <c r="Q690" s="101">
        <f t="shared" si="623"/>
        <v>0</v>
      </c>
      <c r="R690" s="100">
        <v>0</v>
      </c>
      <c r="S690" s="98">
        <v>0</v>
      </c>
      <c r="T690" s="101">
        <f t="shared" si="624"/>
        <v>0</v>
      </c>
      <c r="U690" s="183">
        <v>1</v>
      </c>
      <c r="V690" s="99">
        <v>1</v>
      </c>
      <c r="W690" s="98">
        <v>0</v>
      </c>
      <c r="X690" s="98">
        <v>0</v>
      </c>
      <c r="Y690" s="101">
        <f t="shared" si="627"/>
        <v>0</v>
      </c>
      <c r="Z690" s="101">
        <v>1</v>
      </c>
      <c r="AA690" s="183">
        <v>0</v>
      </c>
      <c r="AB690" s="99">
        <v>1</v>
      </c>
      <c r="AC690" s="98">
        <v>0</v>
      </c>
      <c r="AD690" s="98">
        <v>0</v>
      </c>
      <c r="AE690" s="101">
        <f t="shared" si="625"/>
        <v>0</v>
      </c>
      <c r="AF690" s="100">
        <v>0</v>
      </c>
      <c r="AG690" s="98">
        <v>0</v>
      </c>
      <c r="AH690" s="99">
        <f t="shared" si="626"/>
        <v>0</v>
      </c>
      <c r="AI690" s="101">
        <v>1</v>
      </c>
      <c r="AJ690" s="106"/>
    </row>
    <row r="691" spans="2:36" s="35" customFormat="1" ht="17.100000000000001" customHeight="1">
      <c r="B691" s="105"/>
      <c r="C691" s="54"/>
      <c r="D691" s="96"/>
      <c r="E691" s="111"/>
      <c r="F691" s="112"/>
      <c r="G691" s="113"/>
      <c r="H691" s="183">
        <v>1</v>
      </c>
      <c r="I691" s="98">
        <v>0</v>
      </c>
      <c r="J691" s="98">
        <v>0</v>
      </c>
      <c r="K691" s="101">
        <f t="shared" si="621"/>
        <v>0</v>
      </c>
      <c r="L691" s="100">
        <v>0</v>
      </c>
      <c r="M691" s="98">
        <v>0</v>
      </c>
      <c r="N691" s="101">
        <f t="shared" si="622"/>
        <v>0</v>
      </c>
      <c r="O691" s="100">
        <v>0</v>
      </c>
      <c r="P691" s="98">
        <v>0</v>
      </c>
      <c r="Q691" s="101">
        <f t="shared" si="623"/>
        <v>0</v>
      </c>
      <c r="R691" s="100">
        <v>0</v>
      </c>
      <c r="S691" s="98">
        <v>0</v>
      </c>
      <c r="T691" s="101">
        <f t="shared" si="624"/>
        <v>0</v>
      </c>
      <c r="U691" s="183">
        <v>1</v>
      </c>
      <c r="V691" s="99">
        <v>1</v>
      </c>
      <c r="W691" s="98">
        <v>0</v>
      </c>
      <c r="X691" s="98">
        <v>0</v>
      </c>
      <c r="Y691" s="101">
        <f t="shared" si="627"/>
        <v>0</v>
      </c>
      <c r="Z691" s="101">
        <v>1</v>
      </c>
      <c r="AA691" s="183">
        <v>0</v>
      </c>
      <c r="AB691" s="99">
        <v>1</v>
      </c>
      <c r="AC691" s="98">
        <v>0</v>
      </c>
      <c r="AD691" s="98">
        <v>0</v>
      </c>
      <c r="AE691" s="101">
        <f t="shared" si="625"/>
        <v>0</v>
      </c>
      <c r="AF691" s="100">
        <v>0</v>
      </c>
      <c r="AG691" s="98">
        <v>0</v>
      </c>
      <c r="AH691" s="99">
        <f t="shared" si="626"/>
        <v>0</v>
      </c>
      <c r="AI691" s="101">
        <v>1</v>
      </c>
      <c r="AJ691" s="106"/>
    </row>
    <row r="692" spans="2:36" s="126" customFormat="1" ht="17.100000000000001" customHeight="1" thickBot="1">
      <c r="B692" s="128"/>
      <c r="C692" s="154"/>
      <c r="D692" s="155"/>
      <c r="E692" s="156"/>
      <c r="F692" s="129"/>
      <c r="G692" s="130"/>
      <c r="H692" s="184">
        <v>1</v>
      </c>
      <c r="I692" s="361" t="s">
        <v>201</v>
      </c>
      <c r="J692" s="361"/>
      <c r="K692" s="131">
        <f>SUM(K685:K691)</f>
        <v>0</v>
      </c>
      <c r="L692" s="344" t="s">
        <v>201</v>
      </c>
      <c r="M692" s="345"/>
      <c r="N692" s="131">
        <f>SUM(N685:N691)</f>
        <v>0</v>
      </c>
      <c r="O692" s="344" t="s">
        <v>201</v>
      </c>
      <c r="P692" s="345"/>
      <c r="Q692" s="131">
        <f>SUM(Q685:Q691)</f>
        <v>0</v>
      </c>
      <c r="R692" s="344" t="s">
        <v>201</v>
      </c>
      <c r="S692" s="345"/>
      <c r="T692" s="131">
        <f>SUM(T685:T691)</f>
        <v>150</v>
      </c>
      <c r="U692" s="184">
        <v>1</v>
      </c>
      <c r="V692" s="160">
        <v>1</v>
      </c>
      <c r="W692" s="361" t="s">
        <v>201</v>
      </c>
      <c r="X692" s="361"/>
      <c r="Y692" s="131">
        <f>SUM(Y685:Y691)</f>
        <v>150</v>
      </c>
      <c r="Z692" s="133">
        <v>1</v>
      </c>
      <c r="AA692" s="184">
        <v>0</v>
      </c>
      <c r="AB692" s="160">
        <v>1</v>
      </c>
      <c r="AC692" s="361" t="s">
        <v>201</v>
      </c>
      <c r="AD692" s="361"/>
      <c r="AE692" s="131">
        <f>SUM(AE685:AE691)</f>
        <v>0</v>
      </c>
      <c r="AF692" s="362" t="s">
        <v>201</v>
      </c>
      <c r="AG692" s="361"/>
      <c r="AH692" s="144">
        <f>SUM(AH685:AH691)</f>
        <v>0</v>
      </c>
      <c r="AI692" s="133">
        <v>1</v>
      </c>
      <c r="AJ692" s="134"/>
    </row>
    <row r="693" spans="2:36" s="35" customFormat="1" ht="16.95" customHeight="1">
      <c r="B693" s="114"/>
      <c r="C693" s="157">
        <f>'3. Rekap Back Up Non Aspal '!C107</f>
        <v>12700</v>
      </c>
      <c r="D693" s="158">
        <f>'3. Rekap Back Up Non Aspal '!D107</f>
        <v>12800</v>
      </c>
      <c r="E693" s="159">
        <f>'3. Rekap Back Up Non Aspal '!E107</f>
        <v>3</v>
      </c>
      <c r="F693" s="115">
        <f>(100/((D693-C693)*E693))*((K700*0.05)+(N700*0.05)+(Q700*0.05)+(T700)+(Y700)+(AE700*1.5)+(AH700*1))</f>
        <v>100</v>
      </c>
      <c r="G693" s="116" t="str">
        <f>IF(F693&lt;=25,"RB",IF(F693&lt;=75,"RB",IF(F693&lt;=100,"RB","RB")))</f>
        <v>RB</v>
      </c>
      <c r="H693" s="185">
        <v>1</v>
      </c>
      <c r="I693" s="136">
        <v>0</v>
      </c>
      <c r="J693" s="136">
        <v>0</v>
      </c>
      <c r="K693" s="137">
        <f t="shared" ref="K693:K699" si="628">I693*J693</f>
        <v>0</v>
      </c>
      <c r="L693" s="136">
        <v>0</v>
      </c>
      <c r="M693" s="136">
        <v>0</v>
      </c>
      <c r="N693" s="137">
        <f t="shared" ref="N693:N699" si="629">L693*M693</f>
        <v>0</v>
      </c>
      <c r="O693" s="136">
        <v>0</v>
      </c>
      <c r="P693" s="136">
        <v>3</v>
      </c>
      <c r="Q693" s="137">
        <f t="shared" ref="Q693:Q699" si="630">O693*P693</f>
        <v>0</v>
      </c>
      <c r="R693" s="136">
        <v>0</v>
      </c>
      <c r="S693" s="136">
        <v>0</v>
      </c>
      <c r="T693" s="137">
        <f t="shared" ref="T693:T699" si="631">R693*S693</f>
        <v>0</v>
      </c>
      <c r="U693" s="185">
        <v>3</v>
      </c>
      <c r="V693" s="138">
        <v>3</v>
      </c>
      <c r="W693" s="136">
        <v>100</v>
      </c>
      <c r="X693" s="136">
        <v>3</v>
      </c>
      <c r="Y693" s="137">
        <f>W693*X693</f>
        <v>300</v>
      </c>
      <c r="Z693" s="137">
        <v>1</v>
      </c>
      <c r="AA693" s="185">
        <v>0</v>
      </c>
      <c r="AB693" s="138">
        <v>1</v>
      </c>
      <c r="AC693" s="136">
        <v>0</v>
      </c>
      <c r="AD693" s="136">
        <v>0</v>
      </c>
      <c r="AE693" s="137">
        <f t="shared" ref="AE693:AE699" si="632">AC693*AD693</f>
        <v>0</v>
      </c>
      <c r="AF693" s="136">
        <v>0</v>
      </c>
      <c r="AG693" s="136">
        <v>0</v>
      </c>
      <c r="AH693" s="138">
        <f t="shared" ref="AH693:AH699" si="633">AF693*AG693</f>
        <v>0</v>
      </c>
      <c r="AI693" s="137">
        <v>1</v>
      </c>
      <c r="AJ693" s="139"/>
    </row>
    <row r="694" spans="2:36" s="35" customFormat="1" ht="17.100000000000001" customHeight="1">
      <c r="B694" s="105"/>
      <c r="C694" s="54"/>
      <c r="D694" s="96"/>
      <c r="E694" s="111"/>
      <c r="F694" s="112"/>
      <c r="G694" s="113"/>
      <c r="H694" s="183">
        <v>1</v>
      </c>
      <c r="I694" s="98">
        <v>0</v>
      </c>
      <c r="J694" s="98">
        <v>0</v>
      </c>
      <c r="K694" s="101">
        <f t="shared" si="628"/>
        <v>0</v>
      </c>
      <c r="L694" s="100">
        <v>0</v>
      </c>
      <c r="M694" s="98">
        <v>0</v>
      </c>
      <c r="N694" s="101">
        <f t="shared" si="629"/>
        <v>0</v>
      </c>
      <c r="O694" s="100">
        <v>0</v>
      </c>
      <c r="P694" s="98">
        <v>0</v>
      </c>
      <c r="Q694" s="101">
        <f t="shared" si="630"/>
        <v>0</v>
      </c>
      <c r="R694" s="100">
        <v>0</v>
      </c>
      <c r="S694" s="98">
        <v>0</v>
      </c>
      <c r="T694" s="101">
        <f t="shared" si="631"/>
        <v>0</v>
      </c>
      <c r="U694" s="183">
        <v>1</v>
      </c>
      <c r="V694" s="99">
        <v>1</v>
      </c>
      <c r="W694" s="98">
        <v>0</v>
      </c>
      <c r="X694" s="98">
        <v>0</v>
      </c>
      <c r="Y694" s="101">
        <f t="shared" ref="Y694:Y699" si="634">W694*X694</f>
        <v>0</v>
      </c>
      <c r="Z694" s="101">
        <v>1</v>
      </c>
      <c r="AA694" s="183">
        <v>0</v>
      </c>
      <c r="AB694" s="99">
        <v>1</v>
      </c>
      <c r="AC694" s="98">
        <v>0</v>
      </c>
      <c r="AD694" s="98">
        <v>0</v>
      </c>
      <c r="AE694" s="101">
        <f t="shared" si="632"/>
        <v>0</v>
      </c>
      <c r="AF694" s="100">
        <v>0</v>
      </c>
      <c r="AG694" s="98">
        <v>0</v>
      </c>
      <c r="AH694" s="99">
        <f t="shared" si="633"/>
        <v>0</v>
      </c>
      <c r="AI694" s="101">
        <v>1</v>
      </c>
      <c r="AJ694" s="106"/>
    </row>
    <row r="695" spans="2:36" s="35" customFormat="1" ht="17.100000000000001" customHeight="1">
      <c r="B695" s="105"/>
      <c r="C695" s="54"/>
      <c r="D695" s="96"/>
      <c r="E695" s="111"/>
      <c r="F695" s="112"/>
      <c r="G695" s="113"/>
      <c r="H695" s="183">
        <v>1</v>
      </c>
      <c r="I695" s="98">
        <v>0</v>
      </c>
      <c r="J695" s="98">
        <v>0</v>
      </c>
      <c r="K695" s="101">
        <f t="shared" si="628"/>
        <v>0</v>
      </c>
      <c r="L695" s="100">
        <v>0</v>
      </c>
      <c r="M695" s="98">
        <v>0</v>
      </c>
      <c r="N695" s="101">
        <f t="shared" si="629"/>
        <v>0</v>
      </c>
      <c r="O695" s="100">
        <v>0</v>
      </c>
      <c r="P695" s="98">
        <v>0</v>
      </c>
      <c r="Q695" s="101">
        <f t="shared" si="630"/>
        <v>0</v>
      </c>
      <c r="R695" s="100">
        <v>0</v>
      </c>
      <c r="S695" s="98">
        <v>0</v>
      </c>
      <c r="T695" s="101">
        <f t="shared" si="631"/>
        <v>0</v>
      </c>
      <c r="U695" s="183">
        <v>1</v>
      </c>
      <c r="V695" s="99">
        <v>1</v>
      </c>
      <c r="W695" s="98">
        <v>0</v>
      </c>
      <c r="X695" s="98">
        <v>0</v>
      </c>
      <c r="Y695" s="101">
        <f t="shared" si="634"/>
        <v>0</v>
      </c>
      <c r="Z695" s="101">
        <v>1</v>
      </c>
      <c r="AA695" s="183">
        <v>0</v>
      </c>
      <c r="AB695" s="99">
        <v>1</v>
      </c>
      <c r="AC695" s="98">
        <v>0</v>
      </c>
      <c r="AD695" s="98">
        <v>0</v>
      </c>
      <c r="AE695" s="101">
        <f t="shared" si="632"/>
        <v>0</v>
      </c>
      <c r="AF695" s="100">
        <v>0</v>
      </c>
      <c r="AG695" s="98">
        <v>0</v>
      </c>
      <c r="AH695" s="99">
        <f t="shared" si="633"/>
        <v>0</v>
      </c>
      <c r="AI695" s="101">
        <v>1</v>
      </c>
      <c r="AJ695" s="106"/>
    </row>
    <row r="696" spans="2:36" s="35" customFormat="1" ht="17.100000000000001" customHeight="1">
      <c r="B696" s="105"/>
      <c r="C696" s="54"/>
      <c r="D696" s="96"/>
      <c r="E696" s="111"/>
      <c r="F696" s="112"/>
      <c r="G696" s="113"/>
      <c r="H696" s="183">
        <v>1</v>
      </c>
      <c r="I696" s="98">
        <v>0</v>
      </c>
      <c r="J696" s="98">
        <v>0</v>
      </c>
      <c r="K696" s="101">
        <f t="shared" si="628"/>
        <v>0</v>
      </c>
      <c r="L696" s="100">
        <v>0</v>
      </c>
      <c r="M696" s="98">
        <v>0</v>
      </c>
      <c r="N696" s="101">
        <f t="shared" si="629"/>
        <v>0</v>
      </c>
      <c r="O696" s="100">
        <v>0</v>
      </c>
      <c r="P696" s="98">
        <v>0</v>
      </c>
      <c r="Q696" s="101">
        <f t="shared" si="630"/>
        <v>0</v>
      </c>
      <c r="R696" s="100">
        <v>0</v>
      </c>
      <c r="S696" s="98">
        <v>0</v>
      </c>
      <c r="T696" s="101">
        <f t="shared" si="631"/>
        <v>0</v>
      </c>
      <c r="U696" s="183">
        <v>1</v>
      </c>
      <c r="V696" s="99">
        <v>1</v>
      </c>
      <c r="W696" s="98">
        <v>0</v>
      </c>
      <c r="X696" s="98">
        <v>0</v>
      </c>
      <c r="Y696" s="101">
        <f t="shared" si="634"/>
        <v>0</v>
      </c>
      <c r="Z696" s="101">
        <v>1</v>
      </c>
      <c r="AA696" s="183">
        <v>0</v>
      </c>
      <c r="AB696" s="99">
        <v>1</v>
      </c>
      <c r="AC696" s="98">
        <v>0</v>
      </c>
      <c r="AD696" s="98">
        <v>0</v>
      </c>
      <c r="AE696" s="101">
        <f t="shared" si="632"/>
        <v>0</v>
      </c>
      <c r="AF696" s="100">
        <v>0</v>
      </c>
      <c r="AG696" s="98">
        <v>0</v>
      </c>
      <c r="AH696" s="99">
        <f t="shared" si="633"/>
        <v>0</v>
      </c>
      <c r="AI696" s="101">
        <v>1</v>
      </c>
      <c r="AJ696" s="106"/>
    </row>
    <row r="697" spans="2:36" s="35" customFormat="1" ht="17.100000000000001" customHeight="1">
      <c r="B697" s="105"/>
      <c r="C697" s="54"/>
      <c r="D697" s="96"/>
      <c r="E697" s="111"/>
      <c r="F697" s="112"/>
      <c r="G697" s="113"/>
      <c r="H697" s="183">
        <v>1</v>
      </c>
      <c r="I697" s="98">
        <v>0</v>
      </c>
      <c r="J697" s="98">
        <v>0</v>
      </c>
      <c r="K697" s="101">
        <f t="shared" si="628"/>
        <v>0</v>
      </c>
      <c r="L697" s="100">
        <v>0</v>
      </c>
      <c r="M697" s="98">
        <v>0</v>
      </c>
      <c r="N697" s="101">
        <f t="shared" si="629"/>
        <v>0</v>
      </c>
      <c r="O697" s="100">
        <v>0</v>
      </c>
      <c r="P697" s="98">
        <v>0</v>
      </c>
      <c r="Q697" s="101">
        <f t="shared" si="630"/>
        <v>0</v>
      </c>
      <c r="R697" s="100">
        <v>0</v>
      </c>
      <c r="S697" s="98">
        <v>0</v>
      </c>
      <c r="T697" s="101">
        <f t="shared" si="631"/>
        <v>0</v>
      </c>
      <c r="U697" s="183">
        <v>1</v>
      </c>
      <c r="V697" s="99">
        <v>1</v>
      </c>
      <c r="W697" s="98">
        <v>0</v>
      </c>
      <c r="X697" s="98">
        <v>0</v>
      </c>
      <c r="Y697" s="101">
        <f t="shared" si="634"/>
        <v>0</v>
      </c>
      <c r="Z697" s="101">
        <v>1</v>
      </c>
      <c r="AA697" s="183">
        <v>0</v>
      </c>
      <c r="AB697" s="99">
        <v>1</v>
      </c>
      <c r="AC697" s="98">
        <v>0</v>
      </c>
      <c r="AD697" s="98">
        <v>0</v>
      </c>
      <c r="AE697" s="101">
        <f t="shared" si="632"/>
        <v>0</v>
      </c>
      <c r="AF697" s="100">
        <v>0</v>
      </c>
      <c r="AG697" s="98">
        <v>0</v>
      </c>
      <c r="AH697" s="99">
        <f t="shared" si="633"/>
        <v>0</v>
      </c>
      <c r="AI697" s="101">
        <v>1</v>
      </c>
      <c r="AJ697" s="106"/>
    </row>
    <row r="698" spans="2:36" s="35" customFormat="1" ht="17.100000000000001" customHeight="1">
      <c r="B698" s="105"/>
      <c r="C698" s="54"/>
      <c r="D698" s="96"/>
      <c r="E698" s="111"/>
      <c r="F698" s="112"/>
      <c r="G698" s="113"/>
      <c r="H698" s="183">
        <v>1</v>
      </c>
      <c r="I698" s="98">
        <v>0</v>
      </c>
      <c r="J698" s="98">
        <v>0</v>
      </c>
      <c r="K698" s="101">
        <f t="shared" si="628"/>
        <v>0</v>
      </c>
      <c r="L698" s="100">
        <v>0</v>
      </c>
      <c r="M698" s="98">
        <v>0</v>
      </c>
      <c r="N698" s="101">
        <f t="shared" si="629"/>
        <v>0</v>
      </c>
      <c r="O698" s="100">
        <v>0</v>
      </c>
      <c r="P698" s="98">
        <v>0</v>
      </c>
      <c r="Q698" s="101">
        <f t="shared" si="630"/>
        <v>0</v>
      </c>
      <c r="R698" s="100">
        <v>0</v>
      </c>
      <c r="S698" s="98">
        <v>0</v>
      </c>
      <c r="T698" s="101">
        <f t="shared" si="631"/>
        <v>0</v>
      </c>
      <c r="U698" s="183">
        <v>1</v>
      </c>
      <c r="V698" s="99">
        <v>1</v>
      </c>
      <c r="W698" s="98">
        <v>0</v>
      </c>
      <c r="X698" s="98">
        <v>0</v>
      </c>
      <c r="Y698" s="101">
        <f t="shared" si="634"/>
        <v>0</v>
      </c>
      <c r="Z698" s="101">
        <v>1</v>
      </c>
      <c r="AA698" s="183">
        <v>0</v>
      </c>
      <c r="AB698" s="99">
        <v>1</v>
      </c>
      <c r="AC698" s="98">
        <v>0</v>
      </c>
      <c r="AD698" s="98">
        <v>0</v>
      </c>
      <c r="AE698" s="101">
        <f t="shared" si="632"/>
        <v>0</v>
      </c>
      <c r="AF698" s="100">
        <v>0</v>
      </c>
      <c r="AG698" s="98">
        <v>0</v>
      </c>
      <c r="AH698" s="99">
        <f t="shared" si="633"/>
        <v>0</v>
      </c>
      <c r="AI698" s="101">
        <v>1</v>
      </c>
      <c r="AJ698" s="106"/>
    </row>
    <row r="699" spans="2:36" s="35" customFormat="1" ht="17.100000000000001" customHeight="1">
      <c r="B699" s="105"/>
      <c r="C699" s="54"/>
      <c r="D699" s="96"/>
      <c r="E699" s="111"/>
      <c r="F699" s="112"/>
      <c r="G699" s="113"/>
      <c r="H699" s="183">
        <v>1</v>
      </c>
      <c r="I699" s="98">
        <v>0</v>
      </c>
      <c r="J699" s="98">
        <v>0</v>
      </c>
      <c r="K699" s="101">
        <f t="shared" si="628"/>
        <v>0</v>
      </c>
      <c r="L699" s="100">
        <v>0</v>
      </c>
      <c r="M699" s="98">
        <v>0</v>
      </c>
      <c r="N699" s="101">
        <f t="shared" si="629"/>
        <v>0</v>
      </c>
      <c r="O699" s="100">
        <v>0</v>
      </c>
      <c r="P699" s="98">
        <v>0</v>
      </c>
      <c r="Q699" s="101">
        <f t="shared" si="630"/>
        <v>0</v>
      </c>
      <c r="R699" s="100">
        <v>0</v>
      </c>
      <c r="S699" s="98">
        <v>0</v>
      </c>
      <c r="T699" s="101">
        <f t="shared" si="631"/>
        <v>0</v>
      </c>
      <c r="U699" s="183">
        <v>1</v>
      </c>
      <c r="V699" s="99">
        <v>1</v>
      </c>
      <c r="W699" s="98">
        <v>0</v>
      </c>
      <c r="X699" s="98">
        <v>0</v>
      </c>
      <c r="Y699" s="101">
        <f t="shared" si="634"/>
        <v>0</v>
      </c>
      <c r="Z699" s="101">
        <v>1</v>
      </c>
      <c r="AA699" s="183">
        <v>0</v>
      </c>
      <c r="AB699" s="99">
        <v>1</v>
      </c>
      <c r="AC699" s="98">
        <v>0</v>
      </c>
      <c r="AD699" s="98">
        <v>0</v>
      </c>
      <c r="AE699" s="101">
        <f t="shared" si="632"/>
        <v>0</v>
      </c>
      <c r="AF699" s="100">
        <v>0</v>
      </c>
      <c r="AG699" s="98">
        <v>0</v>
      </c>
      <c r="AH699" s="99">
        <f t="shared" si="633"/>
        <v>0</v>
      </c>
      <c r="AI699" s="101">
        <v>1</v>
      </c>
      <c r="AJ699" s="106"/>
    </row>
    <row r="700" spans="2:36" s="126" customFormat="1" ht="17.100000000000001" customHeight="1">
      <c r="B700" s="118"/>
      <c r="C700" s="119"/>
      <c r="D700" s="120"/>
      <c r="E700" s="121"/>
      <c r="F700" s="122"/>
      <c r="G700" s="123"/>
      <c r="H700" s="183">
        <v>1</v>
      </c>
      <c r="I700" s="363" t="s">
        <v>201</v>
      </c>
      <c r="J700" s="363"/>
      <c r="K700" s="124">
        <f>SUM(K693:K699)</f>
        <v>0</v>
      </c>
      <c r="L700" s="341" t="s">
        <v>201</v>
      </c>
      <c r="M700" s="342"/>
      <c r="N700" s="124">
        <f>SUM(N693:N699)</f>
        <v>0</v>
      </c>
      <c r="O700" s="341" t="s">
        <v>201</v>
      </c>
      <c r="P700" s="342"/>
      <c r="Q700" s="124">
        <f>SUM(Q693:Q699)</f>
        <v>0</v>
      </c>
      <c r="R700" s="341" t="s">
        <v>201</v>
      </c>
      <c r="S700" s="342"/>
      <c r="T700" s="124">
        <f>SUM(T693:T699)</f>
        <v>0</v>
      </c>
      <c r="U700" s="183">
        <v>1</v>
      </c>
      <c r="V700" s="99">
        <v>1</v>
      </c>
      <c r="W700" s="363" t="s">
        <v>201</v>
      </c>
      <c r="X700" s="363"/>
      <c r="Y700" s="124">
        <f>SUM(Y693:Y699)</f>
        <v>300</v>
      </c>
      <c r="Z700" s="101">
        <v>1</v>
      </c>
      <c r="AA700" s="183">
        <v>0</v>
      </c>
      <c r="AB700" s="99">
        <v>1</v>
      </c>
      <c r="AC700" s="363" t="s">
        <v>201</v>
      </c>
      <c r="AD700" s="363"/>
      <c r="AE700" s="124">
        <f>SUM(AE693:AE699)</f>
        <v>0</v>
      </c>
      <c r="AF700" s="364" t="s">
        <v>201</v>
      </c>
      <c r="AG700" s="363"/>
      <c r="AH700" s="143">
        <f>SUM(AH693:AH699)</f>
        <v>0</v>
      </c>
      <c r="AI700" s="101">
        <v>1</v>
      </c>
      <c r="AJ700" s="125"/>
    </row>
    <row r="701" spans="2:36" s="35" customFormat="1" ht="16.95" customHeight="1">
      <c r="B701" s="105"/>
      <c r="C701" s="54">
        <f>'3. Rekap Back Up Non Aspal '!C108</f>
        <v>12800</v>
      </c>
      <c r="D701" s="96">
        <f>'3. Rekap Back Up Non Aspal '!D108</f>
        <v>12900</v>
      </c>
      <c r="E701" s="111">
        <f>'3. Rekap Back Up Non Aspal '!E108</f>
        <v>3</v>
      </c>
      <c r="F701" s="112">
        <f>(100/((D701-C701)*E701))*((K708*0.05)+(N708*0.05)+(Q708*0.05)+(T708)+(Y708)+(AE708*1.5)+(AH708*1))</f>
        <v>0</v>
      </c>
      <c r="G701" s="113" t="str">
        <f>IF(F701&lt;=25,"RB",IF(F701&lt;=75,"RB",IF(F701&lt;=100,"RB","RB")))</f>
        <v>RB</v>
      </c>
      <c r="H701" s="183">
        <v>1</v>
      </c>
      <c r="I701" s="98">
        <v>0</v>
      </c>
      <c r="J701" s="98">
        <v>0</v>
      </c>
      <c r="K701" s="101">
        <f t="shared" ref="K701:K707" si="635">I701*J701</f>
        <v>0</v>
      </c>
      <c r="L701" s="98">
        <v>0</v>
      </c>
      <c r="M701" s="98">
        <v>0</v>
      </c>
      <c r="N701" s="101">
        <f t="shared" ref="N701:N707" si="636">L701*M701</f>
        <v>0</v>
      </c>
      <c r="O701" s="98">
        <v>0</v>
      </c>
      <c r="P701" s="98">
        <v>0</v>
      </c>
      <c r="Q701" s="101">
        <f t="shared" ref="Q701:Q707" si="637">O701*P701</f>
        <v>0</v>
      </c>
      <c r="R701" s="98">
        <v>0</v>
      </c>
      <c r="S701" s="98">
        <v>0</v>
      </c>
      <c r="T701" s="101">
        <f t="shared" ref="T701:T707" si="638">R701*S701</f>
        <v>0</v>
      </c>
      <c r="U701" s="183">
        <v>1</v>
      </c>
      <c r="V701" s="99">
        <v>1</v>
      </c>
      <c r="W701" s="98">
        <v>0</v>
      </c>
      <c r="X701" s="98">
        <v>0</v>
      </c>
      <c r="Y701" s="101">
        <f>W701*X701</f>
        <v>0</v>
      </c>
      <c r="Z701" s="101">
        <v>1</v>
      </c>
      <c r="AA701" s="183">
        <v>0</v>
      </c>
      <c r="AB701" s="99">
        <v>1</v>
      </c>
      <c r="AC701" s="98">
        <v>0</v>
      </c>
      <c r="AD701" s="98">
        <v>0</v>
      </c>
      <c r="AE701" s="101">
        <f t="shared" ref="AE701:AE707" si="639">AC701*AD701</f>
        <v>0</v>
      </c>
      <c r="AF701" s="98">
        <v>0</v>
      </c>
      <c r="AG701" s="98">
        <v>3</v>
      </c>
      <c r="AH701" s="99">
        <f t="shared" ref="AH701:AH707" si="640">AF701*AG701</f>
        <v>0</v>
      </c>
      <c r="AI701" s="101">
        <v>1</v>
      </c>
      <c r="AJ701" s="106"/>
    </row>
    <row r="702" spans="2:36" s="35" customFormat="1" ht="17.100000000000001" customHeight="1">
      <c r="B702" s="105"/>
      <c r="C702" s="54"/>
      <c r="D702" s="96"/>
      <c r="E702" s="111"/>
      <c r="F702" s="112"/>
      <c r="G702" s="113"/>
      <c r="H702" s="183">
        <v>1</v>
      </c>
      <c r="I702" s="98">
        <v>0</v>
      </c>
      <c r="J702" s="98">
        <v>0</v>
      </c>
      <c r="K702" s="101">
        <f t="shared" si="635"/>
        <v>0</v>
      </c>
      <c r="L702" s="100">
        <v>0</v>
      </c>
      <c r="M702" s="98">
        <v>0</v>
      </c>
      <c r="N702" s="101">
        <f t="shared" si="636"/>
        <v>0</v>
      </c>
      <c r="O702" s="100">
        <v>0</v>
      </c>
      <c r="P702" s="98">
        <v>0</v>
      </c>
      <c r="Q702" s="101">
        <f t="shared" si="637"/>
        <v>0</v>
      </c>
      <c r="R702" s="100">
        <v>0</v>
      </c>
      <c r="S702" s="98">
        <v>0</v>
      </c>
      <c r="T702" s="101">
        <f t="shared" si="638"/>
        <v>0</v>
      </c>
      <c r="U702" s="183">
        <v>1</v>
      </c>
      <c r="V702" s="99">
        <v>1</v>
      </c>
      <c r="W702" s="98">
        <v>0</v>
      </c>
      <c r="X702" s="98">
        <v>0</v>
      </c>
      <c r="Y702" s="101">
        <f t="shared" ref="Y702:Y707" si="641">W702*X702</f>
        <v>0</v>
      </c>
      <c r="Z702" s="101">
        <v>1</v>
      </c>
      <c r="AA702" s="183">
        <v>0</v>
      </c>
      <c r="AB702" s="99">
        <v>1</v>
      </c>
      <c r="AC702" s="98">
        <v>0</v>
      </c>
      <c r="AD702" s="98">
        <v>0</v>
      </c>
      <c r="AE702" s="101">
        <f t="shared" si="639"/>
        <v>0</v>
      </c>
      <c r="AF702" s="100">
        <v>0</v>
      </c>
      <c r="AG702" s="98">
        <v>0</v>
      </c>
      <c r="AH702" s="99">
        <f t="shared" si="640"/>
        <v>0</v>
      </c>
      <c r="AI702" s="101">
        <v>1</v>
      </c>
      <c r="AJ702" s="106"/>
    </row>
    <row r="703" spans="2:36" s="35" customFormat="1" ht="17.100000000000001" customHeight="1">
      <c r="B703" s="105"/>
      <c r="C703" s="54"/>
      <c r="D703" s="96"/>
      <c r="E703" s="111"/>
      <c r="F703" s="112"/>
      <c r="G703" s="113"/>
      <c r="H703" s="183">
        <v>1</v>
      </c>
      <c r="I703" s="98">
        <v>0</v>
      </c>
      <c r="J703" s="98">
        <v>0</v>
      </c>
      <c r="K703" s="101">
        <f t="shared" si="635"/>
        <v>0</v>
      </c>
      <c r="L703" s="100">
        <v>0</v>
      </c>
      <c r="M703" s="98">
        <v>0</v>
      </c>
      <c r="N703" s="101">
        <f t="shared" si="636"/>
        <v>0</v>
      </c>
      <c r="O703" s="100">
        <v>0</v>
      </c>
      <c r="P703" s="98">
        <v>0</v>
      </c>
      <c r="Q703" s="101">
        <f t="shared" si="637"/>
        <v>0</v>
      </c>
      <c r="R703" s="100">
        <v>0</v>
      </c>
      <c r="S703" s="98">
        <v>0</v>
      </c>
      <c r="T703" s="101">
        <f t="shared" si="638"/>
        <v>0</v>
      </c>
      <c r="U703" s="183">
        <v>1</v>
      </c>
      <c r="V703" s="99">
        <v>1</v>
      </c>
      <c r="W703" s="98">
        <v>0</v>
      </c>
      <c r="X703" s="98">
        <v>0</v>
      </c>
      <c r="Y703" s="101">
        <f t="shared" si="641"/>
        <v>0</v>
      </c>
      <c r="Z703" s="101">
        <v>1</v>
      </c>
      <c r="AA703" s="183">
        <v>0</v>
      </c>
      <c r="AB703" s="99">
        <v>1</v>
      </c>
      <c r="AC703" s="98">
        <v>0</v>
      </c>
      <c r="AD703" s="98">
        <v>0</v>
      </c>
      <c r="AE703" s="101">
        <f t="shared" si="639"/>
        <v>0</v>
      </c>
      <c r="AF703" s="100">
        <v>0</v>
      </c>
      <c r="AG703" s="98">
        <v>0</v>
      </c>
      <c r="AH703" s="99">
        <f t="shared" si="640"/>
        <v>0</v>
      </c>
      <c r="AI703" s="101">
        <v>1</v>
      </c>
      <c r="AJ703" s="106"/>
    </row>
    <row r="704" spans="2:36" s="35" customFormat="1" ht="17.100000000000001" customHeight="1">
      <c r="B704" s="105"/>
      <c r="C704" s="54"/>
      <c r="D704" s="96"/>
      <c r="E704" s="111"/>
      <c r="F704" s="112"/>
      <c r="G704" s="113"/>
      <c r="H704" s="183">
        <v>1</v>
      </c>
      <c r="I704" s="98">
        <v>0</v>
      </c>
      <c r="J704" s="98">
        <v>0</v>
      </c>
      <c r="K704" s="101">
        <f t="shared" si="635"/>
        <v>0</v>
      </c>
      <c r="L704" s="100">
        <v>0</v>
      </c>
      <c r="M704" s="98">
        <v>0</v>
      </c>
      <c r="N704" s="101">
        <f t="shared" si="636"/>
        <v>0</v>
      </c>
      <c r="O704" s="100">
        <v>0</v>
      </c>
      <c r="P704" s="98">
        <v>0</v>
      </c>
      <c r="Q704" s="101">
        <f t="shared" si="637"/>
        <v>0</v>
      </c>
      <c r="R704" s="100">
        <v>0</v>
      </c>
      <c r="S704" s="98">
        <v>0</v>
      </c>
      <c r="T704" s="101">
        <f t="shared" si="638"/>
        <v>0</v>
      </c>
      <c r="U704" s="183">
        <v>1</v>
      </c>
      <c r="V704" s="99">
        <v>1</v>
      </c>
      <c r="W704" s="98">
        <v>0</v>
      </c>
      <c r="X704" s="98">
        <v>0</v>
      </c>
      <c r="Y704" s="101">
        <f t="shared" si="641"/>
        <v>0</v>
      </c>
      <c r="Z704" s="101">
        <v>1</v>
      </c>
      <c r="AA704" s="183">
        <v>0</v>
      </c>
      <c r="AB704" s="99">
        <v>1</v>
      </c>
      <c r="AC704" s="98">
        <v>0</v>
      </c>
      <c r="AD704" s="98">
        <v>0</v>
      </c>
      <c r="AE704" s="101">
        <f t="shared" si="639"/>
        <v>0</v>
      </c>
      <c r="AF704" s="100">
        <v>0</v>
      </c>
      <c r="AG704" s="98">
        <v>0</v>
      </c>
      <c r="AH704" s="99">
        <f t="shared" si="640"/>
        <v>0</v>
      </c>
      <c r="AI704" s="101">
        <v>1</v>
      </c>
      <c r="AJ704" s="106"/>
    </row>
    <row r="705" spans="2:36" s="35" customFormat="1" ht="17.100000000000001" customHeight="1">
      <c r="B705" s="105"/>
      <c r="C705" s="54"/>
      <c r="D705" s="96"/>
      <c r="E705" s="111"/>
      <c r="F705" s="112"/>
      <c r="G705" s="113"/>
      <c r="H705" s="183">
        <v>1</v>
      </c>
      <c r="I705" s="98">
        <v>0</v>
      </c>
      <c r="J705" s="98">
        <v>0</v>
      </c>
      <c r="K705" s="101">
        <f t="shared" si="635"/>
        <v>0</v>
      </c>
      <c r="L705" s="100">
        <v>0</v>
      </c>
      <c r="M705" s="98">
        <v>0</v>
      </c>
      <c r="N705" s="101">
        <f t="shared" si="636"/>
        <v>0</v>
      </c>
      <c r="O705" s="100">
        <v>0</v>
      </c>
      <c r="P705" s="98">
        <v>0</v>
      </c>
      <c r="Q705" s="101">
        <f t="shared" si="637"/>
        <v>0</v>
      </c>
      <c r="R705" s="100">
        <v>0</v>
      </c>
      <c r="S705" s="98">
        <v>0</v>
      </c>
      <c r="T705" s="101">
        <f t="shared" si="638"/>
        <v>0</v>
      </c>
      <c r="U705" s="183">
        <v>1</v>
      </c>
      <c r="V705" s="99">
        <v>1</v>
      </c>
      <c r="W705" s="98">
        <v>0</v>
      </c>
      <c r="X705" s="98">
        <v>0</v>
      </c>
      <c r="Y705" s="101">
        <f t="shared" si="641"/>
        <v>0</v>
      </c>
      <c r="Z705" s="101">
        <v>1</v>
      </c>
      <c r="AA705" s="183">
        <v>0</v>
      </c>
      <c r="AB705" s="99">
        <v>1</v>
      </c>
      <c r="AC705" s="98">
        <v>0</v>
      </c>
      <c r="AD705" s="98">
        <v>0</v>
      </c>
      <c r="AE705" s="101">
        <f t="shared" si="639"/>
        <v>0</v>
      </c>
      <c r="AF705" s="100">
        <v>0</v>
      </c>
      <c r="AG705" s="98">
        <v>0</v>
      </c>
      <c r="AH705" s="99">
        <f t="shared" si="640"/>
        <v>0</v>
      </c>
      <c r="AI705" s="101">
        <v>1</v>
      </c>
      <c r="AJ705" s="106"/>
    </row>
    <row r="706" spans="2:36" s="35" customFormat="1" ht="17.100000000000001" customHeight="1">
      <c r="B706" s="105"/>
      <c r="C706" s="54"/>
      <c r="D706" s="96"/>
      <c r="E706" s="111"/>
      <c r="F706" s="112"/>
      <c r="G706" s="113"/>
      <c r="H706" s="183">
        <v>1</v>
      </c>
      <c r="I706" s="98">
        <v>0</v>
      </c>
      <c r="J706" s="98">
        <v>0</v>
      </c>
      <c r="K706" s="101">
        <f t="shared" si="635"/>
        <v>0</v>
      </c>
      <c r="L706" s="100">
        <v>0</v>
      </c>
      <c r="M706" s="98">
        <v>0</v>
      </c>
      <c r="N706" s="101">
        <f t="shared" si="636"/>
        <v>0</v>
      </c>
      <c r="O706" s="100">
        <v>0</v>
      </c>
      <c r="P706" s="98">
        <v>0</v>
      </c>
      <c r="Q706" s="101">
        <f t="shared" si="637"/>
        <v>0</v>
      </c>
      <c r="R706" s="100">
        <v>0</v>
      </c>
      <c r="S706" s="98">
        <v>0</v>
      </c>
      <c r="T706" s="101">
        <f t="shared" si="638"/>
        <v>0</v>
      </c>
      <c r="U706" s="183">
        <v>1</v>
      </c>
      <c r="V706" s="99">
        <v>1</v>
      </c>
      <c r="W706" s="98">
        <v>0</v>
      </c>
      <c r="X706" s="98">
        <v>0</v>
      </c>
      <c r="Y706" s="101">
        <f t="shared" si="641"/>
        <v>0</v>
      </c>
      <c r="Z706" s="101">
        <v>1</v>
      </c>
      <c r="AA706" s="183">
        <v>0</v>
      </c>
      <c r="AB706" s="99">
        <v>1</v>
      </c>
      <c r="AC706" s="98">
        <v>0</v>
      </c>
      <c r="AD706" s="98">
        <v>0</v>
      </c>
      <c r="AE706" s="101">
        <f t="shared" si="639"/>
        <v>0</v>
      </c>
      <c r="AF706" s="100">
        <v>0</v>
      </c>
      <c r="AG706" s="98">
        <v>0</v>
      </c>
      <c r="AH706" s="99">
        <f t="shared" si="640"/>
        <v>0</v>
      </c>
      <c r="AI706" s="101">
        <v>1</v>
      </c>
      <c r="AJ706" s="106"/>
    </row>
    <row r="707" spans="2:36" s="35" customFormat="1" ht="17.100000000000001" customHeight="1">
      <c r="B707" s="105"/>
      <c r="C707" s="54"/>
      <c r="D707" s="96"/>
      <c r="E707" s="111"/>
      <c r="F707" s="112"/>
      <c r="G707" s="113"/>
      <c r="H707" s="183">
        <v>1</v>
      </c>
      <c r="I707" s="98">
        <v>0</v>
      </c>
      <c r="J707" s="98">
        <v>0</v>
      </c>
      <c r="K707" s="101">
        <f t="shared" si="635"/>
        <v>0</v>
      </c>
      <c r="L707" s="100">
        <v>0</v>
      </c>
      <c r="M707" s="98">
        <v>0</v>
      </c>
      <c r="N707" s="101">
        <f t="shared" si="636"/>
        <v>0</v>
      </c>
      <c r="O707" s="100">
        <v>0</v>
      </c>
      <c r="P707" s="98">
        <v>0</v>
      </c>
      <c r="Q707" s="101">
        <f t="shared" si="637"/>
        <v>0</v>
      </c>
      <c r="R707" s="100">
        <v>0</v>
      </c>
      <c r="S707" s="98">
        <v>0</v>
      </c>
      <c r="T707" s="101">
        <f t="shared" si="638"/>
        <v>0</v>
      </c>
      <c r="U707" s="183">
        <v>1</v>
      </c>
      <c r="V707" s="99">
        <v>1</v>
      </c>
      <c r="W707" s="98">
        <v>0</v>
      </c>
      <c r="X707" s="98">
        <v>0</v>
      </c>
      <c r="Y707" s="101">
        <f t="shared" si="641"/>
        <v>0</v>
      </c>
      <c r="Z707" s="101">
        <v>1</v>
      </c>
      <c r="AA707" s="183">
        <v>0</v>
      </c>
      <c r="AB707" s="99">
        <v>1</v>
      </c>
      <c r="AC707" s="98">
        <v>0</v>
      </c>
      <c r="AD707" s="98">
        <v>0</v>
      </c>
      <c r="AE707" s="101">
        <f t="shared" si="639"/>
        <v>0</v>
      </c>
      <c r="AF707" s="100">
        <v>0</v>
      </c>
      <c r="AG707" s="98">
        <v>0</v>
      </c>
      <c r="AH707" s="99">
        <f t="shared" si="640"/>
        <v>0</v>
      </c>
      <c r="AI707" s="101">
        <v>1</v>
      </c>
      <c r="AJ707" s="106"/>
    </row>
    <row r="708" spans="2:36" s="126" customFormat="1" ht="17.100000000000001" customHeight="1">
      <c r="B708" s="118"/>
      <c r="C708" s="119"/>
      <c r="D708" s="120"/>
      <c r="E708" s="121"/>
      <c r="F708" s="122"/>
      <c r="G708" s="123"/>
      <c r="H708" s="183">
        <v>1</v>
      </c>
      <c r="I708" s="363" t="s">
        <v>201</v>
      </c>
      <c r="J708" s="363"/>
      <c r="K708" s="124">
        <f>SUM(K701:K707)</f>
        <v>0</v>
      </c>
      <c r="L708" s="341" t="s">
        <v>201</v>
      </c>
      <c r="M708" s="342"/>
      <c r="N708" s="124">
        <f>SUM(N701:N707)</f>
        <v>0</v>
      </c>
      <c r="O708" s="341" t="s">
        <v>201</v>
      </c>
      <c r="P708" s="342"/>
      <c r="Q708" s="124">
        <f>SUM(Q701:Q707)</f>
        <v>0</v>
      </c>
      <c r="R708" s="341" t="s">
        <v>201</v>
      </c>
      <c r="S708" s="342"/>
      <c r="T708" s="124">
        <f>SUM(T701:T707)</f>
        <v>0</v>
      </c>
      <c r="U708" s="183">
        <v>1</v>
      </c>
      <c r="V708" s="99">
        <v>1</v>
      </c>
      <c r="W708" s="363" t="s">
        <v>201</v>
      </c>
      <c r="X708" s="363"/>
      <c r="Y708" s="124">
        <f>SUM(Y701:Y707)</f>
        <v>0</v>
      </c>
      <c r="Z708" s="101">
        <v>1</v>
      </c>
      <c r="AA708" s="183">
        <v>0</v>
      </c>
      <c r="AB708" s="99">
        <v>1</v>
      </c>
      <c r="AC708" s="363" t="s">
        <v>201</v>
      </c>
      <c r="AD708" s="363"/>
      <c r="AE708" s="124">
        <f>SUM(AE701:AE707)</f>
        <v>0</v>
      </c>
      <c r="AF708" s="364" t="s">
        <v>201</v>
      </c>
      <c r="AG708" s="363"/>
      <c r="AH708" s="143">
        <f>SUM(AH701:AH707)</f>
        <v>0</v>
      </c>
      <c r="AI708" s="101">
        <v>1</v>
      </c>
      <c r="AJ708" s="125"/>
    </row>
    <row r="709" spans="2:36" s="35" customFormat="1" ht="16.95" customHeight="1">
      <c r="B709" s="105"/>
      <c r="C709" s="54">
        <f>'3. Rekap Back Up Non Aspal '!C109</f>
        <v>12900</v>
      </c>
      <c r="D709" s="96">
        <f>'3. Rekap Back Up Non Aspal '!D109</f>
        <v>13000</v>
      </c>
      <c r="E709" s="111">
        <f>'3. Rekap Back Up Non Aspal '!E109</f>
        <v>3</v>
      </c>
      <c r="F709" s="112">
        <f>(100/((D709-C709)*E709))*((K716*0.05)+(N716*0.05)+(Q716*0.05)+(T716)+(Y716)+(AE716*1.5)+(AH716*1))</f>
        <v>0</v>
      </c>
      <c r="G709" s="113" t="str">
        <f>IF(F709&lt;=25,"RB",IF(F709&lt;=75,"RB",IF(F709&lt;=100,"RB","RB")))</f>
        <v>RB</v>
      </c>
      <c r="H709" s="183">
        <v>1</v>
      </c>
      <c r="I709" s="98">
        <v>0</v>
      </c>
      <c r="J709" s="98">
        <v>0</v>
      </c>
      <c r="K709" s="101">
        <f t="shared" ref="K709:K715" si="642">I709*J709</f>
        <v>0</v>
      </c>
      <c r="L709" s="98">
        <v>0</v>
      </c>
      <c r="M709" s="98">
        <v>0</v>
      </c>
      <c r="N709" s="101">
        <f t="shared" ref="N709:N715" si="643">L709*M709</f>
        <v>0</v>
      </c>
      <c r="O709" s="98">
        <v>0</v>
      </c>
      <c r="P709" s="98">
        <v>0</v>
      </c>
      <c r="Q709" s="101">
        <f t="shared" ref="Q709:Q715" si="644">O709*P709</f>
        <v>0</v>
      </c>
      <c r="R709" s="98">
        <v>0</v>
      </c>
      <c r="S709" s="98">
        <v>0</v>
      </c>
      <c r="T709" s="101">
        <f t="shared" ref="T709:T715" si="645">R709*S709</f>
        <v>0</v>
      </c>
      <c r="U709" s="183">
        <v>1</v>
      </c>
      <c r="V709" s="99">
        <v>1</v>
      </c>
      <c r="W709" s="98">
        <v>0</v>
      </c>
      <c r="X709" s="98">
        <v>0</v>
      </c>
      <c r="Y709" s="101">
        <f>W709*X709</f>
        <v>0</v>
      </c>
      <c r="Z709" s="101">
        <v>1</v>
      </c>
      <c r="AA709" s="183">
        <v>0</v>
      </c>
      <c r="AB709" s="99">
        <v>1</v>
      </c>
      <c r="AC709" s="98">
        <v>0</v>
      </c>
      <c r="AD709" s="98">
        <v>0</v>
      </c>
      <c r="AE709" s="101">
        <f t="shared" ref="AE709:AE715" si="646">AC709*AD709</f>
        <v>0</v>
      </c>
      <c r="AF709" s="98">
        <v>0</v>
      </c>
      <c r="AG709" s="98">
        <v>3</v>
      </c>
      <c r="AH709" s="99">
        <f t="shared" ref="AH709:AH715" si="647">AF709*AG709</f>
        <v>0</v>
      </c>
      <c r="AI709" s="101">
        <v>1</v>
      </c>
      <c r="AJ709" s="106"/>
    </row>
    <row r="710" spans="2:36" s="35" customFormat="1" ht="17.100000000000001" customHeight="1">
      <c r="B710" s="105"/>
      <c r="C710" s="54"/>
      <c r="D710" s="96"/>
      <c r="E710" s="111"/>
      <c r="F710" s="112"/>
      <c r="G710" s="113"/>
      <c r="H710" s="183">
        <v>1</v>
      </c>
      <c r="I710" s="98">
        <v>0</v>
      </c>
      <c r="J710" s="98">
        <v>0</v>
      </c>
      <c r="K710" s="101">
        <f t="shared" si="642"/>
        <v>0</v>
      </c>
      <c r="L710" s="100">
        <v>0</v>
      </c>
      <c r="M710" s="98">
        <v>0</v>
      </c>
      <c r="N710" s="101">
        <f t="shared" si="643"/>
        <v>0</v>
      </c>
      <c r="O710" s="100">
        <v>0</v>
      </c>
      <c r="P710" s="98">
        <v>0</v>
      </c>
      <c r="Q710" s="101">
        <f t="shared" si="644"/>
        <v>0</v>
      </c>
      <c r="R710" s="100">
        <v>0</v>
      </c>
      <c r="S710" s="98">
        <v>0</v>
      </c>
      <c r="T710" s="101">
        <f t="shared" si="645"/>
        <v>0</v>
      </c>
      <c r="U710" s="183">
        <v>1</v>
      </c>
      <c r="V710" s="99">
        <v>1</v>
      </c>
      <c r="W710" s="98">
        <v>0</v>
      </c>
      <c r="X710" s="98">
        <v>0</v>
      </c>
      <c r="Y710" s="101">
        <f t="shared" ref="Y710:Y715" si="648">W710*X710</f>
        <v>0</v>
      </c>
      <c r="Z710" s="101">
        <v>1</v>
      </c>
      <c r="AA710" s="183">
        <v>0</v>
      </c>
      <c r="AB710" s="99">
        <v>1</v>
      </c>
      <c r="AC710" s="98">
        <v>0</v>
      </c>
      <c r="AD710" s="98">
        <v>0</v>
      </c>
      <c r="AE710" s="101">
        <f t="shared" si="646"/>
        <v>0</v>
      </c>
      <c r="AF710" s="100">
        <v>0</v>
      </c>
      <c r="AG710" s="98">
        <v>0</v>
      </c>
      <c r="AH710" s="99">
        <f t="shared" si="647"/>
        <v>0</v>
      </c>
      <c r="AI710" s="101">
        <v>1</v>
      </c>
      <c r="AJ710" s="106"/>
    </row>
    <row r="711" spans="2:36" s="35" customFormat="1" ht="17.100000000000001" customHeight="1">
      <c r="B711" s="105"/>
      <c r="C711" s="54"/>
      <c r="D711" s="96"/>
      <c r="E711" s="111"/>
      <c r="F711" s="112"/>
      <c r="G711" s="113"/>
      <c r="H711" s="183">
        <v>1</v>
      </c>
      <c r="I711" s="98">
        <v>0</v>
      </c>
      <c r="J711" s="98">
        <v>0</v>
      </c>
      <c r="K711" s="101">
        <f t="shared" si="642"/>
        <v>0</v>
      </c>
      <c r="L711" s="100">
        <v>0</v>
      </c>
      <c r="M711" s="98">
        <v>0</v>
      </c>
      <c r="N711" s="101">
        <f t="shared" si="643"/>
        <v>0</v>
      </c>
      <c r="O711" s="100">
        <v>0</v>
      </c>
      <c r="P711" s="98">
        <v>0</v>
      </c>
      <c r="Q711" s="101">
        <f t="shared" si="644"/>
        <v>0</v>
      </c>
      <c r="R711" s="100">
        <v>0</v>
      </c>
      <c r="S711" s="98">
        <v>0</v>
      </c>
      <c r="T711" s="101">
        <f t="shared" si="645"/>
        <v>0</v>
      </c>
      <c r="U711" s="183">
        <v>1</v>
      </c>
      <c r="V711" s="99">
        <v>1</v>
      </c>
      <c r="W711" s="98">
        <v>0</v>
      </c>
      <c r="X711" s="98">
        <v>0</v>
      </c>
      <c r="Y711" s="101">
        <f t="shared" si="648"/>
        <v>0</v>
      </c>
      <c r="Z711" s="101">
        <v>1</v>
      </c>
      <c r="AA711" s="183">
        <v>0</v>
      </c>
      <c r="AB711" s="99">
        <v>1</v>
      </c>
      <c r="AC711" s="98">
        <v>0</v>
      </c>
      <c r="AD711" s="98">
        <v>0</v>
      </c>
      <c r="AE711" s="101">
        <f t="shared" si="646"/>
        <v>0</v>
      </c>
      <c r="AF711" s="100">
        <v>0</v>
      </c>
      <c r="AG711" s="98">
        <v>0</v>
      </c>
      <c r="AH711" s="99">
        <f t="shared" si="647"/>
        <v>0</v>
      </c>
      <c r="AI711" s="101">
        <v>1</v>
      </c>
      <c r="AJ711" s="106"/>
    </row>
    <row r="712" spans="2:36" s="35" customFormat="1" ht="17.100000000000001" customHeight="1">
      <c r="B712" s="105"/>
      <c r="C712" s="54"/>
      <c r="D712" s="96"/>
      <c r="E712" s="111"/>
      <c r="F712" s="112"/>
      <c r="G712" s="113"/>
      <c r="H712" s="183">
        <v>1</v>
      </c>
      <c r="I712" s="98">
        <v>0</v>
      </c>
      <c r="J712" s="98">
        <v>0</v>
      </c>
      <c r="K712" s="101">
        <f t="shared" si="642"/>
        <v>0</v>
      </c>
      <c r="L712" s="100">
        <v>0</v>
      </c>
      <c r="M712" s="98">
        <v>0</v>
      </c>
      <c r="N712" s="101">
        <f t="shared" si="643"/>
        <v>0</v>
      </c>
      <c r="O712" s="100">
        <v>0</v>
      </c>
      <c r="P712" s="98">
        <v>0</v>
      </c>
      <c r="Q712" s="101">
        <f t="shared" si="644"/>
        <v>0</v>
      </c>
      <c r="R712" s="100">
        <v>0</v>
      </c>
      <c r="S712" s="98">
        <v>0</v>
      </c>
      <c r="T712" s="101">
        <f t="shared" si="645"/>
        <v>0</v>
      </c>
      <c r="U712" s="183">
        <v>1</v>
      </c>
      <c r="V712" s="99">
        <v>1</v>
      </c>
      <c r="W712" s="98">
        <v>0</v>
      </c>
      <c r="X712" s="98">
        <v>0</v>
      </c>
      <c r="Y712" s="101">
        <f t="shared" si="648"/>
        <v>0</v>
      </c>
      <c r="Z712" s="101">
        <v>1</v>
      </c>
      <c r="AA712" s="183">
        <v>0</v>
      </c>
      <c r="AB712" s="99">
        <v>1</v>
      </c>
      <c r="AC712" s="98">
        <v>0</v>
      </c>
      <c r="AD712" s="98">
        <v>0</v>
      </c>
      <c r="AE712" s="101">
        <f t="shared" si="646"/>
        <v>0</v>
      </c>
      <c r="AF712" s="100">
        <v>0</v>
      </c>
      <c r="AG712" s="98">
        <v>0</v>
      </c>
      <c r="AH712" s="99">
        <f t="shared" si="647"/>
        <v>0</v>
      </c>
      <c r="AI712" s="101">
        <v>1</v>
      </c>
      <c r="AJ712" s="106"/>
    </row>
    <row r="713" spans="2:36" s="35" customFormat="1" ht="17.100000000000001" customHeight="1">
      <c r="B713" s="105"/>
      <c r="C713" s="54"/>
      <c r="D713" s="96"/>
      <c r="E713" s="111"/>
      <c r="F713" s="112"/>
      <c r="G713" s="113"/>
      <c r="H713" s="183">
        <v>1</v>
      </c>
      <c r="I713" s="98">
        <v>0</v>
      </c>
      <c r="J713" s="98">
        <v>0</v>
      </c>
      <c r="K713" s="101">
        <f t="shared" si="642"/>
        <v>0</v>
      </c>
      <c r="L713" s="100">
        <v>0</v>
      </c>
      <c r="M713" s="98">
        <v>0</v>
      </c>
      <c r="N713" s="101">
        <f t="shared" si="643"/>
        <v>0</v>
      </c>
      <c r="O713" s="100">
        <v>0</v>
      </c>
      <c r="P713" s="98">
        <v>0</v>
      </c>
      <c r="Q713" s="101">
        <f t="shared" si="644"/>
        <v>0</v>
      </c>
      <c r="R713" s="100">
        <v>0</v>
      </c>
      <c r="S713" s="98">
        <v>0</v>
      </c>
      <c r="T713" s="101">
        <f t="shared" si="645"/>
        <v>0</v>
      </c>
      <c r="U713" s="183">
        <v>1</v>
      </c>
      <c r="V713" s="99">
        <v>1</v>
      </c>
      <c r="W713" s="98">
        <v>0</v>
      </c>
      <c r="X713" s="98">
        <v>0</v>
      </c>
      <c r="Y713" s="101">
        <f t="shared" si="648"/>
        <v>0</v>
      </c>
      <c r="Z713" s="101">
        <v>1</v>
      </c>
      <c r="AA713" s="183">
        <v>0</v>
      </c>
      <c r="AB713" s="99">
        <v>1</v>
      </c>
      <c r="AC713" s="98">
        <v>0</v>
      </c>
      <c r="AD713" s="98">
        <v>0</v>
      </c>
      <c r="AE713" s="101">
        <f t="shared" si="646"/>
        <v>0</v>
      </c>
      <c r="AF713" s="100">
        <v>0</v>
      </c>
      <c r="AG713" s="98">
        <v>0</v>
      </c>
      <c r="AH713" s="99">
        <f t="shared" si="647"/>
        <v>0</v>
      </c>
      <c r="AI713" s="101">
        <v>1</v>
      </c>
      <c r="AJ713" s="106"/>
    </row>
    <row r="714" spans="2:36" s="35" customFormat="1" ht="17.100000000000001" customHeight="1">
      <c r="B714" s="105"/>
      <c r="C714" s="54"/>
      <c r="D714" s="96"/>
      <c r="E714" s="111"/>
      <c r="F714" s="112"/>
      <c r="G714" s="113"/>
      <c r="H714" s="183">
        <v>1</v>
      </c>
      <c r="I714" s="98">
        <v>0</v>
      </c>
      <c r="J714" s="98">
        <v>0</v>
      </c>
      <c r="K714" s="101">
        <f t="shared" si="642"/>
        <v>0</v>
      </c>
      <c r="L714" s="100">
        <v>0</v>
      </c>
      <c r="M714" s="98">
        <v>0</v>
      </c>
      <c r="N714" s="101">
        <f t="shared" si="643"/>
        <v>0</v>
      </c>
      <c r="O714" s="100">
        <v>0</v>
      </c>
      <c r="P714" s="98">
        <v>0</v>
      </c>
      <c r="Q714" s="101">
        <f t="shared" si="644"/>
        <v>0</v>
      </c>
      <c r="R714" s="100">
        <v>0</v>
      </c>
      <c r="S714" s="98">
        <v>0</v>
      </c>
      <c r="T714" s="101">
        <f t="shared" si="645"/>
        <v>0</v>
      </c>
      <c r="U714" s="183">
        <v>1</v>
      </c>
      <c r="V714" s="99">
        <v>1</v>
      </c>
      <c r="W714" s="98">
        <v>0</v>
      </c>
      <c r="X714" s="98">
        <v>0</v>
      </c>
      <c r="Y714" s="101">
        <f t="shared" si="648"/>
        <v>0</v>
      </c>
      <c r="Z714" s="101">
        <v>1</v>
      </c>
      <c r="AA714" s="183">
        <v>0</v>
      </c>
      <c r="AB714" s="99">
        <v>1</v>
      </c>
      <c r="AC714" s="98">
        <v>0</v>
      </c>
      <c r="AD714" s="98">
        <v>0</v>
      </c>
      <c r="AE714" s="101">
        <f t="shared" si="646"/>
        <v>0</v>
      </c>
      <c r="AF714" s="100">
        <v>0</v>
      </c>
      <c r="AG714" s="98">
        <v>0</v>
      </c>
      <c r="AH714" s="99">
        <f t="shared" si="647"/>
        <v>0</v>
      </c>
      <c r="AI714" s="101">
        <v>1</v>
      </c>
      <c r="AJ714" s="106"/>
    </row>
    <row r="715" spans="2:36" s="35" customFormat="1" ht="17.100000000000001" customHeight="1">
      <c r="B715" s="105"/>
      <c r="C715" s="54"/>
      <c r="D715" s="96"/>
      <c r="E715" s="111"/>
      <c r="F715" s="112"/>
      <c r="G715" s="113"/>
      <c r="H715" s="183">
        <v>1</v>
      </c>
      <c r="I715" s="98">
        <v>0</v>
      </c>
      <c r="J715" s="98">
        <v>0</v>
      </c>
      <c r="K715" s="101">
        <f t="shared" si="642"/>
        <v>0</v>
      </c>
      <c r="L715" s="100">
        <v>0</v>
      </c>
      <c r="M715" s="98">
        <v>0</v>
      </c>
      <c r="N715" s="101">
        <f t="shared" si="643"/>
        <v>0</v>
      </c>
      <c r="O715" s="100">
        <v>0</v>
      </c>
      <c r="P715" s="98">
        <v>0</v>
      </c>
      <c r="Q715" s="101">
        <f t="shared" si="644"/>
        <v>0</v>
      </c>
      <c r="R715" s="100">
        <v>0</v>
      </c>
      <c r="S715" s="98">
        <v>0</v>
      </c>
      <c r="T715" s="101">
        <f t="shared" si="645"/>
        <v>0</v>
      </c>
      <c r="U715" s="183">
        <v>1</v>
      </c>
      <c r="V715" s="99">
        <v>1</v>
      </c>
      <c r="W715" s="98">
        <v>0</v>
      </c>
      <c r="X715" s="98">
        <v>0</v>
      </c>
      <c r="Y715" s="101">
        <f t="shared" si="648"/>
        <v>0</v>
      </c>
      <c r="Z715" s="101">
        <v>1</v>
      </c>
      <c r="AA715" s="183">
        <v>0</v>
      </c>
      <c r="AB715" s="99">
        <v>1</v>
      </c>
      <c r="AC715" s="98">
        <v>0</v>
      </c>
      <c r="AD715" s="98">
        <v>0</v>
      </c>
      <c r="AE715" s="101">
        <f t="shared" si="646"/>
        <v>0</v>
      </c>
      <c r="AF715" s="100">
        <v>0</v>
      </c>
      <c r="AG715" s="98">
        <v>0</v>
      </c>
      <c r="AH715" s="99">
        <f t="shared" si="647"/>
        <v>0</v>
      </c>
      <c r="AI715" s="101">
        <v>1</v>
      </c>
      <c r="AJ715" s="106"/>
    </row>
    <row r="716" spans="2:36" s="126" customFormat="1" ht="17.100000000000001" customHeight="1">
      <c r="B716" s="118"/>
      <c r="C716" s="119"/>
      <c r="D716" s="120"/>
      <c r="E716" s="121"/>
      <c r="F716" s="122"/>
      <c r="G716" s="123"/>
      <c r="H716" s="183">
        <v>1</v>
      </c>
      <c r="I716" s="363" t="s">
        <v>201</v>
      </c>
      <c r="J716" s="363"/>
      <c r="K716" s="124">
        <f>SUM(K709:K715)</f>
        <v>0</v>
      </c>
      <c r="L716" s="341" t="s">
        <v>201</v>
      </c>
      <c r="M716" s="342"/>
      <c r="N716" s="124">
        <f>SUM(N709:N715)</f>
        <v>0</v>
      </c>
      <c r="O716" s="341" t="s">
        <v>201</v>
      </c>
      <c r="P716" s="342"/>
      <c r="Q716" s="124">
        <f>SUM(Q709:Q715)</f>
        <v>0</v>
      </c>
      <c r="R716" s="341" t="s">
        <v>201</v>
      </c>
      <c r="S716" s="342"/>
      <c r="T716" s="124">
        <f>SUM(T709:T715)</f>
        <v>0</v>
      </c>
      <c r="U716" s="183">
        <v>1</v>
      </c>
      <c r="V716" s="99">
        <v>1</v>
      </c>
      <c r="W716" s="363" t="s">
        <v>201</v>
      </c>
      <c r="X716" s="363"/>
      <c r="Y716" s="124">
        <f>SUM(Y709:Y715)</f>
        <v>0</v>
      </c>
      <c r="Z716" s="101">
        <v>1</v>
      </c>
      <c r="AA716" s="183">
        <v>0</v>
      </c>
      <c r="AB716" s="99">
        <v>1</v>
      </c>
      <c r="AC716" s="363" t="s">
        <v>201</v>
      </c>
      <c r="AD716" s="363"/>
      <c r="AE716" s="124">
        <f>SUM(AE709:AE715)</f>
        <v>0</v>
      </c>
      <c r="AF716" s="364" t="s">
        <v>201</v>
      </c>
      <c r="AG716" s="363"/>
      <c r="AH716" s="143">
        <f>SUM(AH709:AH715)</f>
        <v>0</v>
      </c>
      <c r="AI716" s="101">
        <v>1</v>
      </c>
      <c r="AJ716" s="125"/>
    </row>
    <row r="717" spans="2:36" s="35" customFormat="1" ht="16.95" customHeight="1">
      <c r="B717" s="105"/>
      <c r="C717" s="54">
        <f>'3. Rekap Back Up Non Aspal '!C110</f>
        <v>13000</v>
      </c>
      <c r="D717" s="96">
        <f>'3. Rekap Back Up Non Aspal '!D110</f>
        <v>13100</v>
      </c>
      <c r="E717" s="111">
        <f>'3. Rekap Back Up Non Aspal '!E110</f>
        <v>3</v>
      </c>
      <c r="F717" s="112">
        <f>(100/((D717-C717)*E717))*((K724*0.05)+(N724*0.05)+(Q724*0.05)+(T724)+(Y724)+(AE724*1.5)+(AH724*1))</f>
        <v>100</v>
      </c>
      <c r="G717" s="113" t="str">
        <f>IF(F717&lt;=25,"RB",IF(F717&lt;=75,"RB",IF(F717&lt;=100,"RB","RB")))</f>
        <v>RB</v>
      </c>
      <c r="H717" s="183">
        <v>1</v>
      </c>
      <c r="I717" s="98">
        <v>0</v>
      </c>
      <c r="J717" s="98">
        <v>0</v>
      </c>
      <c r="K717" s="101">
        <f t="shared" ref="K717:K723" si="649">I717*J717</f>
        <v>0</v>
      </c>
      <c r="L717" s="98">
        <v>0</v>
      </c>
      <c r="M717" s="98">
        <v>0</v>
      </c>
      <c r="N717" s="101">
        <f t="shared" ref="N717:N723" si="650">L717*M717</f>
        <v>0</v>
      </c>
      <c r="O717" s="98">
        <v>0</v>
      </c>
      <c r="P717" s="98">
        <v>0</v>
      </c>
      <c r="Q717" s="101">
        <f t="shared" ref="Q717:Q723" si="651">O717*P717</f>
        <v>0</v>
      </c>
      <c r="R717" s="98">
        <v>0</v>
      </c>
      <c r="S717" s="98">
        <v>0</v>
      </c>
      <c r="T717" s="101">
        <f t="shared" ref="T717:T723" si="652">R717*S717</f>
        <v>0</v>
      </c>
      <c r="U717" s="183">
        <v>2</v>
      </c>
      <c r="V717" s="99">
        <v>2</v>
      </c>
      <c r="W717" s="98">
        <v>100</v>
      </c>
      <c r="X717" s="98">
        <v>3</v>
      </c>
      <c r="Y717" s="101">
        <f>W717*X717</f>
        <v>300</v>
      </c>
      <c r="Z717" s="101">
        <v>1</v>
      </c>
      <c r="AA717" s="183">
        <v>0</v>
      </c>
      <c r="AB717" s="99">
        <v>1</v>
      </c>
      <c r="AC717" s="98">
        <v>0</v>
      </c>
      <c r="AD717" s="98">
        <v>0</v>
      </c>
      <c r="AE717" s="101">
        <f t="shared" ref="AE717:AE723" si="653">AC717*AD717</f>
        <v>0</v>
      </c>
      <c r="AF717" s="98">
        <v>0</v>
      </c>
      <c r="AG717" s="98">
        <v>3</v>
      </c>
      <c r="AH717" s="99">
        <f t="shared" ref="AH717:AH723" si="654">AF717*AG717</f>
        <v>0</v>
      </c>
      <c r="AI717" s="101">
        <v>1</v>
      </c>
      <c r="AJ717" s="106"/>
    </row>
    <row r="718" spans="2:36" s="35" customFormat="1" ht="17.100000000000001" customHeight="1">
      <c r="B718" s="105"/>
      <c r="C718" s="54"/>
      <c r="D718" s="96"/>
      <c r="E718" s="111"/>
      <c r="F718" s="112"/>
      <c r="G718" s="113"/>
      <c r="H718" s="183">
        <v>1</v>
      </c>
      <c r="I718" s="98">
        <v>0</v>
      </c>
      <c r="J718" s="98">
        <v>0</v>
      </c>
      <c r="K718" s="101">
        <f t="shared" si="649"/>
        <v>0</v>
      </c>
      <c r="L718" s="100">
        <v>0</v>
      </c>
      <c r="M718" s="98">
        <v>0</v>
      </c>
      <c r="N718" s="101">
        <f t="shared" si="650"/>
        <v>0</v>
      </c>
      <c r="O718" s="100">
        <v>0</v>
      </c>
      <c r="P718" s="98">
        <v>0</v>
      </c>
      <c r="Q718" s="101">
        <f t="shared" si="651"/>
        <v>0</v>
      </c>
      <c r="R718" s="100">
        <v>0</v>
      </c>
      <c r="S718" s="98">
        <v>0</v>
      </c>
      <c r="T718" s="101">
        <f t="shared" si="652"/>
        <v>0</v>
      </c>
      <c r="U718" s="183">
        <v>1</v>
      </c>
      <c r="V718" s="99">
        <v>1</v>
      </c>
      <c r="W718" s="98">
        <v>0</v>
      </c>
      <c r="X718" s="98">
        <v>0</v>
      </c>
      <c r="Y718" s="101">
        <f t="shared" ref="Y718:Y723" si="655">W718*X718</f>
        <v>0</v>
      </c>
      <c r="Z718" s="101">
        <v>1</v>
      </c>
      <c r="AA718" s="183">
        <v>0</v>
      </c>
      <c r="AB718" s="99">
        <v>1</v>
      </c>
      <c r="AC718" s="98">
        <v>0</v>
      </c>
      <c r="AD718" s="98">
        <v>0</v>
      </c>
      <c r="AE718" s="101">
        <f t="shared" si="653"/>
        <v>0</v>
      </c>
      <c r="AF718" s="100">
        <v>0</v>
      </c>
      <c r="AG718" s="98">
        <v>0</v>
      </c>
      <c r="AH718" s="99">
        <f t="shared" si="654"/>
        <v>0</v>
      </c>
      <c r="AI718" s="101">
        <v>1</v>
      </c>
      <c r="AJ718" s="106"/>
    </row>
    <row r="719" spans="2:36" s="35" customFormat="1" ht="17.100000000000001" customHeight="1">
      <c r="B719" s="105"/>
      <c r="C719" s="54"/>
      <c r="D719" s="96"/>
      <c r="E719" s="111"/>
      <c r="F719" s="112"/>
      <c r="G719" s="113"/>
      <c r="H719" s="183">
        <v>1</v>
      </c>
      <c r="I719" s="98">
        <v>0</v>
      </c>
      <c r="J719" s="98">
        <v>0</v>
      </c>
      <c r="K719" s="101">
        <f t="shared" si="649"/>
        <v>0</v>
      </c>
      <c r="L719" s="100">
        <v>0</v>
      </c>
      <c r="M719" s="98">
        <v>0</v>
      </c>
      <c r="N719" s="101">
        <f t="shared" si="650"/>
        <v>0</v>
      </c>
      <c r="O719" s="100">
        <v>0</v>
      </c>
      <c r="P719" s="98">
        <v>0</v>
      </c>
      <c r="Q719" s="101">
        <f t="shared" si="651"/>
        <v>0</v>
      </c>
      <c r="R719" s="100">
        <v>0</v>
      </c>
      <c r="S719" s="98">
        <v>0</v>
      </c>
      <c r="T719" s="101">
        <f t="shared" si="652"/>
        <v>0</v>
      </c>
      <c r="U719" s="183">
        <v>1</v>
      </c>
      <c r="V719" s="99">
        <v>1</v>
      </c>
      <c r="W719" s="98">
        <v>0</v>
      </c>
      <c r="X719" s="98">
        <v>0</v>
      </c>
      <c r="Y719" s="101">
        <f t="shared" si="655"/>
        <v>0</v>
      </c>
      <c r="Z719" s="101">
        <v>1</v>
      </c>
      <c r="AA719" s="183">
        <v>0</v>
      </c>
      <c r="AB719" s="99">
        <v>1</v>
      </c>
      <c r="AC719" s="98">
        <v>0</v>
      </c>
      <c r="AD719" s="98">
        <v>0</v>
      </c>
      <c r="AE719" s="101">
        <f t="shared" si="653"/>
        <v>0</v>
      </c>
      <c r="AF719" s="100">
        <v>0</v>
      </c>
      <c r="AG719" s="98">
        <v>0</v>
      </c>
      <c r="AH719" s="99">
        <f t="shared" si="654"/>
        <v>0</v>
      </c>
      <c r="AI719" s="101">
        <v>1</v>
      </c>
      <c r="AJ719" s="106"/>
    </row>
    <row r="720" spans="2:36" s="35" customFormat="1" ht="17.100000000000001" customHeight="1">
      <c r="B720" s="105"/>
      <c r="C720" s="54"/>
      <c r="D720" s="96"/>
      <c r="E720" s="111"/>
      <c r="F720" s="112"/>
      <c r="G720" s="113"/>
      <c r="H720" s="183">
        <v>1</v>
      </c>
      <c r="I720" s="98">
        <v>0</v>
      </c>
      <c r="J720" s="98">
        <v>0</v>
      </c>
      <c r="K720" s="101">
        <f t="shared" si="649"/>
        <v>0</v>
      </c>
      <c r="L720" s="100">
        <v>0</v>
      </c>
      <c r="M720" s="98">
        <v>0</v>
      </c>
      <c r="N720" s="101">
        <f t="shared" si="650"/>
        <v>0</v>
      </c>
      <c r="O720" s="100">
        <v>0</v>
      </c>
      <c r="P720" s="98">
        <v>0</v>
      </c>
      <c r="Q720" s="101">
        <f t="shared" si="651"/>
        <v>0</v>
      </c>
      <c r="R720" s="100">
        <v>0</v>
      </c>
      <c r="S720" s="98">
        <v>0</v>
      </c>
      <c r="T720" s="101">
        <f t="shared" si="652"/>
        <v>0</v>
      </c>
      <c r="U720" s="183">
        <v>1</v>
      </c>
      <c r="V720" s="99">
        <v>1</v>
      </c>
      <c r="W720" s="98">
        <v>0</v>
      </c>
      <c r="X720" s="98">
        <v>0</v>
      </c>
      <c r="Y720" s="101">
        <f t="shared" si="655"/>
        <v>0</v>
      </c>
      <c r="Z720" s="101">
        <v>1</v>
      </c>
      <c r="AA720" s="183">
        <v>0</v>
      </c>
      <c r="AB720" s="99">
        <v>1</v>
      </c>
      <c r="AC720" s="98">
        <v>0</v>
      </c>
      <c r="AD720" s="98">
        <v>0</v>
      </c>
      <c r="AE720" s="101">
        <f t="shared" si="653"/>
        <v>0</v>
      </c>
      <c r="AF720" s="100">
        <v>0</v>
      </c>
      <c r="AG720" s="98">
        <v>0</v>
      </c>
      <c r="AH720" s="99">
        <f t="shared" si="654"/>
        <v>0</v>
      </c>
      <c r="AI720" s="101">
        <v>1</v>
      </c>
      <c r="AJ720" s="106"/>
    </row>
    <row r="721" spans="2:36" s="35" customFormat="1" ht="17.100000000000001" customHeight="1">
      <c r="B721" s="105"/>
      <c r="C721" s="54"/>
      <c r="D721" s="96"/>
      <c r="E721" s="111"/>
      <c r="F721" s="112"/>
      <c r="G721" s="113"/>
      <c r="H721" s="183">
        <v>1</v>
      </c>
      <c r="I721" s="98">
        <v>0</v>
      </c>
      <c r="J721" s="98">
        <v>0</v>
      </c>
      <c r="K721" s="101">
        <f t="shared" si="649"/>
        <v>0</v>
      </c>
      <c r="L721" s="100">
        <v>0</v>
      </c>
      <c r="M721" s="98">
        <v>0</v>
      </c>
      <c r="N721" s="101">
        <f t="shared" si="650"/>
        <v>0</v>
      </c>
      <c r="O721" s="100">
        <v>0</v>
      </c>
      <c r="P721" s="98">
        <v>0</v>
      </c>
      <c r="Q721" s="101">
        <f t="shared" si="651"/>
        <v>0</v>
      </c>
      <c r="R721" s="100">
        <v>0</v>
      </c>
      <c r="S721" s="98">
        <v>0</v>
      </c>
      <c r="T721" s="101">
        <f t="shared" si="652"/>
        <v>0</v>
      </c>
      <c r="U721" s="183">
        <v>1</v>
      </c>
      <c r="V721" s="99">
        <v>1</v>
      </c>
      <c r="W721" s="98">
        <v>0</v>
      </c>
      <c r="X721" s="98">
        <v>0</v>
      </c>
      <c r="Y721" s="101">
        <f t="shared" si="655"/>
        <v>0</v>
      </c>
      <c r="Z721" s="101">
        <v>1</v>
      </c>
      <c r="AA721" s="183">
        <v>0</v>
      </c>
      <c r="AB721" s="99">
        <v>1</v>
      </c>
      <c r="AC721" s="98">
        <v>0</v>
      </c>
      <c r="AD721" s="98">
        <v>0</v>
      </c>
      <c r="AE721" s="101">
        <f t="shared" si="653"/>
        <v>0</v>
      </c>
      <c r="AF721" s="100">
        <v>0</v>
      </c>
      <c r="AG721" s="98">
        <v>0</v>
      </c>
      <c r="AH721" s="99">
        <f t="shared" si="654"/>
        <v>0</v>
      </c>
      <c r="AI721" s="101">
        <v>1</v>
      </c>
      <c r="AJ721" s="106"/>
    </row>
    <row r="722" spans="2:36" s="35" customFormat="1" ht="17.100000000000001" customHeight="1">
      <c r="B722" s="105"/>
      <c r="C722" s="54"/>
      <c r="D722" s="96"/>
      <c r="E722" s="111"/>
      <c r="F722" s="112"/>
      <c r="G722" s="113"/>
      <c r="H722" s="183">
        <v>1</v>
      </c>
      <c r="I722" s="98">
        <v>0</v>
      </c>
      <c r="J722" s="98">
        <v>0</v>
      </c>
      <c r="K722" s="101">
        <f t="shared" si="649"/>
        <v>0</v>
      </c>
      <c r="L722" s="100">
        <v>0</v>
      </c>
      <c r="M722" s="98">
        <v>0</v>
      </c>
      <c r="N722" s="101">
        <f t="shared" si="650"/>
        <v>0</v>
      </c>
      <c r="O722" s="100">
        <v>0</v>
      </c>
      <c r="P722" s="98">
        <v>0</v>
      </c>
      <c r="Q722" s="101">
        <f t="shared" si="651"/>
        <v>0</v>
      </c>
      <c r="R722" s="100">
        <v>0</v>
      </c>
      <c r="S722" s="98">
        <v>0</v>
      </c>
      <c r="T722" s="101">
        <f t="shared" si="652"/>
        <v>0</v>
      </c>
      <c r="U722" s="183">
        <v>1</v>
      </c>
      <c r="V722" s="99">
        <v>1</v>
      </c>
      <c r="W722" s="98">
        <v>0</v>
      </c>
      <c r="X722" s="98">
        <v>0</v>
      </c>
      <c r="Y722" s="101">
        <f t="shared" si="655"/>
        <v>0</v>
      </c>
      <c r="Z722" s="101">
        <v>1</v>
      </c>
      <c r="AA722" s="183">
        <v>0</v>
      </c>
      <c r="AB722" s="99">
        <v>1</v>
      </c>
      <c r="AC722" s="98">
        <v>0</v>
      </c>
      <c r="AD722" s="98">
        <v>0</v>
      </c>
      <c r="AE722" s="101">
        <f t="shared" si="653"/>
        <v>0</v>
      </c>
      <c r="AF722" s="100">
        <v>0</v>
      </c>
      <c r="AG722" s="98">
        <v>0</v>
      </c>
      <c r="AH722" s="99">
        <f t="shared" si="654"/>
        <v>0</v>
      </c>
      <c r="AI722" s="101">
        <v>1</v>
      </c>
      <c r="AJ722" s="106"/>
    </row>
    <row r="723" spans="2:36" s="35" customFormat="1" ht="17.100000000000001" customHeight="1">
      <c r="B723" s="105"/>
      <c r="C723" s="54"/>
      <c r="D723" s="96"/>
      <c r="E723" s="111"/>
      <c r="F723" s="112"/>
      <c r="G723" s="113"/>
      <c r="H723" s="183">
        <v>1</v>
      </c>
      <c r="I723" s="98">
        <v>0</v>
      </c>
      <c r="J723" s="98">
        <v>0</v>
      </c>
      <c r="K723" s="101">
        <f t="shared" si="649"/>
        <v>0</v>
      </c>
      <c r="L723" s="100">
        <v>0</v>
      </c>
      <c r="M723" s="98">
        <v>0</v>
      </c>
      <c r="N723" s="101">
        <f t="shared" si="650"/>
        <v>0</v>
      </c>
      <c r="O723" s="100">
        <v>0</v>
      </c>
      <c r="P723" s="98">
        <v>0</v>
      </c>
      <c r="Q723" s="101">
        <f t="shared" si="651"/>
        <v>0</v>
      </c>
      <c r="R723" s="100">
        <v>0</v>
      </c>
      <c r="S723" s="98">
        <v>0</v>
      </c>
      <c r="T723" s="101">
        <f t="shared" si="652"/>
        <v>0</v>
      </c>
      <c r="U723" s="183">
        <v>1</v>
      </c>
      <c r="V723" s="99">
        <v>1</v>
      </c>
      <c r="W723" s="98">
        <v>0</v>
      </c>
      <c r="X723" s="98">
        <v>0</v>
      </c>
      <c r="Y723" s="101">
        <f t="shared" si="655"/>
        <v>0</v>
      </c>
      <c r="Z723" s="101">
        <v>1</v>
      </c>
      <c r="AA723" s="183">
        <v>0</v>
      </c>
      <c r="AB723" s="99">
        <v>1</v>
      </c>
      <c r="AC723" s="98">
        <v>0</v>
      </c>
      <c r="AD723" s="98">
        <v>0</v>
      </c>
      <c r="AE723" s="101">
        <f t="shared" si="653"/>
        <v>0</v>
      </c>
      <c r="AF723" s="100">
        <v>0</v>
      </c>
      <c r="AG723" s="98">
        <v>0</v>
      </c>
      <c r="AH723" s="99">
        <f t="shared" si="654"/>
        <v>0</v>
      </c>
      <c r="AI723" s="101">
        <v>1</v>
      </c>
      <c r="AJ723" s="106"/>
    </row>
    <row r="724" spans="2:36" s="126" customFormat="1" ht="17.100000000000001" customHeight="1">
      <c r="B724" s="118"/>
      <c r="C724" s="119"/>
      <c r="D724" s="120"/>
      <c r="E724" s="121"/>
      <c r="F724" s="122"/>
      <c r="G724" s="123"/>
      <c r="H724" s="183">
        <v>1</v>
      </c>
      <c r="I724" s="363" t="s">
        <v>201</v>
      </c>
      <c r="J724" s="363"/>
      <c r="K724" s="124">
        <f>SUM(K717:K723)</f>
        <v>0</v>
      </c>
      <c r="L724" s="341" t="s">
        <v>201</v>
      </c>
      <c r="M724" s="342"/>
      <c r="N724" s="124">
        <f>SUM(N717:N723)</f>
        <v>0</v>
      </c>
      <c r="O724" s="341" t="s">
        <v>201</v>
      </c>
      <c r="P724" s="342"/>
      <c r="Q724" s="124">
        <f>SUM(Q717:Q723)</f>
        <v>0</v>
      </c>
      <c r="R724" s="341" t="s">
        <v>201</v>
      </c>
      <c r="S724" s="342"/>
      <c r="T724" s="124">
        <f>SUM(T717:T723)</f>
        <v>0</v>
      </c>
      <c r="U724" s="183">
        <v>1</v>
      </c>
      <c r="V724" s="99">
        <v>1</v>
      </c>
      <c r="W724" s="363" t="s">
        <v>201</v>
      </c>
      <c r="X724" s="363"/>
      <c r="Y724" s="124">
        <f>SUM(Y717:Y723)</f>
        <v>300</v>
      </c>
      <c r="Z724" s="101">
        <v>1</v>
      </c>
      <c r="AA724" s="183">
        <v>0</v>
      </c>
      <c r="AB724" s="99">
        <v>1</v>
      </c>
      <c r="AC724" s="363" t="s">
        <v>201</v>
      </c>
      <c r="AD724" s="363"/>
      <c r="AE724" s="124">
        <f>SUM(AE717:AE723)</f>
        <v>0</v>
      </c>
      <c r="AF724" s="364" t="s">
        <v>201</v>
      </c>
      <c r="AG724" s="363"/>
      <c r="AH724" s="143">
        <f>SUM(AH717:AH723)</f>
        <v>0</v>
      </c>
      <c r="AI724" s="101">
        <v>1</v>
      </c>
      <c r="AJ724" s="125"/>
    </row>
    <row r="725" spans="2:36" s="35" customFormat="1" ht="16.95" customHeight="1">
      <c r="B725" s="105"/>
      <c r="C725" s="54">
        <f>'3. Rekap Back Up Non Aspal '!C111</f>
        <v>13100</v>
      </c>
      <c r="D725" s="96">
        <f>'3. Rekap Back Up Non Aspal '!D111</f>
        <v>13200</v>
      </c>
      <c r="E725" s="111">
        <f>'3. Rekap Back Up Non Aspal '!E111</f>
        <v>3</v>
      </c>
      <c r="F725" s="112">
        <f>(100/((D725-C725)*E725))*((K732*0.05)+(N732*0.05)+(Q732*0.05)+(T732)+(Y732)+(AE732*1.5)+(AH732*1))</f>
        <v>100</v>
      </c>
      <c r="G725" s="113" t="str">
        <f>IF(F725&lt;=25,"RB",IF(F725&lt;=75,"RB",IF(F725&lt;=100,"RB","RB")))</f>
        <v>RB</v>
      </c>
      <c r="H725" s="183">
        <v>1</v>
      </c>
      <c r="I725" s="98">
        <v>0</v>
      </c>
      <c r="J725" s="98">
        <v>0</v>
      </c>
      <c r="K725" s="101">
        <f t="shared" ref="K725:K731" si="656">I725*J725</f>
        <v>0</v>
      </c>
      <c r="L725" s="98">
        <v>0</v>
      </c>
      <c r="M725" s="98">
        <v>0</v>
      </c>
      <c r="N725" s="101">
        <f t="shared" ref="N725:N731" si="657">L725*M725</f>
        <v>0</v>
      </c>
      <c r="O725" s="98">
        <v>0</v>
      </c>
      <c r="P725" s="98">
        <v>0</v>
      </c>
      <c r="Q725" s="101">
        <f t="shared" ref="Q725:Q731" si="658">O725*P725</f>
        <v>0</v>
      </c>
      <c r="R725" s="98">
        <v>0</v>
      </c>
      <c r="S725" s="98">
        <v>0</v>
      </c>
      <c r="T725" s="101">
        <f t="shared" ref="T725:T731" si="659">R725*S725</f>
        <v>0</v>
      </c>
      <c r="U725" s="183">
        <v>1</v>
      </c>
      <c r="V725" s="99">
        <v>1</v>
      </c>
      <c r="W725" s="98">
        <v>100</v>
      </c>
      <c r="X725" s="98">
        <v>3</v>
      </c>
      <c r="Y725" s="101">
        <f>W725*X725</f>
        <v>300</v>
      </c>
      <c r="Z725" s="101">
        <v>1</v>
      </c>
      <c r="AA725" s="183">
        <v>0</v>
      </c>
      <c r="AB725" s="99">
        <v>1</v>
      </c>
      <c r="AC725" s="98">
        <v>0</v>
      </c>
      <c r="AD725" s="98">
        <v>0</v>
      </c>
      <c r="AE725" s="101">
        <f t="shared" ref="AE725:AE731" si="660">AC725*AD725</f>
        <v>0</v>
      </c>
      <c r="AF725" s="98">
        <v>0</v>
      </c>
      <c r="AG725" s="98">
        <v>3</v>
      </c>
      <c r="AH725" s="99">
        <f t="shared" ref="AH725:AH731" si="661">AF725*AG725</f>
        <v>0</v>
      </c>
      <c r="AI725" s="101">
        <v>1</v>
      </c>
      <c r="AJ725" s="106"/>
    </row>
    <row r="726" spans="2:36" s="35" customFormat="1" ht="17.100000000000001" customHeight="1">
      <c r="B726" s="105"/>
      <c r="C726" s="54"/>
      <c r="D726" s="96"/>
      <c r="E726" s="111"/>
      <c r="F726" s="112"/>
      <c r="G726" s="113"/>
      <c r="H726" s="183">
        <v>1</v>
      </c>
      <c r="I726" s="98">
        <v>0</v>
      </c>
      <c r="J726" s="98">
        <v>0</v>
      </c>
      <c r="K726" s="101">
        <f t="shared" si="656"/>
        <v>0</v>
      </c>
      <c r="L726" s="100">
        <v>0</v>
      </c>
      <c r="M726" s="98">
        <v>0</v>
      </c>
      <c r="N726" s="101">
        <f t="shared" si="657"/>
        <v>0</v>
      </c>
      <c r="O726" s="100">
        <v>0</v>
      </c>
      <c r="P726" s="98">
        <v>0</v>
      </c>
      <c r="Q726" s="101">
        <f t="shared" si="658"/>
        <v>0</v>
      </c>
      <c r="R726" s="100">
        <v>0</v>
      </c>
      <c r="S726" s="98">
        <v>0</v>
      </c>
      <c r="T726" s="101">
        <f t="shared" si="659"/>
        <v>0</v>
      </c>
      <c r="U726" s="183">
        <v>3</v>
      </c>
      <c r="V726" s="99">
        <v>3</v>
      </c>
      <c r="W726" s="98">
        <v>0</v>
      </c>
      <c r="X726" s="98">
        <v>0</v>
      </c>
      <c r="Y726" s="101">
        <f t="shared" ref="Y726:Y731" si="662">W726*X726</f>
        <v>0</v>
      </c>
      <c r="Z726" s="101">
        <v>1</v>
      </c>
      <c r="AA726" s="183">
        <v>0</v>
      </c>
      <c r="AB726" s="99">
        <v>1</v>
      </c>
      <c r="AC726" s="98">
        <v>0</v>
      </c>
      <c r="AD726" s="98">
        <v>0</v>
      </c>
      <c r="AE726" s="101">
        <f t="shared" si="660"/>
        <v>0</v>
      </c>
      <c r="AF726" s="100">
        <v>0</v>
      </c>
      <c r="AG726" s="98">
        <v>0</v>
      </c>
      <c r="AH726" s="99">
        <f t="shared" si="661"/>
        <v>0</v>
      </c>
      <c r="AI726" s="101">
        <v>1</v>
      </c>
      <c r="AJ726" s="106"/>
    </row>
    <row r="727" spans="2:36" s="35" customFormat="1" ht="17.100000000000001" customHeight="1">
      <c r="B727" s="105"/>
      <c r="C727" s="54"/>
      <c r="D727" s="96"/>
      <c r="E727" s="111"/>
      <c r="F727" s="112"/>
      <c r="G727" s="113"/>
      <c r="H727" s="183">
        <v>1</v>
      </c>
      <c r="I727" s="98">
        <v>0</v>
      </c>
      <c r="J727" s="98">
        <v>0</v>
      </c>
      <c r="K727" s="101">
        <f t="shared" si="656"/>
        <v>0</v>
      </c>
      <c r="L727" s="100">
        <v>0</v>
      </c>
      <c r="M727" s="98">
        <v>0</v>
      </c>
      <c r="N727" s="101">
        <f t="shared" si="657"/>
        <v>0</v>
      </c>
      <c r="O727" s="100">
        <v>0</v>
      </c>
      <c r="P727" s="98">
        <v>0</v>
      </c>
      <c r="Q727" s="101">
        <f t="shared" si="658"/>
        <v>0</v>
      </c>
      <c r="R727" s="100">
        <v>0</v>
      </c>
      <c r="S727" s="98">
        <v>0</v>
      </c>
      <c r="T727" s="101">
        <f t="shared" si="659"/>
        <v>0</v>
      </c>
      <c r="U727" s="183">
        <v>1</v>
      </c>
      <c r="V727" s="99">
        <v>1</v>
      </c>
      <c r="W727" s="98">
        <v>0</v>
      </c>
      <c r="X727" s="98">
        <v>0</v>
      </c>
      <c r="Y727" s="101">
        <f t="shared" si="662"/>
        <v>0</v>
      </c>
      <c r="Z727" s="101">
        <v>1</v>
      </c>
      <c r="AA727" s="183">
        <v>0</v>
      </c>
      <c r="AB727" s="99">
        <v>1</v>
      </c>
      <c r="AC727" s="98">
        <v>0</v>
      </c>
      <c r="AD727" s="98">
        <v>0</v>
      </c>
      <c r="AE727" s="101">
        <f t="shared" si="660"/>
        <v>0</v>
      </c>
      <c r="AF727" s="100">
        <v>0</v>
      </c>
      <c r="AG727" s="98">
        <v>0</v>
      </c>
      <c r="AH727" s="99">
        <f t="shared" si="661"/>
        <v>0</v>
      </c>
      <c r="AI727" s="101">
        <v>1</v>
      </c>
      <c r="AJ727" s="106"/>
    </row>
    <row r="728" spans="2:36" s="35" customFormat="1" ht="17.100000000000001" customHeight="1">
      <c r="B728" s="105"/>
      <c r="C728" s="54"/>
      <c r="D728" s="96"/>
      <c r="E728" s="111"/>
      <c r="F728" s="112"/>
      <c r="G728" s="113"/>
      <c r="H728" s="183">
        <v>1</v>
      </c>
      <c r="I728" s="98">
        <v>0</v>
      </c>
      <c r="J728" s="98">
        <v>0</v>
      </c>
      <c r="K728" s="101">
        <f t="shared" si="656"/>
        <v>0</v>
      </c>
      <c r="L728" s="100">
        <v>0</v>
      </c>
      <c r="M728" s="98">
        <v>0</v>
      </c>
      <c r="N728" s="101">
        <f t="shared" si="657"/>
        <v>0</v>
      </c>
      <c r="O728" s="100">
        <v>0</v>
      </c>
      <c r="P728" s="98">
        <v>0</v>
      </c>
      <c r="Q728" s="101">
        <f t="shared" si="658"/>
        <v>0</v>
      </c>
      <c r="R728" s="100">
        <v>0</v>
      </c>
      <c r="S728" s="98">
        <v>0</v>
      </c>
      <c r="T728" s="101">
        <f t="shared" si="659"/>
        <v>0</v>
      </c>
      <c r="U728" s="183">
        <v>1</v>
      </c>
      <c r="V728" s="99">
        <v>1</v>
      </c>
      <c r="W728" s="98">
        <v>0</v>
      </c>
      <c r="X728" s="98">
        <v>0</v>
      </c>
      <c r="Y728" s="101">
        <f t="shared" si="662"/>
        <v>0</v>
      </c>
      <c r="Z728" s="101">
        <v>1</v>
      </c>
      <c r="AA728" s="183">
        <v>0</v>
      </c>
      <c r="AB728" s="99">
        <v>1</v>
      </c>
      <c r="AC728" s="98">
        <v>0</v>
      </c>
      <c r="AD728" s="98">
        <v>0</v>
      </c>
      <c r="AE728" s="101">
        <f t="shared" si="660"/>
        <v>0</v>
      </c>
      <c r="AF728" s="100">
        <v>0</v>
      </c>
      <c r="AG728" s="98">
        <v>0</v>
      </c>
      <c r="AH728" s="99">
        <f t="shared" si="661"/>
        <v>0</v>
      </c>
      <c r="AI728" s="101">
        <v>1</v>
      </c>
      <c r="AJ728" s="106"/>
    </row>
    <row r="729" spans="2:36" s="35" customFormat="1" ht="17.100000000000001" customHeight="1">
      <c r="B729" s="105"/>
      <c r="C729" s="54"/>
      <c r="D729" s="96"/>
      <c r="E729" s="111"/>
      <c r="F729" s="112"/>
      <c r="G729" s="113"/>
      <c r="H729" s="183">
        <v>1</v>
      </c>
      <c r="I729" s="98">
        <v>0</v>
      </c>
      <c r="J729" s="98">
        <v>0</v>
      </c>
      <c r="K729" s="101">
        <f t="shared" si="656"/>
        <v>0</v>
      </c>
      <c r="L729" s="100">
        <v>0</v>
      </c>
      <c r="M729" s="98">
        <v>0</v>
      </c>
      <c r="N729" s="101">
        <f t="shared" si="657"/>
        <v>0</v>
      </c>
      <c r="O729" s="100">
        <v>0</v>
      </c>
      <c r="P729" s="98">
        <v>0</v>
      </c>
      <c r="Q729" s="101">
        <f t="shared" si="658"/>
        <v>0</v>
      </c>
      <c r="R729" s="100">
        <v>0</v>
      </c>
      <c r="S729" s="98">
        <v>0</v>
      </c>
      <c r="T729" s="101">
        <f t="shared" si="659"/>
        <v>0</v>
      </c>
      <c r="U729" s="183">
        <v>1</v>
      </c>
      <c r="V729" s="99">
        <v>1</v>
      </c>
      <c r="W729" s="98">
        <v>0</v>
      </c>
      <c r="X729" s="98">
        <v>0</v>
      </c>
      <c r="Y729" s="101">
        <f t="shared" si="662"/>
        <v>0</v>
      </c>
      <c r="Z729" s="101">
        <v>1</v>
      </c>
      <c r="AA729" s="183">
        <v>0</v>
      </c>
      <c r="AB729" s="99">
        <v>1</v>
      </c>
      <c r="AC729" s="98">
        <v>0</v>
      </c>
      <c r="AD729" s="98">
        <v>0</v>
      </c>
      <c r="AE729" s="101">
        <f t="shared" si="660"/>
        <v>0</v>
      </c>
      <c r="AF729" s="100">
        <v>0</v>
      </c>
      <c r="AG729" s="98">
        <v>0</v>
      </c>
      <c r="AH729" s="99">
        <f t="shared" si="661"/>
        <v>0</v>
      </c>
      <c r="AI729" s="101">
        <v>1</v>
      </c>
      <c r="AJ729" s="106"/>
    </row>
    <row r="730" spans="2:36" s="35" customFormat="1" ht="17.100000000000001" customHeight="1">
      <c r="B730" s="105"/>
      <c r="C730" s="54"/>
      <c r="D730" s="96"/>
      <c r="E730" s="111"/>
      <c r="F730" s="112"/>
      <c r="G730" s="113"/>
      <c r="H730" s="183">
        <v>1</v>
      </c>
      <c r="I730" s="98">
        <v>0</v>
      </c>
      <c r="J730" s="98">
        <v>0</v>
      </c>
      <c r="K730" s="101">
        <f t="shared" si="656"/>
        <v>0</v>
      </c>
      <c r="L730" s="100">
        <v>0</v>
      </c>
      <c r="M730" s="98">
        <v>0</v>
      </c>
      <c r="N730" s="101">
        <f t="shared" si="657"/>
        <v>0</v>
      </c>
      <c r="O730" s="100">
        <v>0</v>
      </c>
      <c r="P730" s="98">
        <v>0</v>
      </c>
      <c r="Q730" s="101">
        <f t="shared" si="658"/>
        <v>0</v>
      </c>
      <c r="R730" s="100">
        <v>0</v>
      </c>
      <c r="S730" s="98">
        <v>0</v>
      </c>
      <c r="T730" s="101">
        <f t="shared" si="659"/>
        <v>0</v>
      </c>
      <c r="U730" s="183">
        <v>1</v>
      </c>
      <c r="V730" s="99">
        <v>1</v>
      </c>
      <c r="W730" s="98">
        <v>0</v>
      </c>
      <c r="X730" s="98">
        <v>0</v>
      </c>
      <c r="Y730" s="101">
        <f t="shared" si="662"/>
        <v>0</v>
      </c>
      <c r="Z730" s="101">
        <v>1</v>
      </c>
      <c r="AA730" s="183">
        <v>0</v>
      </c>
      <c r="AB730" s="99">
        <v>1</v>
      </c>
      <c r="AC730" s="98">
        <v>0</v>
      </c>
      <c r="AD730" s="98">
        <v>0</v>
      </c>
      <c r="AE730" s="101">
        <f t="shared" si="660"/>
        <v>0</v>
      </c>
      <c r="AF730" s="100">
        <v>0</v>
      </c>
      <c r="AG730" s="98">
        <v>0</v>
      </c>
      <c r="AH730" s="99">
        <f t="shared" si="661"/>
        <v>0</v>
      </c>
      <c r="AI730" s="101">
        <v>1</v>
      </c>
      <c r="AJ730" s="106"/>
    </row>
    <row r="731" spans="2:36" s="35" customFormat="1" ht="17.100000000000001" customHeight="1">
      <c r="B731" s="105"/>
      <c r="C731" s="54"/>
      <c r="D731" s="96"/>
      <c r="E731" s="111"/>
      <c r="F731" s="112"/>
      <c r="G731" s="113"/>
      <c r="H731" s="183">
        <v>1</v>
      </c>
      <c r="I731" s="98">
        <v>0</v>
      </c>
      <c r="J731" s="98">
        <v>0</v>
      </c>
      <c r="K731" s="101">
        <f t="shared" si="656"/>
        <v>0</v>
      </c>
      <c r="L731" s="100">
        <v>0</v>
      </c>
      <c r="M731" s="98">
        <v>0</v>
      </c>
      <c r="N731" s="101">
        <f t="shared" si="657"/>
        <v>0</v>
      </c>
      <c r="O731" s="100">
        <v>0</v>
      </c>
      <c r="P731" s="98">
        <v>0</v>
      </c>
      <c r="Q731" s="101">
        <f t="shared" si="658"/>
        <v>0</v>
      </c>
      <c r="R731" s="100">
        <v>0</v>
      </c>
      <c r="S731" s="98">
        <v>0</v>
      </c>
      <c r="T731" s="101">
        <f t="shared" si="659"/>
        <v>0</v>
      </c>
      <c r="U731" s="183">
        <v>1</v>
      </c>
      <c r="V731" s="99">
        <v>1</v>
      </c>
      <c r="W731" s="98">
        <v>0</v>
      </c>
      <c r="X731" s="98">
        <v>0</v>
      </c>
      <c r="Y731" s="101">
        <f t="shared" si="662"/>
        <v>0</v>
      </c>
      <c r="Z731" s="101">
        <v>1</v>
      </c>
      <c r="AA731" s="183">
        <v>0</v>
      </c>
      <c r="AB731" s="99">
        <v>1</v>
      </c>
      <c r="AC731" s="98">
        <v>0</v>
      </c>
      <c r="AD731" s="98">
        <v>0</v>
      </c>
      <c r="AE731" s="101">
        <f t="shared" si="660"/>
        <v>0</v>
      </c>
      <c r="AF731" s="100">
        <v>0</v>
      </c>
      <c r="AG731" s="98">
        <v>0</v>
      </c>
      <c r="AH731" s="99">
        <f t="shared" si="661"/>
        <v>0</v>
      </c>
      <c r="AI731" s="101">
        <v>1</v>
      </c>
      <c r="AJ731" s="106"/>
    </row>
    <row r="732" spans="2:36" s="126" customFormat="1" ht="17.100000000000001" customHeight="1">
      <c r="B732" s="118"/>
      <c r="C732" s="119"/>
      <c r="D732" s="120"/>
      <c r="E732" s="121"/>
      <c r="F732" s="122"/>
      <c r="G732" s="123"/>
      <c r="H732" s="183">
        <v>1</v>
      </c>
      <c r="I732" s="363" t="s">
        <v>201</v>
      </c>
      <c r="J732" s="363"/>
      <c r="K732" s="124">
        <f>SUM(K725:K731)</f>
        <v>0</v>
      </c>
      <c r="L732" s="341" t="s">
        <v>201</v>
      </c>
      <c r="M732" s="342"/>
      <c r="N732" s="124">
        <f>SUM(N725:N731)</f>
        <v>0</v>
      </c>
      <c r="O732" s="341" t="s">
        <v>201</v>
      </c>
      <c r="P732" s="342"/>
      <c r="Q732" s="124">
        <f>SUM(Q725:Q731)</f>
        <v>0</v>
      </c>
      <c r="R732" s="341" t="s">
        <v>201</v>
      </c>
      <c r="S732" s="342"/>
      <c r="T732" s="124">
        <f>SUM(T725:T731)</f>
        <v>0</v>
      </c>
      <c r="U732" s="183">
        <v>1</v>
      </c>
      <c r="V732" s="99">
        <v>1</v>
      </c>
      <c r="W732" s="363" t="s">
        <v>201</v>
      </c>
      <c r="X732" s="363"/>
      <c r="Y732" s="124">
        <f>SUM(Y725:Y731)</f>
        <v>300</v>
      </c>
      <c r="Z732" s="101">
        <v>1</v>
      </c>
      <c r="AA732" s="183">
        <v>0</v>
      </c>
      <c r="AB732" s="99">
        <v>1</v>
      </c>
      <c r="AC732" s="363" t="s">
        <v>201</v>
      </c>
      <c r="AD732" s="363"/>
      <c r="AE732" s="124">
        <f>SUM(AE725:AE731)</f>
        <v>0</v>
      </c>
      <c r="AF732" s="364" t="s">
        <v>201</v>
      </c>
      <c r="AG732" s="363"/>
      <c r="AH732" s="143">
        <f>SUM(AH725:AH731)</f>
        <v>0</v>
      </c>
      <c r="AI732" s="101">
        <v>1</v>
      </c>
      <c r="AJ732" s="125"/>
    </row>
    <row r="733" spans="2:36" s="35" customFormat="1" ht="16.95" customHeight="1">
      <c r="B733" s="105"/>
      <c r="C733" s="54">
        <f>'3. Rekap Back Up Non Aspal '!C112</f>
        <v>13200</v>
      </c>
      <c r="D733" s="96">
        <f>'3. Rekap Back Up Non Aspal '!D112</f>
        <v>13300</v>
      </c>
      <c r="E733" s="111">
        <f>'3. Rekap Back Up Non Aspal '!E112</f>
        <v>3</v>
      </c>
      <c r="F733" s="112">
        <f>(100/((D733-C733)*E733))*((K740*0.05)+(N740*0.05)+(Q740*0.05)+(T740)+(Y740)+(AE740*1.5)+(AH740*1))</f>
        <v>66.666666666666657</v>
      </c>
      <c r="G733" s="113" t="str">
        <f>IF(F733&lt;=25,"RB",IF(F733&lt;=75,"RB",IF(F733&lt;=100,"RB","RB")))</f>
        <v>RB</v>
      </c>
      <c r="H733" s="183">
        <v>1</v>
      </c>
      <c r="I733" s="98">
        <v>0</v>
      </c>
      <c r="J733" s="98">
        <v>0</v>
      </c>
      <c r="K733" s="101">
        <f t="shared" ref="K733:K739" si="663">I733*J733</f>
        <v>0</v>
      </c>
      <c r="L733" s="98">
        <v>0</v>
      </c>
      <c r="M733" s="98">
        <v>0</v>
      </c>
      <c r="N733" s="101">
        <f t="shared" ref="N733:N739" si="664">L733*M733</f>
        <v>0</v>
      </c>
      <c r="O733" s="98">
        <v>0</v>
      </c>
      <c r="P733" s="98">
        <v>0</v>
      </c>
      <c r="Q733" s="101">
        <f t="shared" ref="Q733:Q739" si="665">O733*P733</f>
        <v>0</v>
      </c>
      <c r="R733" s="98">
        <v>0</v>
      </c>
      <c r="S733" s="98">
        <v>0</v>
      </c>
      <c r="T733" s="101">
        <f t="shared" ref="T733:T739" si="666">R733*S733</f>
        <v>0</v>
      </c>
      <c r="U733" s="183">
        <v>2</v>
      </c>
      <c r="V733" s="99">
        <v>2</v>
      </c>
      <c r="W733" s="98">
        <v>100</v>
      </c>
      <c r="X733" s="98">
        <v>2</v>
      </c>
      <c r="Y733" s="101">
        <f>W733*X733</f>
        <v>200</v>
      </c>
      <c r="Z733" s="101">
        <v>1</v>
      </c>
      <c r="AA733" s="183">
        <v>0</v>
      </c>
      <c r="AB733" s="99">
        <v>1</v>
      </c>
      <c r="AC733" s="98">
        <v>0</v>
      </c>
      <c r="AD733" s="98">
        <v>0</v>
      </c>
      <c r="AE733" s="101">
        <f t="shared" ref="AE733:AE739" si="667">AC733*AD733</f>
        <v>0</v>
      </c>
      <c r="AF733" s="98">
        <v>0</v>
      </c>
      <c r="AG733" s="98">
        <v>3</v>
      </c>
      <c r="AH733" s="99">
        <f t="shared" ref="AH733:AH739" si="668">AF733*AG733</f>
        <v>0</v>
      </c>
      <c r="AI733" s="101">
        <v>1</v>
      </c>
      <c r="AJ733" s="106"/>
    </row>
    <row r="734" spans="2:36" s="35" customFormat="1" ht="17.100000000000001" customHeight="1">
      <c r="B734" s="105"/>
      <c r="C734" s="54"/>
      <c r="D734" s="96"/>
      <c r="E734" s="111"/>
      <c r="F734" s="112"/>
      <c r="G734" s="113"/>
      <c r="H734" s="183">
        <v>1</v>
      </c>
      <c r="I734" s="98">
        <v>0</v>
      </c>
      <c r="J734" s="98">
        <v>0</v>
      </c>
      <c r="K734" s="101">
        <f t="shared" si="663"/>
        <v>0</v>
      </c>
      <c r="L734" s="100">
        <v>0</v>
      </c>
      <c r="M734" s="98">
        <v>0</v>
      </c>
      <c r="N734" s="101">
        <f t="shared" si="664"/>
        <v>0</v>
      </c>
      <c r="O734" s="100">
        <v>0</v>
      </c>
      <c r="P734" s="98">
        <v>0</v>
      </c>
      <c r="Q734" s="101">
        <f t="shared" si="665"/>
        <v>0</v>
      </c>
      <c r="R734" s="100">
        <v>0</v>
      </c>
      <c r="S734" s="98">
        <v>0</v>
      </c>
      <c r="T734" s="101">
        <f t="shared" si="666"/>
        <v>0</v>
      </c>
      <c r="U734" s="183">
        <v>1</v>
      </c>
      <c r="V734" s="99">
        <v>1</v>
      </c>
      <c r="W734" s="98">
        <v>0</v>
      </c>
      <c r="X734" s="98">
        <v>0</v>
      </c>
      <c r="Y734" s="101">
        <f t="shared" ref="Y734:Y739" si="669">W734*X734</f>
        <v>0</v>
      </c>
      <c r="Z734" s="101">
        <v>1</v>
      </c>
      <c r="AA734" s="183">
        <v>0</v>
      </c>
      <c r="AB734" s="99">
        <v>1</v>
      </c>
      <c r="AC734" s="98">
        <v>0</v>
      </c>
      <c r="AD734" s="98">
        <v>0</v>
      </c>
      <c r="AE734" s="101">
        <f t="shared" si="667"/>
        <v>0</v>
      </c>
      <c r="AF734" s="100">
        <v>0</v>
      </c>
      <c r="AG734" s="98">
        <v>0</v>
      </c>
      <c r="AH734" s="99">
        <f t="shared" si="668"/>
        <v>0</v>
      </c>
      <c r="AI734" s="101">
        <v>1</v>
      </c>
      <c r="AJ734" s="106"/>
    </row>
    <row r="735" spans="2:36" s="35" customFormat="1" ht="17.100000000000001" customHeight="1">
      <c r="B735" s="105"/>
      <c r="C735" s="54"/>
      <c r="D735" s="96"/>
      <c r="E735" s="111"/>
      <c r="F735" s="112"/>
      <c r="G735" s="113"/>
      <c r="H735" s="183">
        <v>1</v>
      </c>
      <c r="I735" s="98">
        <v>0</v>
      </c>
      <c r="J735" s="98">
        <v>0</v>
      </c>
      <c r="K735" s="101">
        <f t="shared" si="663"/>
        <v>0</v>
      </c>
      <c r="L735" s="100">
        <v>0</v>
      </c>
      <c r="M735" s="98">
        <v>0</v>
      </c>
      <c r="N735" s="101">
        <f t="shared" si="664"/>
        <v>0</v>
      </c>
      <c r="O735" s="100">
        <v>0</v>
      </c>
      <c r="P735" s="98">
        <v>0</v>
      </c>
      <c r="Q735" s="101">
        <f t="shared" si="665"/>
        <v>0</v>
      </c>
      <c r="R735" s="100">
        <v>0</v>
      </c>
      <c r="S735" s="98">
        <v>0</v>
      </c>
      <c r="T735" s="101">
        <f t="shared" si="666"/>
        <v>0</v>
      </c>
      <c r="U735" s="183">
        <v>1</v>
      </c>
      <c r="V735" s="99">
        <v>1</v>
      </c>
      <c r="W735" s="98">
        <v>0</v>
      </c>
      <c r="X735" s="98">
        <v>0</v>
      </c>
      <c r="Y735" s="101">
        <f t="shared" si="669"/>
        <v>0</v>
      </c>
      <c r="Z735" s="101">
        <v>1</v>
      </c>
      <c r="AA735" s="183">
        <v>0</v>
      </c>
      <c r="AB735" s="99">
        <v>1</v>
      </c>
      <c r="AC735" s="98">
        <v>0</v>
      </c>
      <c r="AD735" s="98">
        <v>0</v>
      </c>
      <c r="AE735" s="101">
        <f t="shared" si="667"/>
        <v>0</v>
      </c>
      <c r="AF735" s="100">
        <v>0</v>
      </c>
      <c r="AG735" s="98">
        <v>0</v>
      </c>
      <c r="AH735" s="99">
        <f t="shared" si="668"/>
        <v>0</v>
      </c>
      <c r="AI735" s="101">
        <v>1</v>
      </c>
      <c r="AJ735" s="106"/>
    </row>
    <row r="736" spans="2:36" s="35" customFormat="1" ht="17.100000000000001" customHeight="1">
      <c r="B736" s="105"/>
      <c r="C736" s="54"/>
      <c r="D736" s="96"/>
      <c r="E736" s="111"/>
      <c r="F736" s="112"/>
      <c r="G736" s="113"/>
      <c r="H736" s="183">
        <v>1</v>
      </c>
      <c r="I736" s="98">
        <v>0</v>
      </c>
      <c r="J736" s="98">
        <v>0</v>
      </c>
      <c r="K736" s="101">
        <f t="shared" si="663"/>
        <v>0</v>
      </c>
      <c r="L736" s="100">
        <v>0</v>
      </c>
      <c r="M736" s="98">
        <v>0</v>
      </c>
      <c r="N736" s="101">
        <f t="shared" si="664"/>
        <v>0</v>
      </c>
      <c r="O736" s="100">
        <v>0</v>
      </c>
      <c r="P736" s="98">
        <v>0</v>
      </c>
      <c r="Q736" s="101">
        <f t="shared" si="665"/>
        <v>0</v>
      </c>
      <c r="R736" s="100">
        <v>0</v>
      </c>
      <c r="S736" s="98">
        <v>0</v>
      </c>
      <c r="T736" s="101">
        <f t="shared" si="666"/>
        <v>0</v>
      </c>
      <c r="U736" s="183">
        <v>1</v>
      </c>
      <c r="V736" s="99">
        <v>1</v>
      </c>
      <c r="W736" s="98">
        <v>0</v>
      </c>
      <c r="X736" s="98">
        <v>0</v>
      </c>
      <c r="Y736" s="101">
        <f t="shared" si="669"/>
        <v>0</v>
      </c>
      <c r="Z736" s="101">
        <v>1</v>
      </c>
      <c r="AA736" s="183">
        <v>0</v>
      </c>
      <c r="AB736" s="99">
        <v>1</v>
      </c>
      <c r="AC736" s="98">
        <v>0</v>
      </c>
      <c r="AD736" s="98">
        <v>0</v>
      </c>
      <c r="AE736" s="101">
        <f t="shared" si="667"/>
        <v>0</v>
      </c>
      <c r="AF736" s="100">
        <v>0</v>
      </c>
      <c r="AG736" s="98">
        <v>0</v>
      </c>
      <c r="AH736" s="99">
        <f t="shared" si="668"/>
        <v>0</v>
      </c>
      <c r="AI736" s="101">
        <v>1</v>
      </c>
      <c r="AJ736" s="106"/>
    </row>
    <row r="737" spans="2:36" s="35" customFormat="1" ht="17.100000000000001" customHeight="1">
      <c r="B737" s="105"/>
      <c r="C737" s="54"/>
      <c r="D737" s="96"/>
      <c r="E737" s="111"/>
      <c r="F737" s="112"/>
      <c r="G737" s="113"/>
      <c r="H737" s="183">
        <v>1</v>
      </c>
      <c r="I737" s="98">
        <v>0</v>
      </c>
      <c r="J737" s="98">
        <v>0</v>
      </c>
      <c r="K737" s="101">
        <f t="shared" si="663"/>
        <v>0</v>
      </c>
      <c r="L737" s="100">
        <v>0</v>
      </c>
      <c r="M737" s="98">
        <v>0</v>
      </c>
      <c r="N737" s="101">
        <f t="shared" si="664"/>
        <v>0</v>
      </c>
      <c r="O737" s="100">
        <v>0</v>
      </c>
      <c r="P737" s="98">
        <v>0</v>
      </c>
      <c r="Q737" s="101">
        <f t="shared" si="665"/>
        <v>0</v>
      </c>
      <c r="R737" s="100">
        <v>0</v>
      </c>
      <c r="S737" s="98">
        <v>0</v>
      </c>
      <c r="T737" s="101">
        <f t="shared" si="666"/>
        <v>0</v>
      </c>
      <c r="U737" s="183">
        <v>1</v>
      </c>
      <c r="V737" s="99">
        <v>1</v>
      </c>
      <c r="W737" s="98">
        <v>0</v>
      </c>
      <c r="X737" s="98">
        <v>0</v>
      </c>
      <c r="Y737" s="101">
        <f t="shared" si="669"/>
        <v>0</v>
      </c>
      <c r="Z737" s="101">
        <v>1</v>
      </c>
      <c r="AA737" s="183">
        <v>0</v>
      </c>
      <c r="AB737" s="99">
        <v>1</v>
      </c>
      <c r="AC737" s="98">
        <v>0</v>
      </c>
      <c r="AD737" s="98">
        <v>0</v>
      </c>
      <c r="AE737" s="101">
        <f t="shared" si="667"/>
        <v>0</v>
      </c>
      <c r="AF737" s="100">
        <v>0</v>
      </c>
      <c r="AG737" s="98">
        <v>0</v>
      </c>
      <c r="AH737" s="99">
        <f t="shared" si="668"/>
        <v>0</v>
      </c>
      <c r="AI737" s="101">
        <v>1</v>
      </c>
      <c r="AJ737" s="106"/>
    </row>
    <row r="738" spans="2:36" s="35" customFormat="1" ht="17.100000000000001" customHeight="1">
      <c r="B738" s="105"/>
      <c r="C738" s="54"/>
      <c r="D738" s="96"/>
      <c r="E738" s="111"/>
      <c r="F738" s="112"/>
      <c r="G738" s="113"/>
      <c r="H738" s="183">
        <v>1</v>
      </c>
      <c r="I738" s="98">
        <v>0</v>
      </c>
      <c r="J738" s="98">
        <v>0</v>
      </c>
      <c r="K738" s="101">
        <f t="shared" si="663"/>
        <v>0</v>
      </c>
      <c r="L738" s="100">
        <v>0</v>
      </c>
      <c r="M738" s="98">
        <v>0</v>
      </c>
      <c r="N738" s="101">
        <f t="shared" si="664"/>
        <v>0</v>
      </c>
      <c r="O738" s="100">
        <v>0</v>
      </c>
      <c r="P738" s="98">
        <v>0</v>
      </c>
      <c r="Q738" s="101">
        <f t="shared" si="665"/>
        <v>0</v>
      </c>
      <c r="R738" s="100">
        <v>0</v>
      </c>
      <c r="S738" s="98">
        <v>0</v>
      </c>
      <c r="T738" s="101">
        <f t="shared" si="666"/>
        <v>0</v>
      </c>
      <c r="U738" s="183">
        <v>1</v>
      </c>
      <c r="V738" s="99">
        <v>1</v>
      </c>
      <c r="W738" s="98">
        <v>0</v>
      </c>
      <c r="X738" s="98">
        <v>0</v>
      </c>
      <c r="Y738" s="101">
        <f t="shared" si="669"/>
        <v>0</v>
      </c>
      <c r="Z738" s="101">
        <v>1</v>
      </c>
      <c r="AA738" s="183">
        <v>0</v>
      </c>
      <c r="AB738" s="99">
        <v>1</v>
      </c>
      <c r="AC738" s="98">
        <v>0</v>
      </c>
      <c r="AD738" s="98">
        <v>0</v>
      </c>
      <c r="AE738" s="101">
        <f t="shared" si="667"/>
        <v>0</v>
      </c>
      <c r="AF738" s="100">
        <v>0</v>
      </c>
      <c r="AG738" s="98">
        <v>0</v>
      </c>
      <c r="AH738" s="99">
        <f t="shared" si="668"/>
        <v>0</v>
      </c>
      <c r="AI738" s="101">
        <v>1</v>
      </c>
      <c r="AJ738" s="106"/>
    </row>
    <row r="739" spans="2:36" s="35" customFormat="1" ht="17.100000000000001" customHeight="1">
      <c r="B739" s="105"/>
      <c r="C739" s="54"/>
      <c r="D739" s="96"/>
      <c r="E739" s="111"/>
      <c r="F739" s="112"/>
      <c r="G739" s="113"/>
      <c r="H739" s="183">
        <v>1</v>
      </c>
      <c r="I739" s="98">
        <v>0</v>
      </c>
      <c r="J739" s="98">
        <v>0</v>
      </c>
      <c r="K739" s="101">
        <f t="shared" si="663"/>
        <v>0</v>
      </c>
      <c r="L739" s="100">
        <v>0</v>
      </c>
      <c r="M739" s="98">
        <v>0</v>
      </c>
      <c r="N739" s="101">
        <f t="shared" si="664"/>
        <v>0</v>
      </c>
      <c r="O739" s="100">
        <v>0</v>
      </c>
      <c r="P739" s="98">
        <v>0</v>
      </c>
      <c r="Q739" s="101">
        <f t="shared" si="665"/>
        <v>0</v>
      </c>
      <c r="R739" s="100">
        <v>0</v>
      </c>
      <c r="S739" s="98">
        <v>0</v>
      </c>
      <c r="T739" s="101">
        <f t="shared" si="666"/>
        <v>0</v>
      </c>
      <c r="U739" s="183">
        <v>1</v>
      </c>
      <c r="V739" s="99">
        <v>1</v>
      </c>
      <c r="W739" s="98">
        <v>0</v>
      </c>
      <c r="X739" s="98">
        <v>0</v>
      </c>
      <c r="Y739" s="101">
        <f t="shared" si="669"/>
        <v>0</v>
      </c>
      <c r="Z739" s="101">
        <v>1</v>
      </c>
      <c r="AA739" s="183">
        <v>0</v>
      </c>
      <c r="AB739" s="99">
        <v>1</v>
      </c>
      <c r="AC739" s="98">
        <v>0</v>
      </c>
      <c r="AD739" s="98">
        <v>0</v>
      </c>
      <c r="AE739" s="101">
        <f t="shared" si="667"/>
        <v>0</v>
      </c>
      <c r="AF739" s="100">
        <v>0</v>
      </c>
      <c r="AG739" s="98">
        <v>0</v>
      </c>
      <c r="AH739" s="99">
        <f t="shared" si="668"/>
        <v>0</v>
      </c>
      <c r="AI739" s="101">
        <v>1</v>
      </c>
      <c r="AJ739" s="106"/>
    </row>
    <row r="740" spans="2:36" s="126" customFormat="1" ht="17.100000000000001" customHeight="1">
      <c r="B740" s="118"/>
      <c r="C740" s="119"/>
      <c r="D740" s="120"/>
      <c r="E740" s="121"/>
      <c r="F740" s="122"/>
      <c r="G740" s="123"/>
      <c r="H740" s="183">
        <v>1</v>
      </c>
      <c r="I740" s="363" t="s">
        <v>201</v>
      </c>
      <c r="J740" s="363"/>
      <c r="K740" s="124">
        <f>SUM(K733:K739)</f>
        <v>0</v>
      </c>
      <c r="L740" s="341" t="s">
        <v>201</v>
      </c>
      <c r="M740" s="342"/>
      <c r="N740" s="124">
        <f>SUM(N733:N739)</f>
        <v>0</v>
      </c>
      <c r="O740" s="341" t="s">
        <v>201</v>
      </c>
      <c r="P740" s="342"/>
      <c r="Q740" s="124">
        <f>SUM(Q733:Q739)</f>
        <v>0</v>
      </c>
      <c r="R740" s="341" t="s">
        <v>201</v>
      </c>
      <c r="S740" s="342"/>
      <c r="T740" s="124">
        <f>SUM(T733:T739)</f>
        <v>0</v>
      </c>
      <c r="U740" s="183">
        <v>1</v>
      </c>
      <c r="V740" s="99">
        <v>1</v>
      </c>
      <c r="W740" s="363" t="s">
        <v>201</v>
      </c>
      <c r="X740" s="363"/>
      <c r="Y740" s="124">
        <f>SUM(Y733:Y739)</f>
        <v>200</v>
      </c>
      <c r="Z740" s="101">
        <v>1</v>
      </c>
      <c r="AA740" s="183">
        <v>0</v>
      </c>
      <c r="AB740" s="99">
        <v>1</v>
      </c>
      <c r="AC740" s="363" t="s">
        <v>201</v>
      </c>
      <c r="AD740" s="363"/>
      <c r="AE740" s="124">
        <f>SUM(AE733:AE739)</f>
        <v>0</v>
      </c>
      <c r="AF740" s="364" t="s">
        <v>201</v>
      </c>
      <c r="AG740" s="363"/>
      <c r="AH740" s="143">
        <f>SUM(AH733:AH739)</f>
        <v>0</v>
      </c>
      <c r="AI740" s="101">
        <v>1</v>
      </c>
      <c r="AJ740" s="125"/>
    </row>
    <row r="741" spans="2:36" s="35" customFormat="1" ht="16.95" customHeight="1">
      <c r="B741" s="105"/>
      <c r="C741" s="54">
        <f>'3. Rekap Back Up Non Aspal '!C113</f>
        <v>13300</v>
      </c>
      <c r="D741" s="96">
        <f>'3. Rekap Back Up Non Aspal '!D113</f>
        <v>13400</v>
      </c>
      <c r="E741" s="111">
        <f>'3. Rekap Back Up Non Aspal '!E113</f>
        <v>3</v>
      </c>
      <c r="F741" s="112">
        <f>(100/((D741-C741)*E741))*((K748*0.05)+(N748*0.05)+(Q748*0.05)+(T748)+(Y748)+(AE748*1.5)+(AH748*1))</f>
        <v>66.666666666666657</v>
      </c>
      <c r="G741" s="113" t="str">
        <f>IF(F741&lt;=25,"RB",IF(F741&lt;=75,"RB",IF(F741&lt;=100,"RB","RB")))</f>
        <v>RB</v>
      </c>
      <c r="H741" s="183">
        <v>1</v>
      </c>
      <c r="I741" s="98">
        <v>0</v>
      </c>
      <c r="J741" s="98">
        <v>0</v>
      </c>
      <c r="K741" s="101">
        <f t="shared" ref="K741:K747" si="670">I741*J741</f>
        <v>0</v>
      </c>
      <c r="L741" s="98">
        <v>0</v>
      </c>
      <c r="M741" s="98">
        <v>0</v>
      </c>
      <c r="N741" s="101">
        <f t="shared" ref="N741:N747" si="671">L741*M741</f>
        <v>0</v>
      </c>
      <c r="O741" s="98">
        <v>0</v>
      </c>
      <c r="P741" s="98">
        <v>0</v>
      </c>
      <c r="Q741" s="101">
        <f t="shared" ref="Q741:Q747" si="672">O741*P741</f>
        <v>0</v>
      </c>
      <c r="R741" s="98">
        <v>0</v>
      </c>
      <c r="S741" s="98">
        <v>0</v>
      </c>
      <c r="T741" s="101">
        <f t="shared" ref="T741:T747" si="673">R741*S741</f>
        <v>0</v>
      </c>
      <c r="U741" s="183">
        <v>2</v>
      </c>
      <c r="V741" s="99">
        <v>2</v>
      </c>
      <c r="W741" s="98">
        <v>100</v>
      </c>
      <c r="X741" s="98">
        <v>2</v>
      </c>
      <c r="Y741" s="101">
        <f>W741*X741</f>
        <v>200</v>
      </c>
      <c r="Z741" s="101">
        <v>1</v>
      </c>
      <c r="AA741" s="183">
        <v>0</v>
      </c>
      <c r="AB741" s="99">
        <v>1</v>
      </c>
      <c r="AC741" s="98">
        <v>0</v>
      </c>
      <c r="AD741" s="98">
        <v>0</v>
      </c>
      <c r="AE741" s="101">
        <f t="shared" ref="AE741:AE747" si="674">AC741*AD741</f>
        <v>0</v>
      </c>
      <c r="AF741" s="98">
        <v>0</v>
      </c>
      <c r="AG741" s="98">
        <v>3</v>
      </c>
      <c r="AH741" s="99">
        <f t="shared" ref="AH741:AH747" si="675">AF741*AG741</f>
        <v>0</v>
      </c>
      <c r="AI741" s="101">
        <v>1</v>
      </c>
      <c r="AJ741" s="106"/>
    </row>
    <row r="742" spans="2:36" s="35" customFormat="1" ht="17.100000000000001" customHeight="1">
      <c r="B742" s="105"/>
      <c r="C742" s="54"/>
      <c r="D742" s="96"/>
      <c r="E742" s="111"/>
      <c r="F742" s="112"/>
      <c r="G742" s="113"/>
      <c r="H742" s="183">
        <v>1</v>
      </c>
      <c r="I742" s="98">
        <v>0</v>
      </c>
      <c r="J742" s="98">
        <v>0</v>
      </c>
      <c r="K742" s="101">
        <f t="shared" si="670"/>
        <v>0</v>
      </c>
      <c r="L742" s="100">
        <v>0</v>
      </c>
      <c r="M742" s="98">
        <v>0</v>
      </c>
      <c r="N742" s="101">
        <f t="shared" si="671"/>
        <v>0</v>
      </c>
      <c r="O742" s="100">
        <v>0</v>
      </c>
      <c r="P742" s="98">
        <v>0</v>
      </c>
      <c r="Q742" s="101">
        <f t="shared" si="672"/>
        <v>0</v>
      </c>
      <c r="R742" s="100">
        <v>0</v>
      </c>
      <c r="S742" s="98">
        <v>0</v>
      </c>
      <c r="T742" s="101">
        <f t="shared" si="673"/>
        <v>0</v>
      </c>
      <c r="U742" s="183">
        <v>1</v>
      </c>
      <c r="V742" s="99">
        <v>1</v>
      </c>
      <c r="W742" s="98">
        <v>0</v>
      </c>
      <c r="X742" s="98">
        <v>0</v>
      </c>
      <c r="Y742" s="101">
        <f t="shared" ref="Y742:Y747" si="676">W742*X742</f>
        <v>0</v>
      </c>
      <c r="Z742" s="101">
        <v>1</v>
      </c>
      <c r="AA742" s="183">
        <v>0</v>
      </c>
      <c r="AB742" s="99">
        <v>1</v>
      </c>
      <c r="AC742" s="98">
        <v>0</v>
      </c>
      <c r="AD742" s="98">
        <v>0</v>
      </c>
      <c r="AE742" s="101">
        <f t="shared" si="674"/>
        <v>0</v>
      </c>
      <c r="AF742" s="100">
        <v>0</v>
      </c>
      <c r="AG742" s="98">
        <v>0</v>
      </c>
      <c r="AH742" s="99">
        <f t="shared" si="675"/>
        <v>0</v>
      </c>
      <c r="AI742" s="101">
        <v>1</v>
      </c>
      <c r="AJ742" s="106"/>
    </row>
    <row r="743" spans="2:36" s="35" customFormat="1" ht="17.100000000000001" customHeight="1">
      <c r="B743" s="105"/>
      <c r="C743" s="54"/>
      <c r="D743" s="96"/>
      <c r="E743" s="111"/>
      <c r="F743" s="112"/>
      <c r="G743" s="113"/>
      <c r="H743" s="183">
        <v>1</v>
      </c>
      <c r="I743" s="98">
        <v>0</v>
      </c>
      <c r="J743" s="98">
        <v>0</v>
      </c>
      <c r="K743" s="101">
        <f t="shared" si="670"/>
        <v>0</v>
      </c>
      <c r="L743" s="100">
        <v>0</v>
      </c>
      <c r="M743" s="98">
        <v>0</v>
      </c>
      <c r="N743" s="101">
        <f t="shared" si="671"/>
        <v>0</v>
      </c>
      <c r="O743" s="100">
        <v>0</v>
      </c>
      <c r="P743" s="98">
        <v>0</v>
      </c>
      <c r="Q743" s="101">
        <f t="shared" si="672"/>
        <v>0</v>
      </c>
      <c r="R743" s="100">
        <v>0</v>
      </c>
      <c r="S743" s="98">
        <v>0</v>
      </c>
      <c r="T743" s="101">
        <f t="shared" si="673"/>
        <v>0</v>
      </c>
      <c r="U743" s="183">
        <v>1</v>
      </c>
      <c r="V743" s="99">
        <v>1</v>
      </c>
      <c r="W743" s="98">
        <v>0</v>
      </c>
      <c r="X743" s="98">
        <v>0</v>
      </c>
      <c r="Y743" s="101">
        <f t="shared" si="676"/>
        <v>0</v>
      </c>
      <c r="Z743" s="101">
        <v>1</v>
      </c>
      <c r="AA743" s="183">
        <v>0</v>
      </c>
      <c r="AB743" s="99">
        <v>1</v>
      </c>
      <c r="AC743" s="98">
        <v>0</v>
      </c>
      <c r="AD743" s="98">
        <v>0</v>
      </c>
      <c r="AE743" s="101">
        <f t="shared" si="674"/>
        <v>0</v>
      </c>
      <c r="AF743" s="100">
        <v>0</v>
      </c>
      <c r="AG743" s="98">
        <v>0</v>
      </c>
      <c r="AH743" s="99">
        <f t="shared" si="675"/>
        <v>0</v>
      </c>
      <c r="AI743" s="101">
        <v>1</v>
      </c>
      <c r="AJ743" s="106"/>
    </row>
    <row r="744" spans="2:36" s="35" customFormat="1" ht="17.100000000000001" customHeight="1">
      <c r="B744" s="105"/>
      <c r="C744" s="54"/>
      <c r="D744" s="96"/>
      <c r="E744" s="111"/>
      <c r="F744" s="112"/>
      <c r="G744" s="113"/>
      <c r="H744" s="183">
        <v>1</v>
      </c>
      <c r="I744" s="98">
        <v>0</v>
      </c>
      <c r="J744" s="98">
        <v>0</v>
      </c>
      <c r="K744" s="101">
        <f t="shared" si="670"/>
        <v>0</v>
      </c>
      <c r="L744" s="100">
        <v>0</v>
      </c>
      <c r="M744" s="98">
        <v>0</v>
      </c>
      <c r="N744" s="101">
        <f t="shared" si="671"/>
        <v>0</v>
      </c>
      <c r="O744" s="100">
        <v>0</v>
      </c>
      <c r="P744" s="98">
        <v>0</v>
      </c>
      <c r="Q744" s="101">
        <f t="shared" si="672"/>
        <v>0</v>
      </c>
      <c r="R744" s="100">
        <v>0</v>
      </c>
      <c r="S744" s="98">
        <v>0</v>
      </c>
      <c r="T744" s="101">
        <f t="shared" si="673"/>
        <v>0</v>
      </c>
      <c r="U744" s="183">
        <v>1</v>
      </c>
      <c r="V744" s="99">
        <v>1</v>
      </c>
      <c r="W744" s="98">
        <v>0</v>
      </c>
      <c r="X744" s="98">
        <v>0</v>
      </c>
      <c r="Y744" s="101">
        <f t="shared" si="676"/>
        <v>0</v>
      </c>
      <c r="Z744" s="101">
        <v>1</v>
      </c>
      <c r="AA744" s="183">
        <v>0</v>
      </c>
      <c r="AB744" s="99">
        <v>1</v>
      </c>
      <c r="AC744" s="98">
        <v>0</v>
      </c>
      <c r="AD744" s="98">
        <v>0</v>
      </c>
      <c r="AE744" s="101">
        <f t="shared" si="674"/>
        <v>0</v>
      </c>
      <c r="AF744" s="100">
        <v>0</v>
      </c>
      <c r="AG744" s="98">
        <v>0</v>
      </c>
      <c r="AH744" s="99">
        <f t="shared" si="675"/>
        <v>0</v>
      </c>
      <c r="AI744" s="101">
        <v>1</v>
      </c>
      <c r="AJ744" s="106"/>
    </row>
    <row r="745" spans="2:36" s="35" customFormat="1" ht="17.100000000000001" customHeight="1">
      <c r="B745" s="105"/>
      <c r="C745" s="54"/>
      <c r="D745" s="96"/>
      <c r="E745" s="111"/>
      <c r="F745" s="112"/>
      <c r="G745" s="113"/>
      <c r="H745" s="183">
        <v>1</v>
      </c>
      <c r="I745" s="98">
        <v>0</v>
      </c>
      <c r="J745" s="98">
        <v>0</v>
      </c>
      <c r="K745" s="101">
        <f t="shared" si="670"/>
        <v>0</v>
      </c>
      <c r="L745" s="100">
        <v>0</v>
      </c>
      <c r="M745" s="98">
        <v>0</v>
      </c>
      <c r="N745" s="101">
        <f t="shared" si="671"/>
        <v>0</v>
      </c>
      <c r="O745" s="100">
        <v>0</v>
      </c>
      <c r="P745" s="98">
        <v>0</v>
      </c>
      <c r="Q745" s="101">
        <f t="shared" si="672"/>
        <v>0</v>
      </c>
      <c r="R745" s="100">
        <v>0</v>
      </c>
      <c r="S745" s="98">
        <v>0</v>
      </c>
      <c r="T745" s="101">
        <f t="shared" si="673"/>
        <v>0</v>
      </c>
      <c r="U745" s="183">
        <v>1</v>
      </c>
      <c r="V745" s="99">
        <v>1</v>
      </c>
      <c r="W745" s="98">
        <v>0</v>
      </c>
      <c r="X745" s="98">
        <v>0</v>
      </c>
      <c r="Y745" s="101">
        <f t="shared" si="676"/>
        <v>0</v>
      </c>
      <c r="Z745" s="101">
        <v>1</v>
      </c>
      <c r="AA745" s="183">
        <v>0</v>
      </c>
      <c r="AB745" s="99">
        <v>1</v>
      </c>
      <c r="AC745" s="98">
        <v>0</v>
      </c>
      <c r="AD745" s="98">
        <v>0</v>
      </c>
      <c r="AE745" s="101">
        <f t="shared" si="674"/>
        <v>0</v>
      </c>
      <c r="AF745" s="100">
        <v>0</v>
      </c>
      <c r="AG745" s="98">
        <v>0</v>
      </c>
      <c r="AH745" s="99">
        <f t="shared" si="675"/>
        <v>0</v>
      </c>
      <c r="AI745" s="101">
        <v>1</v>
      </c>
      <c r="AJ745" s="106"/>
    </row>
    <row r="746" spans="2:36" s="35" customFormat="1" ht="17.100000000000001" customHeight="1">
      <c r="B746" s="105"/>
      <c r="C746" s="54"/>
      <c r="D746" s="96"/>
      <c r="E746" s="111"/>
      <c r="F746" s="112"/>
      <c r="G746" s="113"/>
      <c r="H746" s="183">
        <v>1</v>
      </c>
      <c r="I746" s="98">
        <v>0</v>
      </c>
      <c r="J746" s="98">
        <v>0</v>
      </c>
      <c r="K746" s="101">
        <f t="shared" si="670"/>
        <v>0</v>
      </c>
      <c r="L746" s="100">
        <v>0</v>
      </c>
      <c r="M746" s="98">
        <v>0</v>
      </c>
      <c r="N746" s="101">
        <f t="shared" si="671"/>
        <v>0</v>
      </c>
      <c r="O746" s="100">
        <v>0</v>
      </c>
      <c r="P746" s="98">
        <v>0</v>
      </c>
      <c r="Q746" s="101">
        <f t="shared" si="672"/>
        <v>0</v>
      </c>
      <c r="R746" s="100">
        <v>0</v>
      </c>
      <c r="S746" s="98">
        <v>0</v>
      </c>
      <c r="T746" s="101">
        <f t="shared" si="673"/>
        <v>0</v>
      </c>
      <c r="U746" s="183">
        <v>1</v>
      </c>
      <c r="V746" s="99">
        <v>1</v>
      </c>
      <c r="W746" s="98">
        <v>0</v>
      </c>
      <c r="X746" s="98">
        <v>0</v>
      </c>
      <c r="Y746" s="101">
        <f t="shared" si="676"/>
        <v>0</v>
      </c>
      <c r="Z746" s="101">
        <v>1</v>
      </c>
      <c r="AA746" s="183">
        <v>0</v>
      </c>
      <c r="AB746" s="99">
        <v>1</v>
      </c>
      <c r="AC746" s="98">
        <v>0</v>
      </c>
      <c r="AD746" s="98">
        <v>0</v>
      </c>
      <c r="AE746" s="101">
        <f t="shared" si="674"/>
        <v>0</v>
      </c>
      <c r="AF746" s="100">
        <v>0</v>
      </c>
      <c r="AG746" s="98">
        <v>0</v>
      </c>
      <c r="AH746" s="99">
        <f t="shared" si="675"/>
        <v>0</v>
      </c>
      <c r="AI746" s="101">
        <v>1</v>
      </c>
      <c r="AJ746" s="106"/>
    </row>
    <row r="747" spans="2:36" s="35" customFormat="1" ht="17.100000000000001" customHeight="1">
      <c r="B747" s="105"/>
      <c r="C747" s="54"/>
      <c r="D747" s="96"/>
      <c r="E747" s="111"/>
      <c r="F747" s="112"/>
      <c r="G747" s="113"/>
      <c r="H747" s="183">
        <v>1</v>
      </c>
      <c r="I747" s="98">
        <v>0</v>
      </c>
      <c r="J747" s="98">
        <v>0</v>
      </c>
      <c r="K747" s="101">
        <f t="shared" si="670"/>
        <v>0</v>
      </c>
      <c r="L747" s="100">
        <v>0</v>
      </c>
      <c r="M747" s="98">
        <v>0</v>
      </c>
      <c r="N747" s="101">
        <f t="shared" si="671"/>
        <v>0</v>
      </c>
      <c r="O747" s="100">
        <v>0</v>
      </c>
      <c r="P747" s="98">
        <v>0</v>
      </c>
      <c r="Q747" s="101">
        <f t="shared" si="672"/>
        <v>0</v>
      </c>
      <c r="R747" s="100">
        <v>0</v>
      </c>
      <c r="S747" s="98">
        <v>0</v>
      </c>
      <c r="T747" s="101">
        <f t="shared" si="673"/>
        <v>0</v>
      </c>
      <c r="U747" s="183">
        <v>1</v>
      </c>
      <c r="V747" s="99">
        <v>1</v>
      </c>
      <c r="W747" s="98">
        <v>0</v>
      </c>
      <c r="X747" s="98">
        <v>0</v>
      </c>
      <c r="Y747" s="101">
        <f t="shared" si="676"/>
        <v>0</v>
      </c>
      <c r="Z747" s="101">
        <v>1</v>
      </c>
      <c r="AA747" s="183">
        <v>0</v>
      </c>
      <c r="AB747" s="99">
        <v>1</v>
      </c>
      <c r="AC747" s="98">
        <v>0</v>
      </c>
      <c r="AD747" s="98">
        <v>0</v>
      </c>
      <c r="AE747" s="101">
        <f t="shared" si="674"/>
        <v>0</v>
      </c>
      <c r="AF747" s="100">
        <v>0</v>
      </c>
      <c r="AG747" s="98">
        <v>0</v>
      </c>
      <c r="AH747" s="99">
        <f t="shared" si="675"/>
        <v>0</v>
      </c>
      <c r="AI747" s="101">
        <v>1</v>
      </c>
      <c r="AJ747" s="106"/>
    </row>
    <row r="748" spans="2:36" s="126" customFormat="1" ht="17.100000000000001" customHeight="1" thickBot="1">
      <c r="B748" s="128"/>
      <c r="C748" s="154"/>
      <c r="D748" s="155"/>
      <c r="E748" s="156"/>
      <c r="F748" s="129"/>
      <c r="G748" s="130"/>
      <c r="H748" s="184">
        <v>1</v>
      </c>
      <c r="I748" s="361" t="s">
        <v>201</v>
      </c>
      <c r="J748" s="361"/>
      <c r="K748" s="131">
        <f>SUM(K741:K747)</f>
        <v>0</v>
      </c>
      <c r="L748" s="344" t="s">
        <v>201</v>
      </c>
      <c r="M748" s="345"/>
      <c r="N748" s="131">
        <f>SUM(N741:N747)</f>
        <v>0</v>
      </c>
      <c r="O748" s="344" t="s">
        <v>201</v>
      </c>
      <c r="P748" s="345"/>
      <c r="Q748" s="131">
        <f>SUM(Q741:Q747)</f>
        <v>0</v>
      </c>
      <c r="R748" s="344" t="s">
        <v>201</v>
      </c>
      <c r="S748" s="345"/>
      <c r="T748" s="131">
        <f>SUM(T741:T747)</f>
        <v>0</v>
      </c>
      <c r="U748" s="184">
        <v>1</v>
      </c>
      <c r="V748" s="160">
        <v>1</v>
      </c>
      <c r="W748" s="361" t="s">
        <v>201</v>
      </c>
      <c r="X748" s="361"/>
      <c r="Y748" s="131">
        <f>SUM(Y741:Y747)</f>
        <v>200</v>
      </c>
      <c r="Z748" s="133">
        <v>1</v>
      </c>
      <c r="AA748" s="184">
        <v>0</v>
      </c>
      <c r="AB748" s="160">
        <v>1</v>
      </c>
      <c r="AC748" s="361" t="s">
        <v>201</v>
      </c>
      <c r="AD748" s="361"/>
      <c r="AE748" s="131">
        <f>SUM(AE741:AE747)</f>
        <v>0</v>
      </c>
      <c r="AF748" s="362" t="s">
        <v>201</v>
      </c>
      <c r="AG748" s="361"/>
      <c r="AH748" s="144">
        <f>SUM(AH741:AH747)</f>
        <v>0</v>
      </c>
      <c r="AI748" s="133">
        <v>1</v>
      </c>
      <c r="AJ748" s="134"/>
    </row>
    <row r="749" spans="2:36" s="35" customFormat="1" ht="16.95" customHeight="1">
      <c r="B749" s="114"/>
      <c r="C749" s="157">
        <f>'3. Rekap Back Up Non Aspal '!C114</f>
        <v>13400</v>
      </c>
      <c r="D749" s="158">
        <f>'3. Rekap Back Up Non Aspal '!D114</f>
        <v>13500</v>
      </c>
      <c r="E749" s="159">
        <f>'3. Rekap Back Up Non Aspal '!E114</f>
        <v>3</v>
      </c>
      <c r="F749" s="115">
        <f>(100/((D749-C749)*E749))*((K756*0.05)+(N756*0.05)+(Q756*0.05)+(T756)+(Y756)+(AE756*1.5)+(AH756*1))</f>
        <v>66.666666666666657</v>
      </c>
      <c r="G749" s="116" t="str">
        <f>IF(F749&lt;=25,"RB",IF(F749&lt;=75,"RB",IF(F749&lt;=100,"RB","RB")))</f>
        <v>RB</v>
      </c>
      <c r="H749" s="185">
        <v>1</v>
      </c>
      <c r="I749" s="136">
        <v>0</v>
      </c>
      <c r="J749" s="136">
        <v>0</v>
      </c>
      <c r="K749" s="137">
        <f t="shared" ref="K749:K755" si="677">I749*J749</f>
        <v>0</v>
      </c>
      <c r="L749" s="136">
        <v>0</v>
      </c>
      <c r="M749" s="136">
        <v>0</v>
      </c>
      <c r="N749" s="137">
        <f t="shared" ref="N749:N755" si="678">L749*M749</f>
        <v>0</v>
      </c>
      <c r="O749" s="136">
        <v>0</v>
      </c>
      <c r="P749" s="136">
        <v>3</v>
      </c>
      <c r="Q749" s="137">
        <f t="shared" ref="Q749:Q755" si="679">O749*P749</f>
        <v>0</v>
      </c>
      <c r="R749" s="136">
        <v>0</v>
      </c>
      <c r="S749" s="136">
        <v>0</v>
      </c>
      <c r="T749" s="137">
        <f t="shared" ref="T749:T755" si="680">R749*S749</f>
        <v>0</v>
      </c>
      <c r="U749" s="185">
        <v>2</v>
      </c>
      <c r="V749" s="138">
        <v>2</v>
      </c>
      <c r="W749" s="98">
        <v>100</v>
      </c>
      <c r="X749" s="98">
        <v>2</v>
      </c>
      <c r="Y749" s="137">
        <f>W749*X749</f>
        <v>200</v>
      </c>
      <c r="Z749" s="137">
        <v>1</v>
      </c>
      <c r="AA749" s="185">
        <v>0</v>
      </c>
      <c r="AB749" s="138">
        <v>1</v>
      </c>
      <c r="AC749" s="136">
        <v>0</v>
      </c>
      <c r="AD749" s="136">
        <v>0</v>
      </c>
      <c r="AE749" s="137">
        <f t="shared" ref="AE749:AE755" si="681">AC749*AD749</f>
        <v>0</v>
      </c>
      <c r="AF749" s="136">
        <v>0</v>
      </c>
      <c r="AG749" s="136">
        <v>0</v>
      </c>
      <c r="AH749" s="138">
        <f t="shared" ref="AH749:AH755" si="682">AF749*AG749</f>
        <v>0</v>
      </c>
      <c r="AI749" s="137">
        <v>1</v>
      </c>
      <c r="AJ749" s="139"/>
    </row>
    <row r="750" spans="2:36" s="35" customFormat="1" ht="17.100000000000001" customHeight="1">
      <c r="B750" s="105"/>
      <c r="C750" s="54"/>
      <c r="D750" s="96"/>
      <c r="E750" s="111"/>
      <c r="F750" s="112"/>
      <c r="G750" s="113"/>
      <c r="H750" s="183">
        <v>1</v>
      </c>
      <c r="I750" s="98">
        <v>0</v>
      </c>
      <c r="J750" s="98">
        <v>0</v>
      </c>
      <c r="K750" s="101">
        <f t="shared" si="677"/>
        <v>0</v>
      </c>
      <c r="L750" s="100">
        <v>0</v>
      </c>
      <c r="M750" s="98">
        <v>0</v>
      </c>
      <c r="N750" s="101">
        <f t="shared" si="678"/>
        <v>0</v>
      </c>
      <c r="O750" s="100">
        <v>0</v>
      </c>
      <c r="P750" s="98">
        <v>0</v>
      </c>
      <c r="Q750" s="101">
        <f t="shared" si="679"/>
        <v>0</v>
      </c>
      <c r="R750" s="100">
        <v>0</v>
      </c>
      <c r="S750" s="98">
        <v>0</v>
      </c>
      <c r="T750" s="101">
        <f t="shared" si="680"/>
        <v>0</v>
      </c>
      <c r="U750" s="183">
        <v>1</v>
      </c>
      <c r="V750" s="99">
        <v>1</v>
      </c>
      <c r="W750" s="98">
        <v>0</v>
      </c>
      <c r="X750" s="98">
        <v>0</v>
      </c>
      <c r="Y750" s="101">
        <f t="shared" ref="Y750:Y755" si="683">W750*X750</f>
        <v>0</v>
      </c>
      <c r="Z750" s="101">
        <v>1</v>
      </c>
      <c r="AA750" s="183">
        <v>0</v>
      </c>
      <c r="AB750" s="99">
        <v>1</v>
      </c>
      <c r="AC750" s="98">
        <v>0</v>
      </c>
      <c r="AD750" s="98">
        <v>0</v>
      </c>
      <c r="AE750" s="101">
        <f t="shared" si="681"/>
        <v>0</v>
      </c>
      <c r="AF750" s="100">
        <v>0</v>
      </c>
      <c r="AG750" s="98">
        <v>0</v>
      </c>
      <c r="AH750" s="99">
        <f t="shared" si="682"/>
        <v>0</v>
      </c>
      <c r="AI750" s="101">
        <v>1</v>
      </c>
      <c r="AJ750" s="106"/>
    </row>
    <row r="751" spans="2:36" s="35" customFormat="1" ht="17.100000000000001" customHeight="1">
      <c r="B751" s="105"/>
      <c r="C751" s="54"/>
      <c r="D751" s="96"/>
      <c r="E751" s="111"/>
      <c r="F751" s="112"/>
      <c r="G751" s="113"/>
      <c r="H751" s="183">
        <v>1</v>
      </c>
      <c r="I751" s="98">
        <v>0</v>
      </c>
      <c r="J751" s="98">
        <v>0</v>
      </c>
      <c r="K751" s="101">
        <f t="shared" si="677"/>
        <v>0</v>
      </c>
      <c r="L751" s="100">
        <v>0</v>
      </c>
      <c r="M751" s="98">
        <v>0</v>
      </c>
      <c r="N751" s="101">
        <f t="shared" si="678"/>
        <v>0</v>
      </c>
      <c r="O751" s="100">
        <v>0</v>
      </c>
      <c r="P751" s="98">
        <v>0</v>
      </c>
      <c r="Q751" s="101">
        <f t="shared" si="679"/>
        <v>0</v>
      </c>
      <c r="R751" s="100">
        <v>0</v>
      </c>
      <c r="S751" s="98">
        <v>0</v>
      </c>
      <c r="T751" s="101">
        <f t="shared" si="680"/>
        <v>0</v>
      </c>
      <c r="U751" s="183">
        <v>1</v>
      </c>
      <c r="V751" s="99">
        <v>1</v>
      </c>
      <c r="W751" s="98">
        <v>0</v>
      </c>
      <c r="X751" s="98">
        <v>0</v>
      </c>
      <c r="Y751" s="101">
        <f t="shared" si="683"/>
        <v>0</v>
      </c>
      <c r="Z751" s="101">
        <v>1</v>
      </c>
      <c r="AA751" s="183">
        <v>0</v>
      </c>
      <c r="AB751" s="99">
        <v>1</v>
      </c>
      <c r="AC751" s="98">
        <v>0</v>
      </c>
      <c r="AD751" s="98">
        <v>0</v>
      </c>
      <c r="AE751" s="101">
        <f t="shared" si="681"/>
        <v>0</v>
      </c>
      <c r="AF751" s="100">
        <v>0</v>
      </c>
      <c r="AG751" s="98">
        <v>0</v>
      </c>
      <c r="AH751" s="99">
        <f t="shared" si="682"/>
        <v>0</v>
      </c>
      <c r="AI751" s="101">
        <v>1</v>
      </c>
      <c r="AJ751" s="106"/>
    </row>
    <row r="752" spans="2:36" s="35" customFormat="1" ht="17.100000000000001" customHeight="1">
      <c r="B752" s="105"/>
      <c r="C752" s="54"/>
      <c r="D752" s="96"/>
      <c r="E752" s="111"/>
      <c r="F752" s="112"/>
      <c r="G752" s="113"/>
      <c r="H752" s="183">
        <v>1</v>
      </c>
      <c r="I752" s="98">
        <v>0</v>
      </c>
      <c r="J752" s="98">
        <v>0</v>
      </c>
      <c r="K752" s="101">
        <f t="shared" si="677"/>
        <v>0</v>
      </c>
      <c r="L752" s="100">
        <v>0</v>
      </c>
      <c r="M752" s="98">
        <v>0</v>
      </c>
      <c r="N752" s="101">
        <f t="shared" si="678"/>
        <v>0</v>
      </c>
      <c r="O752" s="100">
        <v>0</v>
      </c>
      <c r="P752" s="98">
        <v>0</v>
      </c>
      <c r="Q752" s="101">
        <f t="shared" si="679"/>
        <v>0</v>
      </c>
      <c r="R752" s="100">
        <v>0</v>
      </c>
      <c r="S752" s="98">
        <v>0</v>
      </c>
      <c r="T752" s="101">
        <f t="shared" si="680"/>
        <v>0</v>
      </c>
      <c r="U752" s="183">
        <v>1</v>
      </c>
      <c r="V752" s="99">
        <v>1</v>
      </c>
      <c r="W752" s="98">
        <v>0</v>
      </c>
      <c r="X752" s="98">
        <v>0</v>
      </c>
      <c r="Y752" s="101">
        <f t="shared" si="683"/>
        <v>0</v>
      </c>
      <c r="Z752" s="101">
        <v>1</v>
      </c>
      <c r="AA752" s="183">
        <v>0</v>
      </c>
      <c r="AB752" s="99">
        <v>1</v>
      </c>
      <c r="AC752" s="98">
        <v>0</v>
      </c>
      <c r="AD752" s="98">
        <v>0</v>
      </c>
      <c r="AE752" s="101">
        <f t="shared" si="681"/>
        <v>0</v>
      </c>
      <c r="AF752" s="100">
        <v>0</v>
      </c>
      <c r="AG752" s="98">
        <v>0</v>
      </c>
      <c r="AH752" s="99">
        <f t="shared" si="682"/>
        <v>0</v>
      </c>
      <c r="AI752" s="101">
        <v>1</v>
      </c>
      <c r="AJ752" s="106"/>
    </row>
    <row r="753" spans="2:36" s="35" customFormat="1" ht="17.100000000000001" customHeight="1">
      <c r="B753" s="105"/>
      <c r="C753" s="54"/>
      <c r="D753" s="96"/>
      <c r="E753" s="111"/>
      <c r="F753" s="112"/>
      <c r="G753" s="113"/>
      <c r="H753" s="183">
        <v>1</v>
      </c>
      <c r="I753" s="98">
        <v>0</v>
      </c>
      <c r="J753" s="98">
        <v>0</v>
      </c>
      <c r="K753" s="101">
        <f t="shared" si="677"/>
        <v>0</v>
      </c>
      <c r="L753" s="100">
        <v>0</v>
      </c>
      <c r="M753" s="98">
        <v>0</v>
      </c>
      <c r="N753" s="101">
        <f t="shared" si="678"/>
        <v>0</v>
      </c>
      <c r="O753" s="100">
        <v>0</v>
      </c>
      <c r="P753" s="98">
        <v>0</v>
      </c>
      <c r="Q753" s="101">
        <f t="shared" si="679"/>
        <v>0</v>
      </c>
      <c r="R753" s="100">
        <v>0</v>
      </c>
      <c r="S753" s="98">
        <v>0</v>
      </c>
      <c r="T753" s="101">
        <f t="shared" si="680"/>
        <v>0</v>
      </c>
      <c r="U753" s="183">
        <v>1</v>
      </c>
      <c r="V753" s="99">
        <v>1</v>
      </c>
      <c r="W753" s="98">
        <v>0</v>
      </c>
      <c r="X753" s="98">
        <v>0</v>
      </c>
      <c r="Y753" s="101">
        <f t="shared" si="683"/>
        <v>0</v>
      </c>
      <c r="Z753" s="101">
        <v>1</v>
      </c>
      <c r="AA753" s="183">
        <v>0</v>
      </c>
      <c r="AB753" s="99">
        <v>1</v>
      </c>
      <c r="AC753" s="98">
        <v>0</v>
      </c>
      <c r="AD753" s="98">
        <v>0</v>
      </c>
      <c r="AE753" s="101">
        <f t="shared" si="681"/>
        <v>0</v>
      </c>
      <c r="AF753" s="100">
        <v>0</v>
      </c>
      <c r="AG753" s="98">
        <v>0</v>
      </c>
      <c r="AH753" s="99">
        <f t="shared" si="682"/>
        <v>0</v>
      </c>
      <c r="AI753" s="101">
        <v>1</v>
      </c>
      <c r="AJ753" s="106"/>
    </row>
    <row r="754" spans="2:36" s="35" customFormat="1" ht="17.100000000000001" customHeight="1">
      <c r="B754" s="105"/>
      <c r="C754" s="54"/>
      <c r="D754" s="96"/>
      <c r="E754" s="111"/>
      <c r="F754" s="112"/>
      <c r="G754" s="113"/>
      <c r="H754" s="183">
        <v>1</v>
      </c>
      <c r="I754" s="98">
        <v>0</v>
      </c>
      <c r="J754" s="98">
        <v>0</v>
      </c>
      <c r="K754" s="101">
        <f t="shared" si="677"/>
        <v>0</v>
      </c>
      <c r="L754" s="100">
        <v>0</v>
      </c>
      <c r="M754" s="98">
        <v>0</v>
      </c>
      <c r="N754" s="101">
        <f t="shared" si="678"/>
        <v>0</v>
      </c>
      <c r="O754" s="100">
        <v>0</v>
      </c>
      <c r="P754" s="98">
        <v>0</v>
      </c>
      <c r="Q754" s="101">
        <f t="shared" si="679"/>
        <v>0</v>
      </c>
      <c r="R754" s="100">
        <v>0</v>
      </c>
      <c r="S754" s="98">
        <v>0</v>
      </c>
      <c r="T754" s="101">
        <f t="shared" si="680"/>
        <v>0</v>
      </c>
      <c r="U754" s="183">
        <v>1</v>
      </c>
      <c r="V754" s="99">
        <v>1</v>
      </c>
      <c r="W754" s="98">
        <v>0</v>
      </c>
      <c r="X754" s="98">
        <v>0</v>
      </c>
      <c r="Y754" s="101">
        <f t="shared" si="683"/>
        <v>0</v>
      </c>
      <c r="Z754" s="101">
        <v>1</v>
      </c>
      <c r="AA754" s="183">
        <v>0</v>
      </c>
      <c r="AB754" s="99">
        <v>1</v>
      </c>
      <c r="AC754" s="98">
        <v>0</v>
      </c>
      <c r="AD754" s="98">
        <v>0</v>
      </c>
      <c r="AE754" s="101">
        <f t="shared" si="681"/>
        <v>0</v>
      </c>
      <c r="AF754" s="100">
        <v>0</v>
      </c>
      <c r="AG754" s="98">
        <v>0</v>
      </c>
      <c r="AH754" s="99">
        <f t="shared" si="682"/>
        <v>0</v>
      </c>
      <c r="AI754" s="101">
        <v>1</v>
      </c>
      <c r="AJ754" s="106"/>
    </row>
    <row r="755" spans="2:36" s="35" customFormat="1" ht="17.100000000000001" customHeight="1">
      <c r="B755" s="105"/>
      <c r="C755" s="54"/>
      <c r="D755" s="96"/>
      <c r="E755" s="111"/>
      <c r="F755" s="112"/>
      <c r="G755" s="113"/>
      <c r="H755" s="183">
        <v>1</v>
      </c>
      <c r="I755" s="98">
        <v>0</v>
      </c>
      <c r="J755" s="98">
        <v>0</v>
      </c>
      <c r="K755" s="101">
        <f t="shared" si="677"/>
        <v>0</v>
      </c>
      <c r="L755" s="100">
        <v>0</v>
      </c>
      <c r="M755" s="98">
        <v>0</v>
      </c>
      <c r="N755" s="101">
        <f t="shared" si="678"/>
        <v>0</v>
      </c>
      <c r="O755" s="100">
        <v>0</v>
      </c>
      <c r="P755" s="98">
        <v>0</v>
      </c>
      <c r="Q755" s="101">
        <f t="shared" si="679"/>
        <v>0</v>
      </c>
      <c r="R755" s="100">
        <v>0</v>
      </c>
      <c r="S755" s="98">
        <v>0</v>
      </c>
      <c r="T755" s="101">
        <f t="shared" si="680"/>
        <v>0</v>
      </c>
      <c r="U755" s="183">
        <v>1</v>
      </c>
      <c r="V755" s="99">
        <v>1</v>
      </c>
      <c r="W755" s="98">
        <v>0</v>
      </c>
      <c r="X755" s="98">
        <v>0</v>
      </c>
      <c r="Y755" s="101">
        <f t="shared" si="683"/>
        <v>0</v>
      </c>
      <c r="Z755" s="101">
        <v>1</v>
      </c>
      <c r="AA755" s="183">
        <v>0</v>
      </c>
      <c r="AB755" s="99">
        <v>1</v>
      </c>
      <c r="AC755" s="98">
        <v>0</v>
      </c>
      <c r="AD755" s="98">
        <v>0</v>
      </c>
      <c r="AE755" s="101">
        <f t="shared" si="681"/>
        <v>0</v>
      </c>
      <c r="AF755" s="100">
        <v>0</v>
      </c>
      <c r="AG755" s="98">
        <v>0</v>
      </c>
      <c r="AH755" s="99">
        <f t="shared" si="682"/>
        <v>0</v>
      </c>
      <c r="AI755" s="101">
        <v>1</v>
      </c>
      <c r="AJ755" s="106"/>
    </row>
    <row r="756" spans="2:36" s="126" customFormat="1" ht="17.100000000000001" customHeight="1">
      <c r="B756" s="118"/>
      <c r="C756" s="119"/>
      <c r="D756" s="120"/>
      <c r="E756" s="121"/>
      <c r="F756" s="122"/>
      <c r="G756" s="123"/>
      <c r="H756" s="183">
        <v>1</v>
      </c>
      <c r="I756" s="363" t="s">
        <v>201</v>
      </c>
      <c r="J756" s="363"/>
      <c r="K756" s="124">
        <f>SUM(K749:K755)</f>
        <v>0</v>
      </c>
      <c r="L756" s="341" t="s">
        <v>201</v>
      </c>
      <c r="M756" s="342"/>
      <c r="N756" s="124">
        <f>SUM(N749:N755)</f>
        <v>0</v>
      </c>
      <c r="O756" s="341" t="s">
        <v>201</v>
      </c>
      <c r="P756" s="342"/>
      <c r="Q756" s="124">
        <f>SUM(Q749:Q755)</f>
        <v>0</v>
      </c>
      <c r="R756" s="341" t="s">
        <v>201</v>
      </c>
      <c r="S756" s="342"/>
      <c r="T756" s="124">
        <f>SUM(T749:T755)</f>
        <v>0</v>
      </c>
      <c r="U756" s="183">
        <v>1</v>
      </c>
      <c r="V756" s="99">
        <v>1</v>
      </c>
      <c r="W756" s="363" t="s">
        <v>201</v>
      </c>
      <c r="X756" s="363"/>
      <c r="Y756" s="124">
        <f>SUM(Y749:Y755)</f>
        <v>200</v>
      </c>
      <c r="Z756" s="101">
        <v>1</v>
      </c>
      <c r="AA756" s="183">
        <v>0</v>
      </c>
      <c r="AB756" s="99">
        <v>1</v>
      </c>
      <c r="AC756" s="363" t="s">
        <v>201</v>
      </c>
      <c r="AD756" s="363"/>
      <c r="AE756" s="124">
        <f>SUM(AE749:AE755)</f>
        <v>0</v>
      </c>
      <c r="AF756" s="364" t="s">
        <v>201</v>
      </c>
      <c r="AG756" s="363"/>
      <c r="AH756" s="143">
        <f>SUM(AH749:AH755)</f>
        <v>0</v>
      </c>
      <c r="AI756" s="101">
        <v>1</v>
      </c>
      <c r="AJ756" s="125"/>
    </row>
    <row r="757" spans="2:36" s="35" customFormat="1" ht="16.95" customHeight="1">
      <c r="B757" s="105"/>
      <c r="C757" s="54">
        <f>'3. Rekap Back Up Non Aspal '!C115</f>
        <v>13500</v>
      </c>
      <c r="D757" s="96">
        <f>'3. Rekap Back Up Non Aspal '!D115</f>
        <v>13600</v>
      </c>
      <c r="E757" s="111">
        <f>'3. Rekap Back Up Non Aspal '!E115</f>
        <v>3</v>
      </c>
      <c r="F757" s="112">
        <f>(100/((D757-C757)*E757))*((K764*0.05)+(N764*0.05)+(Q764*0.05)+(T764)+(Y764)+(AE764*1.5)+(AH764*1))</f>
        <v>0</v>
      </c>
      <c r="G757" s="113" t="str">
        <f>IF(F757&lt;=25,"RB",IF(F757&lt;=75,"RB",IF(F757&lt;=100,"RB","RB")))</f>
        <v>RB</v>
      </c>
      <c r="H757" s="183">
        <v>1</v>
      </c>
      <c r="I757" s="98">
        <v>0</v>
      </c>
      <c r="J757" s="98">
        <v>0</v>
      </c>
      <c r="K757" s="101">
        <f t="shared" ref="K757:K763" si="684">I757*J757</f>
        <v>0</v>
      </c>
      <c r="L757" s="98">
        <v>0</v>
      </c>
      <c r="M757" s="98">
        <v>0</v>
      </c>
      <c r="N757" s="101">
        <f t="shared" ref="N757:N763" si="685">L757*M757</f>
        <v>0</v>
      </c>
      <c r="O757" s="98">
        <v>0</v>
      </c>
      <c r="P757" s="98">
        <v>0</v>
      </c>
      <c r="Q757" s="101">
        <f t="shared" ref="Q757:Q763" si="686">O757*P757</f>
        <v>0</v>
      </c>
      <c r="R757" s="98">
        <v>0</v>
      </c>
      <c r="S757" s="98">
        <v>0</v>
      </c>
      <c r="T757" s="101">
        <f t="shared" ref="T757:T763" si="687">R757*S757</f>
        <v>0</v>
      </c>
      <c r="U757" s="183">
        <v>1</v>
      </c>
      <c r="V757" s="99">
        <v>1</v>
      </c>
      <c r="W757" s="98">
        <v>0</v>
      </c>
      <c r="X757" s="98">
        <v>0</v>
      </c>
      <c r="Y757" s="101">
        <f>W757*X757</f>
        <v>0</v>
      </c>
      <c r="Z757" s="101">
        <v>1</v>
      </c>
      <c r="AA757" s="183">
        <v>0</v>
      </c>
      <c r="AB757" s="99">
        <v>1</v>
      </c>
      <c r="AC757" s="98">
        <v>0</v>
      </c>
      <c r="AD757" s="98">
        <v>0</v>
      </c>
      <c r="AE757" s="101">
        <f t="shared" ref="AE757:AE763" si="688">AC757*AD757</f>
        <v>0</v>
      </c>
      <c r="AF757" s="98">
        <v>0</v>
      </c>
      <c r="AG757" s="98">
        <v>3</v>
      </c>
      <c r="AH757" s="99">
        <f t="shared" ref="AH757:AH763" si="689">AF757*AG757</f>
        <v>0</v>
      </c>
      <c r="AI757" s="101">
        <v>1</v>
      </c>
      <c r="AJ757" s="106"/>
    </row>
    <row r="758" spans="2:36" s="35" customFormat="1" ht="17.100000000000001" customHeight="1">
      <c r="B758" s="105"/>
      <c r="C758" s="54"/>
      <c r="D758" s="96"/>
      <c r="E758" s="111"/>
      <c r="F758" s="112"/>
      <c r="G758" s="113"/>
      <c r="H758" s="183">
        <v>1</v>
      </c>
      <c r="I758" s="98">
        <v>0</v>
      </c>
      <c r="J758" s="98">
        <v>0</v>
      </c>
      <c r="K758" s="101">
        <f t="shared" si="684"/>
        <v>0</v>
      </c>
      <c r="L758" s="100">
        <v>0</v>
      </c>
      <c r="M758" s="98">
        <v>0</v>
      </c>
      <c r="N758" s="101">
        <f t="shared" si="685"/>
        <v>0</v>
      </c>
      <c r="O758" s="100">
        <v>0</v>
      </c>
      <c r="P758" s="98">
        <v>0</v>
      </c>
      <c r="Q758" s="101">
        <f t="shared" si="686"/>
        <v>0</v>
      </c>
      <c r="R758" s="100">
        <v>0</v>
      </c>
      <c r="S758" s="98">
        <v>0</v>
      </c>
      <c r="T758" s="101">
        <f t="shared" si="687"/>
        <v>0</v>
      </c>
      <c r="U758" s="183">
        <v>1</v>
      </c>
      <c r="V758" s="99">
        <v>1</v>
      </c>
      <c r="W758" s="98">
        <v>0</v>
      </c>
      <c r="X758" s="98">
        <v>0</v>
      </c>
      <c r="Y758" s="101">
        <f t="shared" ref="Y758:Y763" si="690">W758*X758</f>
        <v>0</v>
      </c>
      <c r="Z758" s="101">
        <v>1</v>
      </c>
      <c r="AA758" s="183">
        <v>0</v>
      </c>
      <c r="AB758" s="99">
        <v>1</v>
      </c>
      <c r="AC758" s="98">
        <v>0</v>
      </c>
      <c r="AD758" s="98">
        <v>0</v>
      </c>
      <c r="AE758" s="101">
        <f t="shared" si="688"/>
        <v>0</v>
      </c>
      <c r="AF758" s="100">
        <v>0</v>
      </c>
      <c r="AG758" s="98">
        <v>0</v>
      </c>
      <c r="AH758" s="99">
        <f t="shared" si="689"/>
        <v>0</v>
      </c>
      <c r="AI758" s="101">
        <v>1</v>
      </c>
      <c r="AJ758" s="106"/>
    </row>
    <row r="759" spans="2:36" s="35" customFormat="1" ht="17.100000000000001" customHeight="1">
      <c r="B759" s="105"/>
      <c r="C759" s="54"/>
      <c r="D759" s="96"/>
      <c r="E759" s="111"/>
      <c r="F759" s="112"/>
      <c r="G759" s="113"/>
      <c r="H759" s="183">
        <v>1</v>
      </c>
      <c r="I759" s="98">
        <v>0</v>
      </c>
      <c r="J759" s="98">
        <v>0</v>
      </c>
      <c r="K759" s="101">
        <f t="shared" si="684"/>
        <v>0</v>
      </c>
      <c r="L759" s="100">
        <v>0</v>
      </c>
      <c r="M759" s="98">
        <v>0</v>
      </c>
      <c r="N759" s="101">
        <f t="shared" si="685"/>
        <v>0</v>
      </c>
      <c r="O759" s="100">
        <v>0</v>
      </c>
      <c r="P759" s="98">
        <v>0</v>
      </c>
      <c r="Q759" s="101">
        <f t="shared" si="686"/>
        <v>0</v>
      </c>
      <c r="R759" s="100">
        <v>0</v>
      </c>
      <c r="S759" s="98">
        <v>0</v>
      </c>
      <c r="T759" s="101">
        <f t="shared" si="687"/>
        <v>0</v>
      </c>
      <c r="U759" s="183">
        <v>1</v>
      </c>
      <c r="V759" s="99">
        <v>1</v>
      </c>
      <c r="W759" s="98">
        <v>0</v>
      </c>
      <c r="X759" s="98">
        <v>0</v>
      </c>
      <c r="Y759" s="101">
        <f t="shared" si="690"/>
        <v>0</v>
      </c>
      <c r="Z759" s="101">
        <v>1</v>
      </c>
      <c r="AA759" s="183">
        <v>0</v>
      </c>
      <c r="AB759" s="99">
        <v>1</v>
      </c>
      <c r="AC759" s="98">
        <v>0</v>
      </c>
      <c r="AD759" s="98">
        <v>0</v>
      </c>
      <c r="AE759" s="101">
        <f t="shared" si="688"/>
        <v>0</v>
      </c>
      <c r="AF759" s="100">
        <v>0</v>
      </c>
      <c r="AG759" s="98">
        <v>0</v>
      </c>
      <c r="AH759" s="99">
        <f t="shared" si="689"/>
        <v>0</v>
      </c>
      <c r="AI759" s="101">
        <v>1</v>
      </c>
      <c r="AJ759" s="106"/>
    </row>
    <row r="760" spans="2:36" s="35" customFormat="1" ht="17.100000000000001" customHeight="1">
      <c r="B760" s="105"/>
      <c r="C760" s="54"/>
      <c r="D760" s="96"/>
      <c r="E760" s="111"/>
      <c r="F760" s="112"/>
      <c r="G760" s="113"/>
      <c r="H760" s="183">
        <v>1</v>
      </c>
      <c r="I760" s="98">
        <v>0</v>
      </c>
      <c r="J760" s="98">
        <v>0</v>
      </c>
      <c r="K760" s="101">
        <f t="shared" si="684"/>
        <v>0</v>
      </c>
      <c r="L760" s="100">
        <v>0</v>
      </c>
      <c r="M760" s="98">
        <v>0</v>
      </c>
      <c r="N760" s="101">
        <f t="shared" si="685"/>
        <v>0</v>
      </c>
      <c r="O760" s="100">
        <v>0</v>
      </c>
      <c r="P760" s="98">
        <v>0</v>
      </c>
      <c r="Q760" s="101">
        <f t="shared" si="686"/>
        <v>0</v>
      </c>
      <c r="R760" s="100">
        <v>0</v>
      </c>
      <c r="S760" s="98">
        <v>0</v>
      </c>
      <c r="T760" s="101">
        <f t="shared" si="687"/>
        <v>0</v>
      </c>
      <c r="U760" s="183">
        <v>1</v>
      </c>
      <c r="V760" s="99">
        <v>1</v>
      </c>
      <c r="W760" s="98">
        <v>0</v>
      </c>
      <c r="X760" s="98">
        <v>0</v>
      </c>
      <c r="Y760" s="101">
        <f t="shared" si="690"/>
        <v>0</v>
      </c>
      <c r="Z760" s="101">
        <v>1</v>
      </c>
      <c r="AA760" s="183">
        <v>0</v>
      </c>
      <c r="AB760" s="99">
        <v>1</v>
      </c>
      <c r="AC760" s="98">
        <v>0</v>
      </c>
      <c r="AD760" s="98">
        <v>0</v>
      </c>
      <c r="AE760" s="101">
        <f t="shared" si="688"/>
        <v>0</v>
      </c>
      <c r="AF760" s="100">
        <v>0</v>
      </c>
      <c r="AG760" s="98">
        <v>0</v>
      </c>
      <c r="AH760" s="99">
        <f t="shared" si="689"/>
        <v>0</v>
      </c>
      <c r="AI760" s="101">
        <v>1</v>
      </c>
      <c r="AJ760" s="106"/>
    </row>
    <row r="761" spans="2:36" s="35" customFormat="1" ht="17.100000000000001" customHeight="1">
      <c r="B761" s="105"/>
      <c r="C761" s="54"/>
      <c r="D761" s="96"/>
      <c r="E761" s="111"/>
      <c r="F761" s="112"/>
      <c r="G761" s="113"/>
      <c r="H761" s="183">
        <v>1</v>
      </c>
      <c r="I761" s="98">
        <v>0</v>
      </c>
      <c r="J761" s="98">
        <v>0</v>
      </c>
      <c r="K761" s="101">
        <f t="shared" si="684"/>
        <v>0</v>
      </c>
      <c r="L761" s="100">
        <v>0</v>
      </c>
      <c r="M761" s="98">
        <v>0</v>
      </c>
      <c r="N761" s="101">
        <f t="shared" si="685"/>
        <v>0</v>
      </c>
      <c r="O761" s="100">
        <v>0</v>
      </c>
      <c r="P761" s="98">
        <v>0</v>
      </c>
      <c r="Q761" s="101">
        <f t="shared" si="686"/>
        <v>0</v>
      </c>
      <c r="R761" s="100">
        <v>0</v>
      </c>
      <c r="S761" s="98">
        <v>0</v>
      </c>
      <c r="T761" s="101">
        <f t="shared" si="687"/>
        <v>0</v>
      </c>
      <c r="U761" s="183">
        <v>1</v>
      </c>
      <c r="V761" s="99">
        <v>1</v>
      </c>
      <c r="W761" s="98">
        <v>0</v>
      </c>
      <c r="X761" s="98">
        <v>0</v>
      </c>
      <c r="Y761" s="101">
        <f t="shared" si="690"/>
        <v>0</v>
      </c>
      <c r="Z761" s="101">
        <v>1</v>
      </c>
      <c r="AA761" s="183">
        <v>0</v>
      </c>
      <c r="AB761" s="99">
        <v>1</v>
      </c>
      <c r="AC761" s="98">
        <v>0</v>
      </c>
      <c r="AD761" s="98">
        <v>0</v>
      </c>
      <c r="AE761" s="101">
        <f t="shared" si="688"/>
        <v>0</v>
      </c>
      <c r="AF761" s="100">
        <v>0</v>
      </c>
      <c r="AG761" s="98">
        <v>0</v>
      </c>
      <c r="AH761" s="99">
        <f t="shared" si="689"/>
        <v>0</v>
      </c>
      <c r="AI761" s="101">
        <v>1</v>
      </c>
      <c r="AJ761" s="106"/>
    </row>
    <row r="762" spans="2:36" s="35" customFormat="1" ht="17.100000000000001" customHeight="1">
      <c r="B762" s="105"/>
      <c r="C762" s="54"/>
      <c r="D762" s="96"/>
      <c r="E762" s="111"/>
      <c r="F762" s="112"/>
      <c r="G762" s="113"/>
      <c r="H762" s="183">
        <v>1</v>
      </c>
      <c r="I762" s="98">
        <v>0</v>
      </c>
      <c r="J762" s="98">
        <v>0</v>
      </c>
      <c r="K762" s="101">
        <f t="shared" si="684"/>
        <v>0</v>
      </c>
      <c r="L762" s="100">
        <v>0</v>
      </c>
      <c r="M762" s="98">
        <v>0</v>
      </c>
      <c r="N762" s="101">
        <f t="shared" si="685"/>
        <v>0</v>
      </c>
      <c r="O762" s="100">
        <v>0</v>
      </c>
      <c r="P762" s="98">
        <v>0</v>
      </c>
      <c r="Q762" s="101">
        <f t="shared" si="686"/>
        <v>0</v>
      </c>
      <c r="R762" s="100">
        <v>0</v>
      </c>
      <c r="S762" s="98">
        <v>0</v>
      </c>
      <c r="T762" s="101">
        <f t="shared" si="687"/>
        <v>0</v>
      </c>
      <c r="U762" s="183">
        <v>1</v>
      </c>
      <c r="V762" s="99">
        <v>1</v>
      </c>
      <c r="W762" s="98">
        <v>0</v>
      </c>
      <c r="X762" s="98">
        <v>0</v>
      </c>
      <c r="Y762" s="101">
        <f t="shared" si="690"/>
        <v>0</v>
      </c>
      <c r="Z762" s="101">
        <v>1</v>
      </c>
      <c r="AA762" s="183">
        <v>0</v>
      </c>
      <c r="AB762" s="99">
        <v>1</v>
      </c>
      <c r="AC762" s="98">
        <v>0</v>
      </c>
      <c r="AD762" s="98">
        <v>0</v>
      </c>
      <c r="AE762" s="101">
        <f t="shared" si="688"/>
        <v>0</v>
      </c>
      <c r="AF762" s="100">
        <v>0</v>
      </c>
      <c r="AG762" s="98">
        <v>0</v>
      </c>
      <c r="AH762" s="99">
        <f t="shared" si="689"/>
        <v>0</v>
      </c>
      <c r="AI762" s="101">
        <v>1</v>
      </c>
      <c r="AJ762" s="106"/>
    </row>
    <row r="763" spans="2:36" s="35" customFormat="1" ht="17.100000000000001" customHeight="1">
      <c r="B763" s="105"/>
      <c r="C763" s="54"/>
      <c r="D763" s="96"/>
      <c r="E763" s="111"/>
      <c r="F763" s="112"/>
      <c r="G763" s="113"/>
      <c r="H763" s="183">
        <v>1</v>
      </c>
      <c r="I763" s="98">
        <v>0</v>
      </c>
      <c r="J763" s="98">
        <v>0</v>
      </c>
      <c r="K763" s="101">
        <f t="shared" si="684"/>
        <v>0</v>
      </c>
      <c r="L763" s="100">
        <v>0</v>
      </c>
      <c r="M763" s="98">
        <v>0</v>
      </c>
      <c r="N763" s="101">
        <f t="shared" si="685"/>
        <v>0</v>
      </c>
      <c r="O763" s="100">
        <v>0</v>
      </c>
      <c r="P763" s="98">
        <v>0</v>
      </c>
      <c r="Q763" s="101">
        <f t="shared" si="686"/>
        <v>0</v>
      </c>
      <c r="R763" s="100">
        <v>0</v>
      </c>
      <c r="S763" s="98">
        <v>0</v>
      </c>
      <c r="T763" s="101">
        <f t="shared" si="687"/>
        <v>0</v>
      </c>
      <c r="U763" s="183">
        <v>1</v>
      </c>
      <c r="V763" s="99">
        <v>1</v>
      </c>
      <c r="W763" s="98">
        <v>0</v>
      </c>
      <c r="X763" s="98">
        <v>0</v>
      </c>
      <c r="Y763" s="101">
        <f t="shared" si="690"/>
        <v>0</v>
      </c>
      <c r="Z763" s="101">
        <v>1</v>
      </c>
      <c r="AA763" s="183">
        <v>0</v>
      </c>
      <c r="AB763" s="99">
        <v>1</v>
      </c>
      <c r="AC763" s="98">
        <v>0</v>
      </c>
      <c r="AD763" s="98">
        <v>0</v>
      </c>
      <c r="AE763" s="101">
        <f t="shared" si="688"/>
        <v>0</v>
      </c>
      <c r="AF763" s="100">
        <v>0</v>
      </c>
      <c r="AG763" s="98">
        <v>0</v>
      </c>
      <c r="AH763" s="99">
        <f t="shared" si="689"/>
        <v>0</v>
      </c>
      <c r="AI763" s="101">
        <v>1</v>
      </c>
      <c r="AJ763" s="106"/>
    </row>
    <row r="764" spans="2:36" s="126" customFormat="1" ht="17.100000000000001" customHeight="1">
      <c r="B764" s="118"/>
      <c r="C764" s="119"/>
      <c r="D764" s="120"/>
      <c r="E764" s="121"/>
      <c r="F764" s="122"/>
      <c r="G764" s="123"/>
      <c r="H764" s="183">
        <v>1</v>
      </c>
      <c r="I764" s="363" t="s">
        <v>201</v>
      </c>
      <c r="J764" s="363"/>
      <c r="K764" s="124">
        <f>SUM(K757:K763)</f>
        <v>0</v>
      </c>
      <c r="L764" s="341" t="s">
        <v>201</v>
      </c>
      <c r="M764" s="342"/>
      <c r="N764" s="124">
        <f>SUM(N757:N763)</f>
        <v>0</v>
      </c>
      <c r="O764" s="341" t="s">
        <v>201</v>
      </c>
      <c r="P764" s="342"/>
      <c r="Q764" s="124">
        <f>SUM(Q757:Q763)</f>
        <v>0</v>
      </c>
      <c r="R764" s="341" t="s">
        <v>201</v>
      </c>
      <c r="S764" s="342"/>
      <c r="T764" s="124">
        <f>SUM(T757:T763)</f>
        <v>0</v>
      </c>
      <c r="U764" s="183">
        <v>1</v>
      </c>
      <c r="V764" s="99">
        <v>1</v>
      </c>
      <c r="W764" s="363" t="s">
        <v>201</v>
      </c>
      <c r="X764" s="363"/>
      <c r="Y764" s="124">
        <f>SUM(Y757:Y763)</f>
        <v>0</v>
      </c>
      <c r="Z764" s="101">
        <v>1</v>
      </c>
      <c r="AA764" s="183">
        <v>0</v>
      </c>
      <c r="AB764" s="99">
        <v>1</v>
      </c>
      <c r="AC764" s="363" t="s">
        <v>201</v>
      </c>
      <c r="AD764" s="363"/>
      <c r="AE764" s="124">
        <f>SUM(AE757:AE763)</f>
        <v>0</v>
      </c>
      <c r="AF764" s="364" t="s">
        <v>201</v>
      </c>
      <c r="AG764" s="363"/>
      <c r="AH764" s="143">
        <f>SUM(AH757:AH763)</f>
        <v>0</v>
      </c>
      <c r="AI764" s="101">
        <v>1</v>
      </c>
      <c r="AJ764" s="125"/>
    </row>
    <row r="765" spans="2:36" s="35" customFormat="1" ht="16.95" customHeight="1">
      <c r="B765" s="105"/>
      <c r="C765" s="54">
        <f>'3. Rekap Back Up Non Aspal '!C116</f>
        <v>13600</v>
      </c>
      <c r="D765" s="96">
        <f>'3. Rekap Back Up Non Aspal '!D116</f>
        <v>13700</v>
      </c>
      <c r="E765" s="111">
        <f>'3. Rekap Back Up Non Aspal '!E116</f>
        <v>3</v>
      </c>
      <c r="F765" s="112">
        <f>(100/((D765-C765)*E765))*((K772*0.05)+(N772*0.05)+(Q772*0.05)+(T772)+(Y772)+(AE772*1.5)+(AH772*1))</f>
        <v>50</v>
      </c>
      <c r="G765" s="113" t="str">
        <f>IF(F765&lt;=25,"RB",IF(F765&lt;=75,"RB",IF(F765&lt;=100,"RB","RB")))</f>
        <v>RB</v>
      </c>
      <c r="H765" s="183">
        <v>1</v>
      </c>
      <c r="I765" s="98">
        <v>0</v>
      </c>
      <c r="J765" s="98">
        <v>0</v>
      </c>
      <c r="K765" s="101">
        <f t="shared" ref="K765:K771" si="691">I765*J765</f>
        <v>0</v>
      </c>
      <c r="L765" s="98">
        <v>0</v>
      </c>
      <c r="M765" s="98">
        <v>0</v>
      </c>
      <c r="N765" s="101">
        <f t="shared" ref="N765:N771" si="692">L765*M765</f>
        <v>0</v>
      </c>
      <c r="O765" s="98">
        <v>0</v>
      </c>
      <c r="P765" s="98">
        <v>0</v>
      </c>
      <c r="Q765" s="101">
        <f t="shared" ref="Q765:Q771" si="693">O765*P765</f>
        <v>0</v>
      </c>
      <c r="R765" s="98">
        <v>50</v>
      </c>
      <c r="S765" s="98">
        <v>3</v>
      </c>
      <c r="T765" s="101">
        <f t="shared" ref="T765:T771" si="694">R765*S765</f>
        <v>150</v>
      </c>
      <c r="U765" s="183">
        <v>1</v>
      </c>
      <c r="V765" s="99">
        <v>1</v>
      </c>
      <c r="W765" s="98">
        <v>0</v>
      </c>
      <c r="X765" s="98">
        <v>0</v>
      </c>
      <c r="Y765" s="101">
        <f>W765*X765</f>
        <v>0</v>
      </c>
      <c r="Z765" s="101">
        <v>1</v>
      </c>
      <c r="AA765" s="183">
        <v>0</v>
      </c>
      <c r="AB765" s="99">
        <v>1</v>
      </c>
      <c r="AC765" s="98">
        <v>0</v>
      </c>
      <c r="AD765" s="98">
        <v>0</v>
      </c>
      <c r="AE765" s="101">
        <f t="shared" ref="AE765:AE771" si="695">AC765*AD765</f>
        <v>0</v>
      </c>
      <c r="AF765" s="98">
        <v>0</v>
      </c>
      <c r="AG765" s="98">
        <v>3</v>
      </c>
      <c r="AH765" s="99">
        <f t="shared" ref="AH765:AH771" si="696">AF765*AG765</f>
        <v>0</v>
      </c>
      <c r="AI765" s="101">
        <v>1</v>
      </c>
      <c r="AJ765" s="106"/>
    </row>
    <row r="766" spans="2:36" s="35" customFormat="1" ht="17.100000000000001" customHeight="1">
      <c r="B766" s="105"/>
      <c r="C766" s="54"/>
      <c r="D766" s="96"/>
      <c r="E766" s="111"/>
      <c r="F766" s="112"/>
      <c r="G766" s="113"/>
      <c r="H766" s="183">
        <v>1</v>
      </c>
      <c r="I766" s="98">
        <v>0</v>
      </c>
      <c r="J766" s="98">
        <v>0</v>
      </c>
      <c r="K766" s="101">
        <f t="shared" si="691"/>
        <v>0</v>
      </c>
      <c r="L766" s="100">
        <v>0</v>
      </c>
      <c r="M766" s="98">
        <v>0</v>
      </c>
      <c r="N766" s="101">
        <f t="shared" si="692"/>
        <v>0</v>
      </c>
      <c r="O766" s="100">
        <v>0</v>
      </c>
      <c r="P766" s="98">
        <v>0</v>
      </c>
      <c r="Q766" s="101">
        <f t="shared" si="693"/>
        <v>0</v>
      </c>
      <c r="R766" s="100">
        <v>0</v>
      </c>
      <c r="S766" s="98">
        <v>0</v>
      </c>
      <c r="T766" s="101">
        <f t="shared" si="694"/>
        <v>0</v>
      </c>
      <c r="U766" s="183">
        <v>1</v>
      </c>
      <c r="V766" s="99">
        <v>1</v>
      </c>
      <c r="W766" s="98">
        <v>0</v>
      </c>
      <c r="X766" s="98">
        <v>0</v>
      </c>
      <c r="Y766" s="101">
        <f t="shared" ref="Y766:Y771" si="697">W766*X766</f>
        <v>0</v>
      </c>
      <c r="Z766" s="101">
        <v>1</v>
      </c>
      <c r="AA766" s="183">
        <v>0</v>
      </c>
      <c r="AB766" s="99">
        <v>1</v>
      </c>
      <c r="AC766" s="98">
        <v>0</v>
      </c>
      <c r="AD766" s="98">
        <v>0</v>
      </c>
      <c r="AE766" s="101">
        <f t="shared" si="695"/>
        <v>0</v>
      </c>
      <c r="AF766" s="100">
        <v>0</v>
      </c>
      <c r="AG766" s="98">
        <v>0</v>
      </c>
      <c r="AH766" s="99">
        <f t="shared" si="696"/>
        <v>0</v>
      </c>
      <c r="AI766" s="101">
        <v>1</v>
      </c>
      <c r="AJ766" s="106"/>
    </row>
    <row r="767" spans="2:36" s="35" customFormat="1" ht="17.100000000000001" customHeight="1">
      <c r="B767" s="105"/>
      <c r="C767" s="54"/>
      <c r="D767" s="96"/>
      <c r="E767" s="111"/>
      <c r="F767" s="112"/>
      <c r="G767" s="113"/>
      <c r="H767" s="183">
        <v>1</v>
      </c>
      <c r="I767" s="98">
        <v>0</v>
      </c>
      <c r="J767" s="98">
        <v>0</v>
      </c>
      <c r="K767" s="101">
        <f t="shared" si="691"/>
        <v>0</v>
      </c>
      <c r="L767" s="100">
        <v>0</v>
      </c>
      <c r="M767" s="98">
        <v>0</v>
      </c>
      <c r="N767" s="101">
        <f t="shared" si="692"/>
        <v>0</v>
      </c>
      <c r="O767" s="100">
        <v>0</v>
      </c>
      <c r="P767" s="98">
        <v>0</v>
      </c>
      <c r="Q767" s="101">
        <f t="shared" si="693"/>
        <v>0</v>
      </c>
      <c r="R767" s="100">
        <v>0</v>
      </c>
      <c r="S767" s="98">
        <v>0</v>
      </c>
      <c r="T767" s="101">
        <f t="shared" si="694"/>
        <v>0</v>
      </c>
      <c r="U767" s="183">
        <v>1</v>
      </c>
      <c r="V767" s="99">
        <v>1</v>
      </c>
      <c r="W767" s="98">
        <v>0</v>
      </c>
      <c r="X767" s="98">
        <v>0</v>
      </c>
      <c r="Y767" s="101">
        <f t="shared" si="697"/>
        <v>0</v>
      </c>
      <c r="Z767" s="101">
        <v>1</v>
      </c>
      <c r="AA767" s="183">
        <v>0</v>
      </c>
      <c r="AB767" s="99">
        <v>1</v>
      </c>
      <c r="AC767" s="98">
        <v>0</v>
      </c>
      <c r="AD767" s="98">
        <v>0</v>
      </c>
      <c r="AE767" s="101">
        <f t="shared" si="695"/>
        <v>0</v>
      </c>
      <c r="AF767" s="100">
        <v>0</v>
      </c>
      <c r="AG767" s="98">
        <v>0</v>
      </c>
      <c r="AH767" s="99">
        <f t="shared" si="696"/>
        <v>0</v>
      </c>
      <c r="AI767" s="101">
        <v>1</v>
      </c>
      <c r="AJ767" s="106"/>
    </row>
    <row r="768" spans="2:36" s="35" customFormat="1" ht="17.100000000000001" customHeight="1">
      <c r="B768" s="105"/>
      <c r="C768" s="54"/>
      <c r="D768" s="96"/>
      <c r="E768" s="111"/>
      <c r="F768" s="112"/>
      <c r="G768" s="113"/>
      <c r="H768" s="183">
        <v>1</v>
      </c>
      <c r="I768" s="98">
        <v>0</v>
      </c>
      <c r="J768" s="98">
        <v>0</v>
      </c>
      <c r="K768" s="101">
        <f t="shared" si="691"/>
        <v>0</v>
      </c>
      <c r="L768" s="100">
        <v>0</v>
      </c>
      <c r="M768" s="98">
        <v>0</v>
      </c>
      <c r="N768" s="101">
        <f t="shared" si="692"/>
        <v>0</v>
      </c>
      <c r="O768" s="100">
        <v>0</v>
      </c>
      <c r="P768" s="98">
        <v>0</v>
      </c>
      <c r="Q768" s="101">
        <f t="shared" si="693"/>
        <v>0</v>
      </c>
      <c r="R768" s="100">
        <v>0</v>
      </c>
      <c r="S768" s="98">
        <v>0</v>
      </c>
      <c r="T768" s="101">
        <f t="shared" si="694"/>
        <v>0</v>
      </c>
      <c r="U768" s="183">
        <v>1</v>
      </c>
      <c r="V768" s="99">
        <v>1</v>
      </c>
      <c r="W768" s="98">
        <v>0</v>
      </c>
      <c r="X768" s="98">
        <v>0</v>
      </c>
      <c r="Y768" s="101">
        <f t="shared" si="697"/>
        <v>0</v>
      </c>
      <c r="Z768" s="101">
        <v>1</v>
      </c>
      <c r="AA768" s="183">
        <v>0</v>
      </c>
      <c r="AB768" s="99">
        <v>1</v>
      </c>
      <c r="AC768" s="98">
        <v>0</v>
      </c>
      <c r="AD768" s="98">
        <v>0</v>
      </c>
      <c r="AE768" s="101">
        <f t="shared" si="695"/>
        <v>0</v>
      </c>
      <c r="AF768" s="100">
        <v>0</v>
      </c>
      <c r="AG768" s="98">
        <v>0</v>
      </c>
      <c r="AH768" s="99">
        <f t="shared" si="696"/>
        <v>0</v>
      </c>
      <c r="AI768" s="101">
        <v>1</v>
      </c>
      <c r="AJ768" s="106"/>
    </row>
    <row r="769" spans="2:36" s="35" customFormat="1" ht="17.100000000000001" customHeight="1">
      <c r="B769" s="105"/>
      <c r="C769" s="54"/>
      <c r="D769" s="96"/>
      <c r="E769" s="111"/>
      <c r="F769" s="112"/>
      <c r="G769" s="113"/>
      <c r="H769" s="183">
        <v>1</v>
      </c>
      <c r="I769" s="98">
        <v>0</v>
      </c>
      <c r="J769" s="98">
        <v>0</v>
      </c>
      <c r="K769" s="101">
        <f t="shared" si="691"/>
        <v>0</v>
      </c>
      <c r="L769" s="100">
        <v>0</v>
      </c>
      <c r="M769" s="98">
        <v>0</v>
      </c>
      <c r="N769" s="101">
        <f t="shared" si="692"/>
        <v>0</v>
      </c>
      <c r="O769" s="100">
        <v>0</v>
      </c>
      <c r="P769" s="98">
        <v>0</v>
      </c>
      <c r="Q769" s="101">
        <f t="shared" si="693"/>
        <v>0</v>
      </c>
      <c r="R769" s="100">
        <v>0</v>
      </c>
      <c r="S769" s="98">
        <v>0</v>
      </c>
      <c r="T769" s="101">
        <f t="shared" si="694"/>
        <v>0</v>
      </c>
      <c r="U769" s="183">
        <v>1</v>
      </c>
      <c r="V769" s="99">
        <v>1</v>
      </c>
      <c r="W769" s="98">
        <v>0</v>
      </c>
      <c r="X769" s="98">
        <v>0</v>
      </c>
      <c r="Y769" s="101">
        <f t="shared" si="697"/>
        <v>0</v>
      </c>
      <c r="Z769" s="101">
        <v>1</v>
      </c>
      <c r="AA769" s="183">
        <v>0</v>
      </c>
      <c r="AB769" s="99">
        <v>1</v>
      </c>
      <c r="AC769" s="98">
        <v>0</v>
      </c>
      <c r="AD769" s="98">
        <v>0</v>
      </c>
      <c r="AE769" s="101">
        <f t="shared" si="695"/>
        <v>0</v>
      </c>
      <c r="AF769" s="100">
        <v>0</v>
      </c>
      <c r="AG769" s="98">
        <v>0</v>
      </c>
      <c r="AH769" s="99">
        <f t="shared" si="696"/>
        <v>0</v>
      </c>
      <c r="AI769" s="101">
        <v>1</v>
      </c>
      <c r="AJ769" s="106"/>
    </row>
    <row r="770" spans="2:36" s="35" customFormat="1" ht="17.100000000000001" customHeight="1">
      <c r="B770" s="105"/>
      <c r="C770" s="54"/>
      <c r="D770" s="96"/>
      <c r="E770" s="111"/>
      <c r="F770" s="112"/>
      <c r="G770" s="113"/>
      <c r="H770" s="183">
        <v>1</v>
      </c>
      <c r="I770" s="98">
        <v>0</v>
      </c>
      <c r="J770" s="98">
        <v>0</v>
      </c>
      <c r="K770" s="101">
        <f t="shared" si="691"/>
        <v>0</v>
      </c>
      <c r="L770" s="100">
        <v>0</v>
      </c>
      <c r="M770" s="98">
        <v>0</v>
      </c>
      <c r="N770" s="101">
        <f t="shared" si="692"/>
        <v>0</v>
      </c>
      <c r="O770" s="100">
        <v>0</v>
      </c>
      <c r="P770" s="98">
        <v>0</v>
      </c>
      <c r="Q770" s="101">
        <f t="shared" si="693"/>
        <v>0</v>
      </c>
      <c r="R770" s="100">
        <v>0</v>
      </c>
      <c r="S770" s="98">
        <v>0</v>
      </c>
      <c r="T770" s="101">
        <f t="shared" si="694"/>
        <v>0</v>
      </c>
      <c r="U770" s="183">
        <v>1</v>
      </c>
      <c r="V770" s="99">
        <v>1</v>
      </c>
      <c r="W770" s="98">
        <v>0</v>
      </c>
      <c r="X770" s="98">
        <v>0</v>
      </c>
      <c r="Y770" s="101">
        <f t="shared" si="697"/>
        <v>0</v>
      </c>
      <c r="Z770" s="101">
        <v>1</v>
      </c>
      <c r="AA770" s="183">
        <v>0</v>
      </c>
      <c r="AB770" s="99">
        <v>1</v>
      </c>
      <c r="AC770" s="98">
        <v>0</v>
      </c>
      <c r="AD770" s="98">
        <v>0</v>
      </c>
      <c r="AE770" s="101">
        <f t="shared" si="695"/>
        <v>0</v>
      </c>
      <c r="AF770" s="100">
        <v>0</v>
      </c>
      <c r="AG770" s="98">
        <v>0</v>
      </c>
      <c r="AH770" s="99">
        <f t="shared" si="696"/>
        <v>0</v>
      </c>
      <c r="AI770" s="101">
        <v>1</v>
      </c>
      <c r="AJ770" s="106"/>
    </row>
    <row r="771" spans="2:36" s="35" customFormat="1" ht="17.100000000000001" customHeight="1">
      <c r="B771" s="105"/>
      <c r="C771" s="54"/>
      <c r="D771" s="96"/>
      <c r="E771" s="111"/>
      <c r="F771" s="112"/>
      <c r="G771" s="113"/>
      <c r="H771" s="183">
        <v>1</v>
      </c>
      <c r="I771" s="98">
        <v>0</v>
      </c>
      <c r="J771" s="98">
        <v>0</v>
      </c>
      <c r="K771" s="101">
        <f t="shared" si="691"/>
        <v>0</v>
      </c>
      <c r="L771" s="100">
        <v>0</v>
      </c>
      <c r="M771" s="98">
        <v>0</v>
      </c>
      <c r="N771" s="101">
        <f t="shared" si="692"/>
        <v>0</v>
      </c>
      <c r="O771" s="100">
        <v>0</v>
      </c>
      <c r="P771" s="98">
        <v>0</v>
      </c>
      <c r="Q771" s="101">
        <f t="shared" si="693"/>
        <v>0</v>
      </c>
      <c r="R771" s="100">
        <v>0</v>
      </c>
      <c r="S771" s="98">
        <v>0</v>
      </c>
      <c r="T771" s="101">
        <f t="shared" si="694"/>
        <v>0</v>
      </c>
      <c r="U771" s="183">
        <v>1</v>
      </c>
      <c r="V771" s="99">
        <v>1</v>
      </c>
      <c r="W771" s="98">
        <v>0</v>
      </c>
      <c r="X771" s="98">
        <v>0</v>
      </c>
      <c r="Y771" s="101">
        <f t="shared" si="697"/>
        <v>0</v>
      </c>
      <c r="Z771" s="101">
        <v>1</v>
      </c>
      <c r="AA771" s="183">
        <v>0</v>
      </c>
      <c r="AB771" s="99">
        <v>1</v>
      </c>
      <c r="AC771" s="98">
        <v>0</v>
      </c>
      <c r="AD771" s="98">
        <v>0</v>
      </c>
      <c r="AE771" s="101">
        <f t="shared" si="695"/>
        <v>0</v>
      </c>
      <c r="AF771" s="100">
        <v>0</v>
      </c>
      <c r="AG771" s="98">
        <v>0</v>
      </c>
      <c r="AH771" s="99">
        <f t="shared" si="696"/>
        <v>0</v>
      </c>
      <c r="AI771" s="101">
        <v>1</v>
      </c>
      <c r="AJ771" s="106"/>
    </row>
    <row r="772" spans="2:36" s="126" customFormat="1" ht="17.100000000000001" customHeight="1">
      <c r="B772" s="118"/>
      <c r="C772" s="119"/>
      <c r="D772" s="120"/>
      <c r="E772" s="121"/>
      <c r="F772" s="122"/>
      <c r="G772" s="123"/>
      <c r="H772" s="183">
        <v>1</v>
      </c>
      <c r="I772" s="363" t="s">
        <v>201</v>
      </c>
      <c r="J772" s="363"/>
      <c r="K772" s="124">
        <f>SUM(K765:K771)</f>
        <v>0</v>
      </c>
      <c r="L772" s="341" t="s">
        <v>201</v>
      </c>
      <c r="M772" s="342"/>
      <c r="N772" s="124">
        <f>SUM(N765:N771)</f>
        <v>0</v>
      </c>
      <c r="O772" s="341" t="s">
        <v>201</v>
      </c>
      <c r="P772" s="342"/>
      <c r="Q772" s="124">
        <f>SUM(Q765:Q771)</f>
        <v>0</v>
      </c>
      <c r="R772" s="341" t="s">
        <v>201</v>
      </c>
      <c r="S772" s="342"/>
      <c r="T772" s="124">
        <f>SUM(T765:T771)</f>
        <v>150</v>
      </c>
      <c r="U772" s="183">
        <v>1</v>
      </c>
      <c r="V772" s="99">
        <v>1</v>
      </c>
      <c r="W772" s="363" t="s">
        <v>201</v>
      </c>
      <c r="X772" s="363"/>
      <c r="Y772" s="124">
        <f>SUM(Y765:Y771)</f>
        <v>0</v>
      </c>
      <c r="Z772" s="101">
        <v>1</v>
      </c>
      <c r="AA772" s="183">
        <v>0</v>
      </c>
      <c r="AB772" s="99">
        <v>1</v>
      </c>
      <c r="AC772" s="363" t="s">
        <v>201</v>
      </c>
      <c r="AD772" s="363"/>
      <c r="AE772" s="124">
        <f>SUM(AE765:AE771)</f>
        <v>0</v>
      </c>
      <c r="AF772" s="364" t="s">
        <v>201</v>
      </c>
      <c r="AG772" s="363"/>
      <c r="AH772" s="143">
        <f>SUM(AH765:AH771)</f>
        <v>0</v>
      </c>
      <c r="AI772" s="101">
        <v>1</v>
      </c>
      <c r="AJ772" s="125"/>
    </row>
    <row r="773" spans="2:36" s="35" customFormat="1" ht="16.95" customHeight="1">
      <c r="B773" s="105"/>
      <c r="C773" s="54">
        <f>'3. Rekap Back Up Non Aspal '!C117</f>
        <v>13700</v>
      </c>
      <c r="D773" s="96">
        <f>'3. Rekap Back Up Non Aspal '!D117</f>
        <v>13800</v>
      </c>
      <c r="E773" s="111">
        <f>'3. Rekap Back Up Non Aspal '!E117</f>
        <v>3</v>
      </c>
      <c r="F773" s="112">
        <f>(100/((D773-C773)*E773))*((K780*0.05)+(N780*0.05)+(Q780*0.05)+(T780)+(Y780)+(AE780*1.5)+(AH780*1))</f>
        <v>0</v>
      </c>
      <c r="G773" s="113" t="str">
        <f>IF(F773&lt;=25,"RB",IF(F773&lt;=75,"RB",IF(F773&lt;=100,"RB","RB")))</f>
        <v>RB</v>
      </c>
      <c r="H773" s="183">
        <v>1</v>
      </c>
      <c r="I773" s="98">
        <v>0</v>
      </c>
      <c r="J773" s="98">
        <v>0</v>
      </c>
      <c r="K773" s="101">
        <f t="shared" ref="K773:K779" si="698">I773*J773</f>
        <v>0</v>
      </c>
      <c r="L773" s="98">
        <v>0</v>
      </c>
      <c r="M773" s="98">
        <v>0</v>
      </c>
      <c r="N773" s="101">
        <f t="shared" ref="N773:N779" si="699">L773*M773</f>
        <v>0</v>
      </c>
      <c r="O773" s="98">
        <v>0</v>
      </c>
      <c r="P773" s="98">
        <v>0</v>
      </c>
      <c r="Q773" s="101">
        <f t="shared" ref="Q773:Q779" si="700">O773*P773</f>
        <v>0</v>
      </c>
      <c r="R773" s="98">
        <v>0</v>
      </c>
      <c r="S773" s="98">
        <v>0</v>
      </c>
      <c r="T773" s="101">
        <f t="shared" ref="T773:T779" si="701">R773*S773</f>
        <v>0</v>
      </c>
      <c r="U773" s="183">
        <v>1</v>
      </c>
      <c r="V773" s="99">
        <v>1</v>
      </c>
      <c r="W773" s="98">
        <v>0</v>
      </c>
      <c r="X773" s="98">
        <v>0</v>
      </c>
      <c r="Y773" s="101">
        <f>W773*X773</f>
        <v>0</v>
      </c>
      <c r="Z773" s="101">
        <v>1</v>
      </c>
      <c r="AA773" s="183">
        <v>0</v>
      </c>
      <c r="AB773" s="99">
        <v>1</v>
      </c>
      <c r="AC773" s="98">
        <v>0</v>
      </c>
      <c r="AD773" s="98">
        <v>0</v>
      </c>
      <c r="AE773" s="101">
        <f t="shared" ref="AE773:AE779" si="702">AC773*AD773</f>
        <v>0</v>
      </c>
      <c r="AF773" s="98">
        <v>0</v>
      </c>
      <c r="AG773" s="98">
        <v>3</v>
      </c>
      <c r="AH773" s="99">
        <f t="shared" ref="AH773:AH779" si="703">AF773*AG773</f>
        <v>0</v>
      </c>
      <c r="AI773" s="101">
        <v>1</v>
      </c>
      <c r="AJ773" s="106"/>
    </row>
    <row r="774" spans="2:36" s="35" customFormat="1" ht="17.100000000000001" customHeight="1">
      <c r="B774" s="105"/>
      <c r="C774" s="54"/>
      <c r="D774" s="96"/>
      <c r="E774" s="111"/>
      <c r="F774" s="112"/>
      <c r="G774" s="113"/>
      <c r="H774" s="183">
        <v>1</v>
      </c>
      <c r="I774" s="98">
        <v>0</v>
      </c>
      <c r="J774" s="98">
        <v>0</v>
      </c>
      <c r="K774" s="101">
        <f t="shared" si="698"/>
        <v>0</v>
      </c>
      <c r="L774" s="100">
        <v>0</v>
      </c>
      <c r="M774" s="98">
        <v>0</v>
      </c>
      <c r="N774" s="101">
        <f t="shared" si="699"/>
        <v>0</v>
      </c>
      <c r="O774" s="100">
        <v>0</v>
      </c>
      <c r="P774" s="98">
        <v>0</v>
      </c>
      <c r="Q774" s="101">
        <f t="shared" si="700"/>
        <v>0</v>
      </c>
      <c r="R774" s="100">
        <v>0</v>
      </c>
      <c r="S774" s="98">
        <v>0</v>
      </c>
      <c r="T774" s="101">
        <f t="shared" si="701"/>
        <v>0</v>
      </c>
      <c r="U774" s="183">
        <v>1</v>
      </c>
      <c r="V774" s="99">
        <v>1</v>
      </c>
      <c r="W774" s="98">
        <v>0</v>
      </c>
      <c r="X774" s="98">
        <v>0</v>
      </c>
      <c r="Y774" s="101">
        <f t="shared" ref="Y774:Y779" si="704">W774*X774</f>
        <v>0</v>
      </c>
      <c r="Z774" s="101">
        <v>1</v>
      </c>
      <c r="AA774" s="183">
        <v>0</v>
      </c>
      <c r="AB774" s="99">
        <v>1</v>
      </c>
      <c r="AC774" s="98">
        <v>0</v>
      </c>
      <c r="AD774" s="98">
        <v>0</v>
      </c>
      <c r="AE774" s="101">
        <f t="shared" si="702"/>
        <v>0</v>
      </c>
      <c r="AF774" s="100">
        <v>0</v>
      </c>
      <c r="AG774" s="98">
        <v>0</v>
      </c>
      <c r="AH774" s="99">
        <f t="shared" si="703"/>
        <v>0</v>
      </c>
      <c r="AI774" s="101">
        <v>1</v>
      </c>
      <c r="AJ774" s="106"/>
    </row>
    <row r="775" spans="2:36" s="35" customFormat="1" ht="17.100000000000001" customHeight="1">
      <c r="B775" s="105"/>
      <c r="C775" s="54"/>
      <c r="D775" s="96"/>
      <c r="E775" s="111"/>
      <c r="F775" s="112"/>
      <c r="G775" s="113"/>
      <c r="H775" s="183">
        <v>1</v>
      </c>
      <c r="I775" s="98">
        <v>0</v>
      </c>
      <c r="J775" s="98">
        <v>0</v>
      </c>
      <c r="K775" s="101">
        <f t="shared" si="698"/>
        <v>0</v>
      </c>
      <c r="L775" s="100">
        <v>0</v>
      </c>
      <c r="M775" s="98">
        <v>0</v>
      </c>
      <c r="N775" s="101">
        <f t="shared" si="699"/>
        <v>0</v>
      </c>
      <c r="O775" s="100">
        <v>0</v>
      </c>
      <c r="P775" s="98">
        <v>0</v>
      </c>
      <c r="Q775" s="101">
        <f t="shared" si="700"/>
        <v>0</v>
      </c>
      <c r="R775" s="100">
        <v>0</v>
      </c>
      <c r="S775" s="98">
        <v>0</v>
      </c>
      <c r="T775" s="101">
        <f t="shared" si="701"/>
        <v>0</v>
      </c>
      <c r="U775" s="183">
        <v>1</v>
      </c>
      <c r="V775" s="99">
        <v>1</v>
      </c>
      <c r="W775" s="98">
        <v>0</v>
      </c>
      <c r="X775" s="98">
        <v>0</v>
      </c>
      <c r="Y775" s="101">
        <f t="shared" si="704"/>
        <v>0</v>
      </c>
      <c r="Z775" s="101">
        <v>1</v>
      </c>
      <c r="AA775" s="183">
        <v>0</v>
      </c>
      <c r="AB775" s="99">
        <v>1</v>
      </c>
      <c r="AC775" s="98">
        <v>0</v>
      </c>
      <c r="AD775" s="98">
        <v>0</v>
      </c>
      <c r="AE775" s="101">
        <f t="shared" si="702"/>
        <v>0</v>
      </c>
      <c r="AF775" s="100">
        <v>0</v>
      </c>
      <c r="AG775" s="98">
        <v>0</v>
      </c>
      <c r="AH775" s="99">
        <f t="shared" si="703"/>
        <v>0</v>
      </c>
      <c r="AI775" s="101">
        <v>1</v>
      </c>
      <c r="AJ775" s="106"/>
    </row>
    <row r="776" spans="2:36" s="35" customFormat="1" ht="17.100000000000001" customHeight="1">
      <c r="B776" s="105"/>
      <c r="C776" s="54"/>
      <c r="D776" s="96"/>
      <c r="E776" s="111"/>
      <c r="F776" s="112"/>
      <c r="G776" s="113"/>
      <c r="H776" s="183">
        <v>1</v>
      </c>
      <c r="I776" s="98">
        <v>0</v>
      </c>
      <c r="J776" s="98">
        <v>0</v>
      </c>
      <c r="K776" s="101">
        <f t="shared" si="698"/>
        <v>0</v>
      </c>
      <c r="L776" s="100">
        <v>0</v>
      </c>
      <c r="M776" s="98">
        <v>0</v>
      </c>
      <c r="N776" s="101">
        <f t="shared" si="699"/>
        <v>0</v>
      </c>
      <c r="O776" s="100">
        <v>0</v>
      </c>
      <c r="P776" s="98">
        <v>0</v>
      </c>
      <c r="Q776" s="101">
        <f t="shared" si="700"/>
        <v>0</v>
      </c>
      <c r="R776" s="100">
        <v>0</v>
      </c>
      <c r="S776" s="98">
        <v>0</v>
      </c>
      <c r="T776" s="101">
        <f t="shared" si="701"/>
        <v>0</v>
      </c>
      <c r="U776" s="183">
        <v>1</v>
      </c>
      <c r="V776" s="99">
        <v>1</v>
      </c>
      <c r="W776" s="98">
        <v>0</v>
      </c>
      <c r="X776" s="98">
        <v>0</v>
      </c>
      <c r="Y776" s="101">
        <f t="shared" si="704"/>
        <v>0</v>
      </c>
      <c r="Z776" s="101">
        <v>1</v>
      </c>
      <c r="AA776" s="183">
        <v>0</v>
      </c>
      <c r="AB776" s="99">
        <v>1</v>
      </c>
      <c r="AC776" s="98">
        <v>0</v>
      </c>
      <c r="AD776" s="98">
        <v>0</v>
      </c>
      <c r="AE776" s="101">
        <f t="shared" si="702"/>
        <v>0</v>
      </c>
      <c r="AF776" s="100">
        <v>0</v>
      </c>
      <c r="AG776" s="98">
        <v>0</v>
      </c>
      <c r="AH776" s="99">
        <f t="shared" si="703"/>
        <v>0</v>
      </c>
      <c r="AI776" s="101">
        <v>1</v>
      </c>
      <c r="AJ776" s="106"/>
    </row>
    <row r="777" spans="2:36" s="35" customFormat="1" ht="17.100000000000001" customHeight="1">
      <c r="B777" s="105"/>
      <c r="C777" s="54"/>
      <c r="D777" s="96"/>
      <c r="E777" s="111"/>
      <c r="F777" s="112"/>
      <c r="G777" s="113"/>
      <c r="H777" s="183">
        <v>1</v>
      </c>
      <c r="I777" s="98">
        <v>0</v>
      </c>
      <c r="J777" s="98">
        <v>0</v>
      </c>
      <c r="K777" s="101">
        <f t="shared" si="698"/>
        <v>0</v>
      </c>
      <c r="L777" s="100">
        <v>0</v>
      </c>
      <c r="M777" s="98">
        <v>0</v>
      </c>
      <c r="N777" s="101">
        <f t="shared" si="699"/>
        <v>0</v>
      </c>
      <c r="O777" s="100">
        <v>0</v>
      </c>
      <c r="P777" s="98">
        <v>0</v>
      </c>
      <c r="Q777" s="101">
        <f t="shared" si="700"/>
        <v>0</v>
      </c>
      <c r="R777" s="100">
        <v>0</v>
      </c>
      <c r="S777" s="98">
        <v>0</v>
      </c>
      <c r="T777" s="101">
        <f t="shared" si="701"/>
        <v>0</v>
      </c>
      <c r="U777" s="183">
        <v>1</v>
      </c>
      <c r="V777" s="99">
        <v>1</v>
      </c>
      <c r="W777" s="98">
        <v>0</v>
      </c>
      <c r="X777" s="98">
        <v>0</v>
      </c>
      <c r="Y777" s="101">
        <f t="shared" si="704"/>
        <v>0</v>
      </c>
      <c r="Z777" s="101">
        <v>1</v>
      </c>
      <c r="AA777" s="183">
        <v>0</v>
      </c>
      <c r="AB777" s="99">
        <v>1</v>
      </c>
      <c r="AC777" s="98">
        <v>0</v>
      </c>
      <c r="AD777" s="98">
        <v>0</v>
      </c>
      <c r="AE777" s="101">
        <f t="shared" si="702"/>
        <v>0</v>
      </c>
      <c r="AF777" s="100">
        <v>0</v>
      </c>
      <c r="AG777" s="98">
        <v>0</v>
      </c>
      <c r="AH777" s="99">
        <f t="shared" si="703"/>
        <v>0</v>
      </c>
      <c r="AI777" s="101">
        <v>1</v>
      </c>
      <c r="AJ777" s="106"/>
    </row>
    <row r="778" spans="2:36" s="35" customFormat="1" ht="17.100000000000001" customHeight="1">
      <c r="B778" s="105"/>
      <c r="C778" s="54"/>
      <c r="D778" s="96"/>
      <c r="E778" s="111"/>
      <c r="F778" s="112"/>
      <c r="G778" s="113"/>
      <c r="H778" s="183">
        <v>1</v>
      </c>
      <c r="I778" s="98">
        <v>0</v>
      </c>
      <c r="J778" s="98">
        <v>0</v>
      </c>
      <c r="K778" s="101">
        <f t="shared" si="698"/>
        <v>0</v>
      </c>
      <c r="L778" s="100">
        <v>0</v>
      </c>
      <c r="M778" s="98">
        <v>0</v>
      </c>
      <c r="N778" s="101">
        <f t="shared" si="699"/>
        <v>0</v>
      </c>
      <c r="O778" s="100">
        <v>0</v>
      </c>
      <c r="P778" s="98">
        <v>0</v>
      </c>
      <c r="Q778" s="101">
        <f t="shared" si="700"/>
        <v>0</v>
      </c>
      <c r="R778" s="100">
        <v>0</v>
      </c>
      <c r="S778" s="98">
        <v>0</v>
      </c>
      <c r="T778" s="101">
        <f t="shared" si="701"/>
        <v>0</v>
      </c>
      <c r="U778" s="183">
        <v>1</v>
      </c>
      <c r="V778" s="99">
        <v>1</v>
      </c>
      <c r="W778" s="98">
        <v>0</v>
      </c>
      <c r="X778" s="98">
        <v>0</v>
      </c>
      <c r="Y778" s="101">
        <f t="shared" si="704"/>
        <v>0</v>
      </c>
      <c r="Z778" s="101">
        <v>1</v>
      </c>
      <c r="AA778" s="183">
        <v>0</v>
      </c>
      <c r="AB778" s="99">
        <v>1</v>
      </c>
      <c r="AC778" s="98">
        <v>0</v>
      </c>
      <c r="AD778" s="98">
        <v>0</v>
      </c>
      <c r="AE778" s="101">
        <f t="shared" si="702"/>
        <v>0</v>
      </c>
      <c r="AF778" s="100">
        <v>0</v>
      </c>
      <c r="AG778" s="98">
        <v>0</v>
      </c>
      <c r="AH778" s="99">
        <f t="shared" si="703"/>
        <v>0</v>
      </c>
      <c r="AI778" s="101">
        <v>1</v>
      </c>
      <c r="AJ778" s="106"/>
    </row>
    <row r="779" spans="2:36" s="35" customFormat="1" ht="17.100000000000001" customHeight="1">
      <c r="B779" s="105"/>
      <c r="C779" s="54"/>
      <c r="D779" s="96"/>
      <c r="E779" s="111"/>
      <c r="F779" s="112"/>
      <c r="G779" s="113"/>
      <c r="H779" s="183">
        <v>1</v>
      </c>
      <c r="I779" s="98">
        <v>0</v>
      </c>
      <c r="J779" s="98">
        <v>0</v>
      </c>
      <c r="K779" s="101">
        <f t="shared" si="698"/>
        <v>0</v>
      </c>
      <c r="L779" s="100">
        <v>0</v>
      </c>
      <c r="M779" s="98">
        <v>0</v>
      </c>
      <c r="N779" s="101">
        <f t="shared" si="699"/>
        <v>0</v>
      </c>
      <c r="O779" s="100">
        <v>0</v>
      </c>
      <c r="P779" s="98">
        <v>0</v>
      </c>
      <c r="Q779" s="101">
        <f t="shared" si="700"/>
        <v>0</v>
      </c>
      <c r="R779" s="100">
        <v>0</v>
      </c>
      <c r="S779" s="98">
        <v>0</v>
      </c>
      <c r="T779" s="101">
        <f t="shared" si="701"/>
        <v>0</v>
      </c>
      <c r="U779" s="183">
        <v>1</v>
      </c>
      <c r="V779" s="99">
        <v>1</v>
      </c>
      <c r="W779" s="98">
        <v>0</v>
      </c>
      <c r="X779" s="98">
        <v>0</v>
      </c>
      <c r="Y779" s="101">
        <f t="shared" si="704"/>
        <v>0</v>
      </c>
      <c r="Z779" s="101">
        <v>1</v>
      </c>
      <c r="AA779" s="183">
        <v>0</v>
      </c>
      <c r="AB779" s="99">
        <v>1</v>
      </c>
      <c r="AC779" s="98">
        <v>0</v>
      </c>
      <c r="AD779" s="98">
        <v>0</v>
      </c>
      <c r="AE779" s="101">
        <f t="shared" si="702"/>
        <v>0</v>
      </c>
      <c r="AF779" s="100">
        <v>0</v>
      </c>
      <c r="AG779" s="98">
        <v>0</v>
      </c>
      <c r="AH779" s="99">
        <f t="shared" si="703"/>
        <v>0</v>
      </c>
      <c r="AI779" s="101">
        <v>1</v>
      </c>
      <c r="AJ779" s="106"/>
    </row>
    <row r="780" spans="2:36" s="126" customFormat="1" ht="17.100000000000001" customHeight="1">
      <c r="B780" s="118"/>
      <c r="C780" s="119"/>
      <c r="D780" s="120"/>
      <c r="E780" s="121"/>
      <c r="F780" s="122"/>
      <c r="G780" s="123"/>
      <c r="H780" s="183">
        <v>1</v>
      </c>
      <c r="I780" s="363" t="s">
        <v>201</v>
      </c>
      <c r="J780" s="363"/>
      <c r="K780" s="124">
        <f>SUM(K773:K779)</f>
        <v>0</v>
      </c>
      <c r="L780" s="341" t="s">
        <v>201</v>
      </c>
      <c r="M780" s="342"/>
      <c r="N780" s="124">
        <f>SUM(N773:N779)</f>
        <v>0</v>
      </c>
      <c r="O780" s="341" t="s">
        <v>201</v>
      </c>
      <c r="P780" s="342"/>
      <c r="Q780" s="124">
        <f>SUM(Q773:Q779)</f>
        <v>0</v>
      </c>
      <c r="R780" s="341" t="s">
        <v>201</v>
      </c>
      <c r="S780" s="342"/>
      <c r="T780" s="124">
        <f>SUM(T773:T779)</f>
        <v>0</v>
      </c>
      <c r="U780" s="183">
        <v>1</v>
      </c>
      <c r="V780" s="99">
        <v>1</v>
      </c>
      <c r="W780" s="363" t="s">
        <v>201</v>
      </c>
      <c r="X780" s="363"/>
      <c r="Y780" s="124">
        <f>SUM(Y773:Y779)</f>
        <v>0</v>
      </c>
      <c r="Z780" s="101">
        <v>1</v>
      </c>
      <c r="AA780" s="183">
        <v>0</v>
      </c>
      <c r="AB780" s="99">
        <v>1</v>
      </c>
      <c r="AC780" s="363" t="s">
        <v>201</v>
      </c>
      <c r="AD780" s="363"/>
      <c r="AE780" s="124">
        <f>SUM(AE773:AE779)</f>
        <v>0</v>
      </c>
      <c r="AF780" s="364" t="s">
        <v>201</v>
      </c>
      <c r="AG780" s="363"/>
      <c r="AH780" s="143">
        <f>SUM(AH773:AH779)</f>
        <v>0</v>
      </c>
      <c r="AI780" s="101">
        <v>1</v>
      </c>
      <c r="AJ780" s="125"/>
    </row>
    <row r="781" spans="2:36" s="35" customFormat="1" ht="16.95" customHeight="1">
      <c r="B781" s="105"/>
      <c r="C781" s="54">
        <f>'3. Rekap Back Up Non Aspal '!C118</f>
        <v>13800</v>
      </c>
      <c r="D781" s="96">
        <f>'3. Rekap Back Up Non Aspal '!D118</f>
        <v>13900</v>
      </c>
      <c r="E781" s="111">
        <f>'3. Rekap Back Up Non Aspal '!E118</f>
        <v>3</v>
      </c>
      <c r="F781" s="112">
        <f>(100/((D781-C781)*E781))*((K788*0.05)+(N788*0.05)+(Q788*0.05)+(T788)+(Y788)+(AE788*1.5)+(AH788*1))</f>
        <v>66.666666666666657</v>
      </c>
      <c r="G781" s="113" t="str">
        <f>IF(F781&lt;=25,"RB",IF(F781&lt;=75,"RB",IF(F781&lt;=100,"RB","RB")))</f>
        <v>RB</v>
      </c>
      <c r="H781" s="183">
        <v>1</v>
      </c>
      <c r="I781" s="98">
        <v>0</v>
      </c>
      <c r="J781" s="98">
        <v>0</v>
      </c>
      <c r="K781" s="101">
        <f t="shared" ref="K781:K787" si="705">I781*J781</f>
        <v>0</v>
      </c>
      <c r="L781" s="98">
        <v>0</v>
      </c>
      <c r="M781" s="98">
        <v>0</v>
      </c>
      <c r="N781" s="101">
        <f t="shared" ref="N781:N787" si="706">L781*M781</f>
        <v>0</v>
      </c>
      <c r="O781" s="98">
        <v>0</v>
      </c>
      <c r="P781" s="98">
        <v>0</v>
      </c>
      <c r="Q781" s="101">
        <f t="shared" ref="Q781:Q787" si="707">O781*P781</f>
        <v>0</v>
      </c>
      <c r="R781" s="98">
        <v>0</v>
      </c>
      <c r="S781" s="98">
        <v>0</v>
      </c>
      <c r="T781" s="101">
        <f t="shared" ref="T781:T787" si="708">R781*S781</f>
        <v>0</v>
      </c>
      <c r="U781" s="183">
        <v>3</v>
      </c>
      <c r="V781" s="99">
        <v>2</v>
      </c>
      <c r="W781" s="98">
        <v>100</v>
      </c>
      <c r="X781" s="98">
        <v>2</v>
      </c>
      <c r="Y781" s="101">
        <f>W781*X781</f>
        <v>200</v>
      </c>
      <c r="Z781" s="101">
        <v>1</v>
      </c>
      <c r="AA781" s="183">
        <v>0</v>
      </c>
      <c r="AB781" s="99">
        <v>1</v>
      </c>
      <c r="AC781" s="98">
        <v>0</v>
      </c>
      <c r="AD781" s="98">
        <v>0</v>
      </c>
      <c r="AE781" s="101">
        <f t="shared" ref="AE781:AE787" si="709">AC781*AD781</f>
        <v>0</v>
      </c>
      <c r="AF781" s="98">
        <v>0</v>
      </c>
      <c r="AG781" s="98">
        <v>3</v>
      </c>
      <c r="AH781" s="99">
        <f t="shared" ref="AH781:AH787" si="710">AF781*AG781</f>
        <v>0</v>
      </c>
      <c r="AI781" s="101">
        <v>1</v>
      </c>
      <c r="AJ781" s="106"/>
    </row>
    <row r="782" spans="2:36" s="35" customFormat="1" ht="17.100000000000001" customHeight="1">
      <c r="B782" s="105"/>
      <c r="C782" s="54"/>
      <c r="D782" s="96"/>
      <c r="E782" s="111"/>
      <c r="F782" s="112"/>
      <c r="G782" s="113"/>
      <c r="H782" s="183">
        <v>1</v>
      </c>
      <c r="I782" s="98">
        <v>0</v>
      </c>
      <c r="J782" s="98">
        <v>0</v>
      </c>
      <c r="K782" s="101">
        <f t="shared" si="705"/>
        <v>0</v>
      </c>
      <c r="L782" s="100">
        <v>0</v>
      </c>
      <c r="M782" s="98">
        <v>0</v>
      </c>
      <c r="N782" s="101">
        <f t="shared" si="706"/>
        <v>0</v>
      </c>
      <c r="O782" s="100">
        <v>0</v>
      </c>
      <c r="P782" s="98">
        <v>0</v>
      </c>
      <c r="Q782" s="101">
        <f t="shared" si="707"/>
        <v>0</v>
      </c>
      <c r="R782" s="100">
        <v>0</v>
      </c>
      <c r="S782" s="98">
        <v>0</v>
      </c>
      <c r="T782" s="101">
        <f t="shared" si="708"/>
        <v>0</v>
      </c>
      <c r="U782" s="183">
        <v>1</v>
      </c>
      <c r="V782" s="99">
        <v>1</v>
      </c>
      <c r="W782" s="98">
        <v>0</v>
      </c>
      <c r="X782" s="98">
        <v>0</v>
      </c>
      <c r="Y782" s="101">
        <f t="shared" ref="Y782:Y787" si="711">W782*X782</f>
        <v>0</v>
      </c>
      <c r="Z782" s="101">
        <v>1</v>
      </c>
      <c r="AA782" s="183">
        <v>0</v>
      </c>
      <c r="AB782" s="99">
        <v>1</v>
      </c>
      <c r="AC782" s="98">
        <v>0</v>
      </c>
      <c r="AD782" s="98">
        <v>0</v>
      </c>
      <c r="AE782" s="101">
        <f t="shared" si="709"/>
        <v>0</v>
      </c>
      <c r="AF782" s="100">
        <v>0</v>
      </c>
      <c r="AG782" s="98">
        <v>0</v>
      </c>
      <c r="AH782" s="99">
        <f t="shared" si="710"/>
        <v>0</v>
      </c>
      <c r="AI782" s="101">
        <v>1</v>
      </c>
      <c r="AJ782" s="106"/>
    </row>
    <row r="783" spans="2:36" s="35" customFormat="1" ht="17.100000000000001" customHeight="1">
      <c r="B783" s="105"/>
      <c r="C783" s="54"/>
      <c r="D783" s="96"/>
      <c r="E783" s="111"/>
      <c r="F783" s="112"/>
      <c r="G783" s="113"/>
      <c r="H783" s="183">
        <v>1</v>
      </c>
      <c r="I783" s="98">
        <v>0</v>
      </c>
      <c r="J783" s="98">
        <v>0</v>
      </c>
      <c r="K783" s="101">
        <f t="shared" si="705"/>
        <v>0</v>
      </c>
      <c r="L783" s="100">
        <v>0</v>
      </c>
      <c r="M783" s="98">
        <v>0</v>
      </c>
      <c r="N783" s="101">
        <f t="shared" si="706"/>
        <v>0</v>
      </c>
      <c r="O783" s="100">
        <v>0</v>
      </c>
      <c r="P783" s="98">
        <v>0</v>
      </c>
      <c r="Q783" s="101">
        <f t="shared" si="707"/>
        <v>0</v>
      </c>
      <c r="R783" s="100">
        <v>0</v>
      </c>
      <c r="S783" s="98">
        <v>0</v>
      </c>
      <c r="T783" s="101">
        <f t="shared" si="708"/>
        <v>0</v>
      </c>
      <c r="U783" s="183">
        <v>1</v>
      </c>
      <c r="V783" s="99">
        <v>1</v>
      </c>
      <c r="W783" s="98">
        <v>0</v>
      </c>
      <c r="X783" s="98">
        <v>0</v>
      </c>
      <c r="Y783" s="101">
        <f t="shared" si="711"/>
        <v>0</v>
      </c>
      <c r="Z783" s="101">
        <v>1</v>
      </c>
      <c r="AA783" s="183">
        <v>0</v>
      </c>
      <c r="AB783" s="99">
        <v>1</v>
      </c>
      <c r="AC783" s="98">
        <v>0</v>
      </c>
      <c r="AD783" s="98">
        <v>0</v>
      </c>
      <c r="AE783" s="101">
        <f t="shared" si="709"/>
        <v>0</v>
      </c>
      <c r="AF783" s="100">
        <v>0</v>
      </c>
      <c r="AG783" s="98">
        <v>0</v>
      </c>
      <c r="AH783" s="99">
        <f t="shared" si="710"/>
        <v>0</v>
      </c>
      <c r="AI783" s="101">
        <v>1</v>
      </c>
      <c r="AJ783" s="106"/>
    </row>
    <row r="784" spans="2:36" s="35" customFormat="1" ht="17.100000000000001" customHeight="1">
      <c r="B784" s="105"/>
      <c r="C784" s="54"/>
      <c r="D784" s="96"/>
      <c r="E784" s="111"/>
      <c r="F784" s="112"/>
      <c r="G784" s="113"/>
      <c r="H784" s="183">
        <v>1</v>
      </c>
      <c r="I784" s="98">
        <v>0</v>
      </c>
      <c r="J784" s="98">
        <v>0</v>
      </c>
      <c r="K784" s="101">
        <f t="shared" si="705"/>
        <v>0</v>
      </c>
      <c r="L784" s="100">
        <v>0</v>
      </c>
      <c r="M784" s="98">
        <v>0</v>
      </c>
      <c r="N784" s="101">
        <f t="shared" si="706"/>
        <v>0</v>
      </c>
      <c r="O784" s="100">
        <v>0</v>
      </c>
      <c r="P784" s="98">
        <v>0</v>
      </c>
      <c r="Q784" s="101">
        <f t="shared" si="707"/>
        <v>0</v>
      </c>
      <c r="R784" s="100">
        <v>0</v>
      </c>
      <c r="S784" s="98">
        <v>0</v>
      </c>
      <c r="T784" s="101">
        <f t="shared" si="708"/>
        <v>0</v>
      </c>
      <c r="U784" s="183">
        <v>1</v>
      </c>
      <c r="V784" s="99">
        <v>1</v>
      </c>
      <c r="W784" s="98">
        <v>0</v>
      </c>
      <c r="X784" s="98">
        <v>0</v>
      </c>
      <c r="Y784" s="101">
        <f t="shared" si="711"/>
        <v>0</v>
      </c>
      <c r="Z784" s="101">
        <v>1</v>
      </c>
      <c r="AA784" s="183">
        <v>0</v>
      </c>
      <c r="AB784" s="99">
        <v>1</v>
      </c>
      <c r="AC784" s="98">
        <v>0</v>
      </c>
      <c r="AD784" s="98">
        <v>0</v>
      </c>
      <c r="AE784" s="101">
        <f t="shared" si="709"/>
        <v>0</v>
      </c>
      <c r="AF784" s="100">
        <v>0</v>
      </c>
      <c r="AG784" s="98">
        <v>0</v>
      </c>
      <c r="AH784" s="99">
        <f t="shared" si="710"/>
        <v>0</v>
      </c>
      <c r="AI784" s="101">
        <v>1</v>
      </c>
      <c r="AJ784" s="106"/>
    </row>
    <row r="785" spans="2:36" s="35" customFormat="1" ht="17.100000000000001" customHeight="1">
      <c r="B785" s="105"/>
      <c r="C785" s="54"/>
      <c r="D785" s="96"/>
      <c r="E785" s="111"/>
      <c r="F785" s="112"/>
      <c r="G785" s="113"/>
      <c r="H785" s="183">
        <v>1</v>
      </c>
      <c r="I785" s="98">
        <v>0</v>
      </c>
      <c r="J785" s="98">
        <v>0</v>
      </c>
      <c r="K785" s="101">
        <f t="shared" si="705"/>
        <v>0</v>
      </c>
      <c r="L785" s="100">
        <v>0</v>
      </c>
      <c r="M785" s="98">
        <v>0</v>
      </c>
      <c r="N785" s="101">
        <f t="shared" si="706"/>
        <v>0</v>
      </c>
      <c r="O785" s="100">
        <v>0</v>
      </c>
      <c r="P785" s="98">
        <v>0</v>
      </c>
      <c r="Q785" s="101">
        <f t="shared" si="707"/>
        <v>0</v>
      </c>
      <c r="R785" s="100">
        <v>0</v>
      </c>
      <c r="S785" s="98">
        <v>0</v>
      </c>
      <c r="T785" s="101">
        <f t="shared" si="708"/>
        <v>0</v>
      </c>
      <c r="U785" s="183">
        <v>1</v>
      </c>
      <c r="V785" s="99">
        <v>1</v>
      </c>
      <c r="W785" s="98">
        <v>0</v>
      </c>
      <c r="X785" s="98">
        <v>0</v>
      </c>
      <c r="Y785" s="101">
        <f t="shared" si="711"/>
        <v>0</v>
      </c>
      <c r="Z785" s="101">
        <v>1</v>
      </c>
      <c r="AA785" s="183">
        <v>0</v>
      </c>
      <c r="AB785" s="99">
        <v>1</v>
      </c>
      <c r="AC785" s="98">
        <v>0</v>
      </c>
      <c r="AD785" s="98">
        <v>0</v>
      </c>
      <c r="AE785" s="101">
        <f t="shared" si="709"/>
        <v>0</v>
      </c>
      <c r="AF785" s="100">
        <v>0</v>
      </c>
      <c r="AG785" s="98">
        <v>0</v>
      </c>
      <c r="AH785" s="99">
        <f t="shared" si="710"/>
        <v>0</v>
      </c>
      <c r="AI785" s="101">
        <v>1</v>
      </c>
      <c r="AJ785" s="106"/>
    </row>
    <row r="786" spans="2:36" s="35" customFormat="1" ht="17.100000000000001" customHeight="1">
      <c r="B786" s="105"/>
      <c r="C786" s="54"/>
      <c r="D786" s="96"/>
      <c r="E786" s="111"/>
      <c r="F786" s="112"/>
      <c r="G786" s="113"/>
      <c r="H786" s="183">
        <v>1</v>
      </c>
      <c r="I786" s="98">
        <v>0</v>
      </c>
      <c r="J786" s="98">
        <v>0</v>
      </c>
      <c r="K786" s="101">
        <f t="shared" si="705"/>
        <v>0</v>
      </c>
      <c r="L786" s="100">
        <v>0</v>
      </c>
      <c r="M786" s="98">
        <v>0</v>
      </c>
      <c r="N786" s="101">
        <f t="shared" si="706"/>
        <v>0</v>
      </c>
      <c r="O786" s="100">
        <v>0</v>
      </c>
      <c r="P786" s="98">
        <v>0</v>
      </c>
      <c r="Q786" s="101">
        <f t="shared" si="707"/>
        <v>0</v>
      </c>
      <c r="R786" s="100">
        <v>0</v>
      </c>
      <c r="S786" s="98">
        <v>0</v>
      </c>
      <c r="T786" s="101">
        <f t="shared" si="708"/>
        <v>0</v>
      </c>
      <c r="U786" s="183">
        <v>1</v>
      </c>
      <c r="V786" s="99">
        <v>1</v>
      </c>
      <c r="W786" s="98">
        <v>0</v>
      </c>
      <c r="X786" s="98">
        <v>0</v>
      </c>
      <c r="Y786" s="101">
        <f t="shared" si="711"/>
        <v>0</v>
      </c>
      <c r="Z786" s="101">
        <v>1</v>
      </c>
      <c r="AA786" s="183">
        <v>0</v>
      </c>
      <c r="AB786" s="99">
        <v>1</v>
      </c>
      <c r="AC786" s="98">
        <v>0</v>
      </c>
      <c r="AD786" s="98">
        <v>0</v>
      </c>
      <c r="AE786" s="101">
        <f t="shared" si="709"/>
        <v>0</v>
      </c>
      <c r="AF786" s="100">
        <v>0</v>
      </c>
      <c r="AG786" s="98">
        <v>0</v>
      </c>
      <c r="AH786" s="99">
        <f t="shared" si="710"/>
        <v>0</v>
      </c>
      <c r="AI786" s="101">
        <v>1</v>
      </c>
      <c r="AJ786" s="106"/>
    </row>
    <row r="787" spans="2:36" s="35" customFormat="1" ht="17.100000000000001" customHeight="1">
      <c r="B787" s="105"/>
      <c r="C787" s="54"/>
      <c r="D787" s="96"/>
      <c r="E787" s="111"/>
      <c r="F787" s="112"/>
      <c r="G787" s="113"/>
      <c r="H787" s="183">
        <v>1</v>
      </c>
      <c r="I787" s="98">
        <v>0</v>
      </c>
      <c r="J787" s="98">
        <v>0</v>
      </c>
      <c r="K787" s="101">
        <f t="shared" si="705"/>
        <v>0</v>
      </c>
      <c r="L787" s="100">
        <v>0</v>
      </c>
      <c r="M787" s="98">
        <v>0</v>
      </c>
      <c r="N787" s="101">
        <f t="shared" si="706"/>
        <v>0</v>
      </c>
      <c r="O787" s="100">
        <v>0</v>
      </c>
      <c r="P787" s="98">
        <v>0</v>
      </c>
      <c r="Q787" s="101">
        <f t="shared" si="707"/>
        <v>0</v>
      </c>
      <c r="R787" s="100">
        <v>0</v>
      </c>
      <c r="S787" s="98">
        <v>0</v>
      </c>
      <c r="T787" s="101">
        <f t="shared" si="708"/>
        <v>0</v>
      </c>
      <c r="U787" s="183">
        <v>1</v>
      </c>
      <c r="V787" s="99">
        <v>1</v>
      </c>
      <c r="W787" s="98">
        <v>0</v>
      </c>
      <c r="X787" s="98">
        <v>0</v>
      </c>
      <c r="Y787" s="101">
        <f t="shared" si="711"/>
        <v>0</v>
      </c>
      <c r="Z787" s="101">
        <v>1</v>
      </c>
      <c r="AA787" s="183">
        <v>0</v>
      </c>
      <c r="AB787" s="99">
        <v>1</v>
      </c>
      <c r="AC787" s="98">
        <v>0</v>
      </c>
      <c r="AD787" s="98">
        <v>0</v>
      </c>
      <c r="AE787" s="101">
        <f t="shared" si="709"/>
        <v>0</v>
      </c>
      <c r="AF787" s="100">
        <v>0</v>
      </c>
      <c r="AG787" s="98">
        <v>0</v>
      </c>
      <c r="AH787" s="99">
        <f t="shared" si="710"/>
        <v>0</v>
      </c>
      <c r="AI787" s="101">
        <v>1</v>
      </c>
      <c r="AJ787" s="106"/>
    </row>
    <row r="788" spans="2:36" s="126" customFormat="1" ht="17.100000000000001" customHeight="1">
      <c r="B788" s="118"/>
      <c r="C788" s="119"/>
      <c r="D788" s="120"/>
      <c r="E788" s="121"/>
      <c r="F788" s="122"/>
      <c r="G788" s="123"/>
      <c r="H788" s="183">
        <v>1</v>
      </c>
      <c r="I788" s="363" t="s">
        <v>201</v>
      </c>
      <c r="J788" s="363"/>
      <c r="K788" s="124">
        <f>SUM(K781:K787)</f>
        <v>0</v>
      </c>
      <c r="L788" s="341" t="s">
        <v>201</v>
      </c>
      <c r="M788" s="342"/>
      <c r="N788" s="124">
        <f>SUM(N781:N787)</f>
        <v>0</v>
      </c>
      <c r="O788" s="341" t="s">
        <v>201</v>
      </c>
      <c r="P788" s="342"/>
      <c r="Q788" s="124">
        <f>SUM(Q781:Q787)</f>
        <v>0</v>
      </c>
      <c r="R788" s="341" t="s">
        <v>201</v>
      </c>
      <c r="S788" s="342"/>
      <c r="T788" s="124">
        <f>SUM(T781:T787)</f>
        <v>0</v>
      </c>
      <c r="U788" s="183">
        <v>1</v>
      </c>
      <c r="V788" s="99">
        <v>1</v>
      </c>
      <c r="W788" s="363" t="s">
        <v>201</v>
      </c>
      <c r="X788" s="363"/>
      <c r="Y788" s="124">
        <f>SUM(Y781:Y787)</f>
        <v>200</v>
      </c>
      <c r="Z788" s="101">
        <v>1</v>
      </c>
      <c r="AA788" s="183">
        <v>0</v>
      </c>
      <c r="AB788" s="99">
        <v>1</v>
      </c>
      <c r="AC788" s="363" t="s">
        <v>201</v>
      </c>
      <c r="AD788" s="363"/>
      <c r="AE788" s="124">
        <f>SUM(AE781:AE787)</f>
        <v>0</v>
      </c>
      <c r="AF788" s="364" t="s">
        <v>201</v>
      </c>
      <c r="AG788" s="363"/>
      <c r="AH788" s="143">
        <f>SUM(AH781:AH787)</f>
        <v>0</v>
      </c>
      <c r="AI788" s="101">
        <v>1</v>
      </c>
      <c r="AJ788" s="125"/>
    </row>
    <row r="789" spans="2:36" s="35" customFormat="1" ht="16.95" customHeight="1">
      <c r="B789" s="105"/>
      <c r="C789" s="54">
        <f>'3. Rekap Back Up Non Aspal '!C119</f>
        <v>13900</v>
      </c>
      <c r="D789" s="96">
        <f>'3. Rekap Back Up Non Aspal '!D119</f>
        <v>14000</v>
      </c>
      <c r="E789" s="111">
        <f>'3. Rekap Back Up Non Aspal '!E119</f>
        <v>3</v>
      </c>
      <c r="F789" s="112">
        <f>(100/((D789-C789)*E789))*((K796*0.05)+(N796*0.05)+(Q796*0.05)+(T796)+(Y796)+(AE796*1.5)+(AH796*1))</f>
        <v>66.666666666666657</v>
      </c>
      <c r="G789" s="113" t="str">
        <f>IF(F789&lt;=25,"RB",IF(F789&lt;=75,"RB",IF(F789&lt;=100,"RB","RB")))</f>
        <v>RB</v>
      </c>
      <c r="H789" s="183">
        <v>1</v>
      </c>
      <c r="I789" s="98">
        <v>0</v>
      </c>
      <c r="J789" s="98">
        <v>0</v>
      </c>
      <c r="K789" s="101">
        <f t="shared" ref="K789:K795" si="712">I789*J789</f>
        <v>0</v>
      </c>
      <c r="L789" s="98">
        <v>0</v>
      </c>
      <c r="M789" s="98">
        <v>0</v>
      </c>
      <c r="N789" s="101">
        <f t="shared" ref="N789:N795" si="713">L789*M789</f>
        <v>0</v>
      </c>
      <c r="O789" s="98">
        <v>0</v>
      </c>
      <c r="P789" s="98">
        <v>0</v>
      </c>
      <c r="Q789" s="101">
        <f t="shared" ref="Q789:Q795" si="714">O789*P789</f>
        <v>0</v>
      </c>
      <c r="R789" s="98">
        <v>0</v>
      </c>
      <c r="S789" s="98">
        <v>0</v>
      </c>
      <c r="T789" s="101">
        <f t="shared" ref="T789:T795" si="715">R789*S789</f>
        <v>0</v>
      </c>
      <c r="U789" s="183">
        <v>2</v>
      </c>
      <c r="V789" s="99">
        <v>2</v>
      </c>
      <c r="W789" s="98">
        <v>100</v>
      </c>
      <c r="X789" s="98">
        <v>2</v>
      </c>
      <c r="Y789" s="101">
        <f>W789*X789</f>
        <v>200</v>
      </c>
      <c r="Z789" s="101">
        <v>1</v>
      </c>
      <c r="AA789" s="183">
        <v>0</v>
      </c>
      <c r="AB789" s="99">
        <v>1</v>
      </c>
      <c r="AC789" s="98">
        <v>0</v>
      </c>
      <c r="AD789" s="98">
        <v>0</v>
      </c>
      <c r="AE789" s="101">
        <f t="shared" ref="AE789:AE795" si="716">AC789*AD789</f>
        <v>0</v>
      </c>
      <c r="AF789" s="98">
        <v>0</v>
      </c>
      <c r="AG789" s="98">
        <v>3</v>
      </c>
      <c r="AH789" s="99">
        <f t="shared" ref="AH789:AH795" si="717">AF789*AG789</f>
        <v>0</v>
      </c>
      <c r="AI789" s="101">
        <v>1</v>
      </c>
      <c r="AJ789" s="106"/>
    </row>
    <row r="790" spans="2:36" s="35" customFormat="1" ht="17.100000000000001" customHeight="1">
      <c r="B790" s="105"/>
      <c r="C790" s="54"/>
      <c r="D790" s="96"/>
      <c r="E790" s="111"/>
      <c r="F790" s="112"/>
      <c r="G790" s="113"/>
      <c r="H790" s="183">
        <v>1</v>
      </c>
      <c r="I790" s="98">
        <v>0</v>
      </c>
      <c r="J790" s="98">
        <v>0</v>
      </c>
      <c r="K790" s="101">
        <f t="shared" si="712"/>
        <v>0</v>
      </c>
      <c r="L790" s="100">
        <v>0</v>
      </c>
      <c r="M790" s="98">
        <v>0</v>
      </c>
      <c r="N790" s="101">
        <f t="shared" si="713"/>
        <v>0</v>
      </c>
      <c r="O790" s="100">
        <v>0</v>
      </c>
      <c r="P790" s="98">
        <v>0</v>
      </c>
      <c r="Q790" s="101">
        <f t="shared" si="714"/>
        <v>0</v>
      </c>
      <c r="R790" s="100">
        <v>0</v>
      </c>
      <c r="S790" s="98">
        <v>0</v>
      </c>
      <c r="T790" s="101">
        <f t="shared" si="715"/>
        <v>0</v>
      </c>
      <c r="U790" s="183">
        <v>1</v>
      </c>
      <c r="V790" s="99">
        <v>1</v>
      </c>
      <c r="W790" s="98">
        <v>0</v>
      </c>
      <c r="X790" s="98">
        <v>0</v>
      </c>
      <c r="Y790" s="101">
        <f t="shared" ref="Y790:Y795" si="718">W790*X790</f>
        <v>0</v>
      </c>
      <c r="Z790" s="101">
        <v>1</v>
      </c>
      <c r="AA790" s="183">
        <v>0</v>
      </c>
      <c r="AB790" s="99">
        <v>1</v>
      </c>
      <c r="AC790" s="98">
        <v>0</v>
      </c>
      <c r="AD790" s="98">
        <v>0</v>
      </c>
      <c r="AE790" s="101">
        <f t="shared" si="716"/>
        <v>0</v>
      </c>
      <c r="AF790" s="100">
        <v>0</v>
      </c>
      <c r="AG790" s="98">
        <v>0</v>
      </c>
      <c r="AH790" s="99">
        <f t="shared" si="717"/>
        <v>0</v>
      </c>
      <c r="AI790" s="101">
        <v>1</v>
      </c>
      <c r="AJ790" s="106"/>
    </row>
    <row r="791" spans="2:36" s="35" customFormat="1" ht="17.100000000000001" customHeight="1">
      <c r="B791" s="105"/>
      <c r="C791" s="54"/>
      <c r="D791" s="96"/>
      <c r="E791" s="111"/>
      <c r="F791" s="112"/>
      <c r="G791" s="113"/>
      <c r="H791" s="183">
        <v>1</v>
      </c>
      <c r="I791" s="98">
        <v>0</v>
      </c>
      <c r="J791" s="98">
        <v>0</v>
      </c>
      <c r="K791" s="101">
        <f t="shared" si="712"/>
        <v>0</v>
      </c>
      <c r="L791" s="100">
        <v>0</v>
      </c>
      <c r="M791" s="98">
        <v>0</v>
      </c>
      <c r="N791" s="101">
        <f t="shared" si="713"/>
        <v>0</v>
      </c>
      <c r="O791" s="100">
        <v>0</v>
      </c>
      <c r="P791" s="98">
        <v>0</v>
      </c>
      <c r="Q791" s="101">
        <f t="shared" si="714"/>
        <v>0</v>
      </c>
      <c r="R791" s="100">
        <v>0</v>
      </c>
      <c r="S791" s="98">
        <v>0</v>
      </c>
      <c r="T791" s="101">
        <f t="shared" si="715"/>
        <v>0</v>
      </c>
      <c r="U791" s="183">
        <v>1</v>
      </c>
      <c r="V791" s="99">
        <v>1</v>
      </c>
      <c r="W791" s="98">
        <v>0</v>
      </c>
      <c r="X791" s="98">
        <v>0</v>
      </c>
      <c r="Y791" s="101">
        <f t="shared" si="718"/>
        <v>0</v>
      </c>
      <c r="Z791" s="101">
        <v>1</v>
      </c>
      <c r="AA791" s="183">
        <v>0</v>
      </c>
      <c r="AB791" s="99">
        <v>1</v>
      </c>
      <c r="AC791" s="98">
        <v>0</v>
      </c>
      <c r="AD791" s="98">
        <v>0</v>
      </c>
      <c r="AE791" s="101">
        <f t="shared" si="716"/>
        <v>0</v>
      </c>
      <c r="AF791" s="100">
        <v>0</v>
      </c>
      <c r="AG791" s="98">
        <v>0</v>
      </c>
      <c r="AH791" s="99">
        <f t="shared" si="717"/>
        <v>0</v>
      </c>
      <c r="AI791" s="101">
        <v>1</v>
      </c>
      <c r="AJ791" s="106"/>
    </row>
    <row r="792" spans="2:36" s="35" customFormat="1" ht="17.100000000000001" customHeight="1">
      <c r="B792" s="105"/>
      <c r="C792" s="54"/>
      <c r="D792" s="96"/>
      <c r="E792" s="111"/>
      <c r="F792" s="112"/>
      <c r="G792" s="113"/>
      <c r="H792" s="183">
        <v>1</v>
      </c>
      <c r="I792" s="98">
        <v>0</v>
      </c>
      <c r="J792" s="98">
        <v>0</v>
      </c>
      <c r="K792" s="101">
        <f t="shared" si="712"/>
        <v>0</v>
      </c>
      <c r="L792" s="100">
        <v>0</v>
      </c>
      <c r="M792" s="98">
        <v>0</v>
      </c>
      <c r="N792" s="101">
        <f t="shared" si="713"/>
        <v>0</v>
      </c>
      <c r="O792" s="100">
        <v>0</v>
      </c>
      <c r="P792" s="98">
        <v>0</v>
      </c>
      <c r="Q792" s="101">
        <f t="shared" si="714"/>
        <v>0</v>
      </c>
      <c r="R792" s="100">
        <v>0</v>
      </c>
      <c r="S792" s="98">
        <v>0</v>
      </c>
      <c r="T792" s="101">
        <f t="shared" si="715"/>
        <v>0</v>
      </c>
      <c r="U792" s="183">
        <v>1</v>
      </c>
      <c r="V792" s="99">
        <v>1</v>
      </c>
      <c r="W792" s="98">
        <v>0</v>
      </c>
      <c r="X792" s="98">
        <v>0</v>
      </c>
      <c r="Y792" s="101">
        <f t="shared" si="718"/>
        <v>0</v>
      </c>
      <c r="Z792" s="101">
        <v>1</v>
      </c>
      <c r="AA792" s="183">
        <v>0</v>
      </c>
      <c r="AB792" s="99">
        <v>1</v>
      </c>
      <c r="AC792" s="98">
        <v>0</v>
      </c>
      <c r="AD792" s="98">
        <v>0</v>
      </c>
      <c r="AE792" s="101">
        <f t="shared" si="716"/>
        <v>0</v>
      </c>
      <c r="AF792" s="100">
        <v>0</v>
      </c>
      <c r="AG792" s="98">
        <v>0</v>
      </c>
      <c r="AH792" s="99">
        <f t="shared" si="717"/>
        <v>0</v>
      </c>
      <c r="AI792" s="101">
        <v>1</v>
      </c>
      <c r="AJ792" s="106"/>
    </row>
    <row r="793" spans="2:36" s="35" customFormat="1" ht="17.100000000000001" customHeight="1">
      <c r="B793" s="105"/>
      <c r="C793" s="54"/>
      <c r="D793" s="96"/>
      <c r="E793" s="111"/>
      <c r="F793" s="112"/>
      <c r="G793" s="113"/>
      <c r="H793" s="183">
        <v>1</v>
      </c>
      <c r="I793" s="98">
        <v>0</v>
      </c>
      <c r="J793" s="98">
        <v>0</v>
      </c>
      <c r="K793" s="101">
        <f t="shared" si="712"/>
        <v>0</v>
      </c>
      <c r="L793" s="100">
        <v>0</v>
      </c>
      <c r="M793" s="98">
        <v>0</v>
      </c>
      <c r="N793" s="101">
        <f t="shared" si="713"/>
        <v>0</v>
      </c>
      <c r="O793" s="100">
        <v>0</v>
      </c>
      <c r="P793" s="98">
        <v>0</v>
      </c>
      <c r="Q793" s="101">
        <f t="shared" si="714"/>
        <v>0</v>
      </c>
      <c r="R793" s="100">
        <v>0</v>
      </c>
      <c r="S793" s="98">
        <v>0</v>
      </c>
      <c r="T793" s="101">
        <f t="shared" si="715"/>
        <v>0</v>
      </c>
      <c r="U793" s="183">
        <v>1</v>
      </c>
      <c r="V793" s="99">
        <v>1</v>
      </c>
      <c r="W793" s="98">
        <v>0</v>
      </c>
      <c r="X793" s="98">
        <v>0</v>
      </c>
      <c r="Y793" s="101">
        <f t="shared" si="718"/>
        <v>0</v>
      </c>
      <c r="Z793" s="101">
        <v>1</v>
      </c>
      <c r="AA793" s="183">
        <v>0</v>
      </c>
      <c r="AB793" s="99">
        <v>1</v>
      </c>
      <c r="AC793" s="98">
        <v>0</v>
      </c>
      <c r="AD793" s="98">
        <v>0</v>
      </c>
      <c r="AE793" s="101">
        <f t="shared" si="716"/>
        <v>0</v>
      </c>
      <c r="AF793" s="100">
        <v>0</v>
      </c>
      <c r="AG793" s="98">
        <v>0</v>
      </c>
      <c r="AH793" s="99">
        <f t="shared" si="717"/>
        <v>0</v>
      </c>
      <c r="AI793" s="101">
        <v>1</v>
      </c>
      <c r="AJ793" s="106"/>
    </row>
    <row r="794" spans="2:36" s="35" customFormat="1" ht="17.100000000000001" customHeight="1">
      <c r="B794" s="105"/>
      <c r="C794" s="54"/>
      <c r="D794" s="96"/>
      <c r="E794" s="111"/>
      <c r="F794" s="112"/>
      <c r="G794" s="113"/>
      <c r="H794" s="183">
        <v>1</v>
      </c>
      <c r="I794" s="98">
        <v>0</v>
      </c>
      <c r="J794" s="98">
        <v>0</v>
      </c>
      <c r="K794" s="101">
        <f t="shared" si="712"/>
        <v>0</v>
      </c>
      <c r="L794" s="100">
        <v>0</v>
      </c>
      <c r="M794" s="98">
        <v>0</v>
      </c>
      <c r="N794" s="101">
        <f t="shared" si="713"/>
        <v>0</v>
      </c>
      <c r="O794" s="100">
        <v>0</v>
      </c>
      <c r="P794" s="98">
        <v>0</v>
      </c>
      <c r="Q794" s="101">
        <f t="shared" si="714"/>
        <v>0</v>
      </c>
      <c r="R794" s="100">
        <v>0</v>
      </c>
      <c r="S794" s="98">
        <v>0</v>
      </c>
      <c r="T794" s="101">
        <f t="shared" si="715"/>
        <v>0</v>
      </c>
      <c r="U794" s="183">
        <v>1</v>
      </c>
      <c r="V794" s="99">
        <v>1</v>
      </c>
      <c r="W794" s="98">
        <v>0</v>
      </c>
      <c r="X794" s="98">
        <v>0</v>
      </c>
      <c r="Y794" s="101">
        <f t="shared" si="718"/>
        <v>0</v>
      </c>
      <c r="Z794" s="101">
        <v>1</v>
      </c>
      <c r="AA794" s="183">
        <v>0</v>
      </c>
      <c r="AB794" s="99">
        <v>1</v>
      </c>
      <c r="AC794" s="98">
        <v>0</v>
      </c>
      <c r="AD794" s="98">
        <v>0</v>
      </c>
      <c r="AE794" s="101">
        <f t="shared" si="716"/>
        <v>0</v>
      </c>
      <c r="AF794" s="100">
        <v>0</v>
      </c>
      <c r="AG794" s="98">
        <v>0</v>
      </c>
      <c r="AH794" s="99">
        <f t="shared" si="717"/>
        <v>0</v>
      </c>
      <c r="AI794" s="101">
        <v>1</v>
      </c>
      <c r="AJ794" s="106"/>
    </row>
    <row r="795" spans="2:36" s="35" customFormat="1" ht="17.100000000000001" customHeight="1">
      <c r="B795" s="105"/>
      <c r="C795" s="54"/>
      <c r="D795" s="96"/>
      <c r="E795" s="111"/>
      <c r="F795" s="112"/>
      <c r="G795" s="113"/>
      <c r="H795" s="183">
        <v>1</v>
      </c>
      <c r="I795" s="98">
        <v>0</v>
      </c>
      <c r="J795" s="98">
        <v>0</v>
      </c>
      <c r="K795" s="101">
        <f t="shared" si="712"/>
        <v>0</v>
      </c>
      <c r="L795" s="100">
        <v>0</v>
      </c>
      <c r="M795" s="98">
        <v>0</v>
      </c>
      <c r="N795" s="101">
        <f t="shared" si="713"/>
        <v>0</v>
      </c>
      <c r="O795" s="100">
        <v>0</v>
      </c>
      <c r="P795" s="98">
        <v>0</v>
      </c>
      <c r="Q795" s="101">
        <f t="shared" si="714"/>
        <v>0</v>
      </c>
      <c r="R795" s="100">
        <v>0</v>
      </c>
      <c r="S795" s="98">
        <v>0</v>
      </c>
      <c r="T795" s="101">
        <f t="shared" si="715"/>
        <v>0</v>
      </c>
      <c r="U795" s="183">
        <v>1</v>
      </c>
      <c r="V795" s="99">
        <v>1</v>
      </c>
      <c r="W795" s="98">
        <v>0</v>
      </c>
      <c r="X795" s="98">
        <v>0</v>
      </c>
      <c r="Y795" s="101">
        <f t="shared" si="718"/>
        <v>0</v>
      </c>
      <c r="Z795" s="101">
        <v>1</v>
      </c>
      <c r="AA795" s="183">
        <v>0</v>
      </c>
      <c r="AB795" s="99">
        <v>1</v>
      </c>
      <c r="AC795" s="98">
        <v>0</v>
      </c>
      <c r="AD795" s="98">
        <v>0</v>
      </c>
      <c r="AE795" s="101">
        <f t="shared" si="716"/>
        <v>0</v>
      </c>
      <c r="AF795" s="100">
        <v>0</v>
      </c>
      <c r="AG795" s="98">
        <v>0</v>
      </c>
      <c r="AH795" s="99">
        <f t="shared" si="717"/>
        <v>0</v>
      </c>
      <c r="AI795" s="101">
        <v>1</v>
      </c>
      <c r="AJ795" s="106"/>
    </row>
    <row r="796" spans="2:36" s="126" customFormat="1" ht="17.100000000000001" customHeight="1">
      <c r="B796" s="118"/>
      <c r="C796" s="119"/>
      <c r="D796" s="120"/>
      <c r="E796" s="121"/>
      <c r="F796" s="122"/>
      <c r="G796" s="123"/>
      <c r="H796" s="183">
        <v>1</v>
      </c>
      <c r="I796" s="363" t="s">
        <v>201</v>
      </c>
      <c r="J796" s="363"/>
      <c r="K796" s="124">
        <f>SUM(K789:K795)</f>
        <v>0</v>
      </c>
      <c r="L796" s="341" t="s">
        <v>201</v>
      </c>
      <c r="M796" s="342"/>
      <c r="N796" s="124">
        <f>SUM(N789:N795)</f>
        <v>0</v>
      </c>
      <c r="O796" s="341" t="s">
        <v>201</v>
      </c>
      <c r="P796" s="342"/>
      <c r="Q796" s="124">
        <f>SUM(Q789:Q795)</f>
        <v>0</v>
      </c>
      <c r="R796" s="341" t="s">
        <v>201</v>
      </c>
      <c r="S796" s="342"/>
      <c r="T796" s="124">
        <f>SUM(T789:T795)</f>
        <v>0</v>
      </c>
      <c r="U796" s="183">
        <v>1</v>
      </c>
      <c r="V796" s="99">
        <v>1</v>
      </c>
      <c r="W796" s="363" t="s">
        <v>201</v>
      </c>
      <c r="X796" s="363"/>
      <c r="Y796" s="124">
        <f>SUM(Y789:Y795)</f>
        <v>200</v>
      </c>
      <c r="Z796" s="101">
        <v>1</v>
      </c>
      <c r="AA796" s="183">
        <v>0</v>
      </c>
      <c r="AB796" s="99">
        <v>1</v>
      </c>
      <c r="AC796" s="363" t="s">
        <v>201</v>
      </c>
      <c r="AD796" s="363"/>
      <c r="AE796" s="124">
        <f>SUM(AE789:AE795)</f>
        <v>0</v>
      </c>
      <c r="AF796" s="364" t="s">
        <v>201</v>
      </c>
      <c r="AG796" s="363"/>
      <c r="AH796" s="143">
        <f>SUM(AH789:AH795)</f>
        <v>0</v>
      </c>
      <c r="AI796" s="101">
        <v>1</v>
      </c>
      <c r="AJ796" s="125"/>
    </row>
    <row r="797" spans="2:36" s="35" customFormat="1" ht="16.95" customHeight="1">
      <c r="B797" s="105"/>
      <c r="C797" s="54">
        <f>'3. Rekap Back Up Non Aspal '!C120</f>
        <v>14000</v>
      </c>
      <c r="D797" s="96">
        <f>'3. Rekap Back Up Non Aspal '!D120</f>
        <v>14100</v>
      </c>
      <c r="E797" s="111">
        <f>'3. Rekap Back Up Non Aspal '!E120</f>
        <v>3</v>
      </c>
      <c r="F797" s="112">
        <f>(100/((D797-C797)*E797))*((K804*0.05)+(N804*0.05)+(Q804*0.05)+(T804)+(Y804)+(AE804*1.5)+(AH804*1))</f>
        <v>10</v>
      </c>
      <c r="G797" s="113" t="str">
        <f>IF(F797&lt;=25,"RB",IF(F797&lt;=75,"RB",IF(F797&lt;=100,"RB","RB")))</f>
        <v>RB</v>
      </c>
      <c r="H797" s="183">
        <v>1</v>
      </c>
      <c r="I797" s="98">
        <v>0</v>
      </c>
      <c r="J797" s="98">
        <v>0</v>
      </c>
      <c r="K797" s="101">
        <f t="shared" ref="K797:K803" si="719">I797*J797</f>
        <v>0</v>
      </c>
      <c r="L797" s="98">
        <v>0</v>
      </c>
      <c r="M797" s="98">
        <v>0</v>
      </c>
      <c r="N797" s="101">
        <f t="shared" ref="N797:N803" si="720">L797*M797</f>
        <v>0</v>
      </c>
      <c r="O797" s="98">
        <v>0</v>
      </c>
      <c r="P797" s="98">
        <v>0</v>
      </c>
      <c r="Q797" s="101">
        <f t="shared" ref="Q797:Q803" si="721">O797*P797</f>
        <v>0</v>
      </c>
      <c r="R797" s="98">
        <v>10</v>
      </c>
      <c r="S797" s="98">
        <v>3</v>
      </c>
      <c r="T797" s="101">
        <f t="shared" ref="T797:T803" si="722">R797*S797</f>
        <v>30</v>
      </c>
      <c r="U797" s="183">
        <v>1</v>
      </c>
      <c r="V797" s="99">
        <v>1</v>
      </c>
      <c r="W797" s="98">
        <v>0</v>
      </c>
      <c r="X797" s="98">
        <v>0</v>
      </c>
      <c r="Y797" s="101">
        <f>W797*X797</f>
        <v>0</v>
      </c>
      <c r="Z797" s="101">
        <v>1</v>
      </c>
      <c r="AA797" s="183">
        <v>0</v>
      </c>
      <c r="AB797" s="99">
        <v>1</v>
      </c>
      <c r="AC797" s="98">
        <v>0</v>
      </c>
      <c r="AD797" s="98">
        <v>0</v>
      </c>
      <c r="AE797" s="101">
        <f t="shared" ref="AE797:AE803" si="723">AC797*AD797</f>
        <v>0</v>
      </c>
      <c r="AF797" s="98">
        <v>0</v>
      </c>
      <c r="AG797" s="98">
        <v>3</v>
      </c>
      <c r="AH797" s="99">
        <f t="shared" ref="AH797:AH803" si="724">AF797*AG797</f>
        <v>0</v>
      </c>
      <c r="AI797" s="101">
        <v>1</v>
      </c>
      <c r="AJ797" s="106"/>
    </row>
    <row r="798" spans="2:36" s="35" customFormat="1" ht="17.100000000000001" customHeight="1">
      <c r="B798" s="105"/>
      <c r="C798" s="54"/>
      <c r="D798" s="96"/>
      <c r="E798" s="111"/>
      <c r="F798" s="112"/>
      <c r="G798" s="113"/>
      <c r="H798" s="183">
        <v>1</v>
      </c>
      <c r="I798" s="98">
        <v>0</v>
      </c>
      <c r="J798" s="98">
        <v>0</v>
      </c>
      <c r="K798" s="101">
        <f t="shared" si="719"/>
        <v>0</v>
      </c>
      <c r="L798" s="100">
        <v>0</v>
      </c>
      <c r="M798" s="98">
        <v>0</v>
      </c>
      <c r="N798" s="101">
        <f t="shared" si="720"/>
        <v>0</v>
      </c>
      <c r="O798" s="100">
        <v>0</v>
      </c>
      <c r="P798" s="98">
        <v>0</v>
      </c>
      <c r="Q798" s="101">
        <f t="shared" si="721"/>
        <v>0</v>
      </c>
      <c r="R798" s="100">
        <v>0</v>
      </c>
      <c r="S798" s="98">
        <v>0</v>
      </c>
      <c r="T798" s="101">
        <f t="shared" si="722"/>
        <v>0</v>
      </c>
      <c r="U798" s="183">
        <v>1</v>
      </c>
      <c r="V798" s="99">
        <v>1</v>
      </c>
      <c r="W798" s="98">
        <v>0</v>
      </c>
      <c r="X798" s="98">
        <v>0</v>
      </c>
      <c r="Y798" s="101">
        <f t="shared" ref="Y798:Y803" si="725">W798*X798</f>
        <v>0</v>
      </c>
      <c r="Z798" s="101">
        <v>1</v>
      </c>
      <c r="AA798" s="183">
        <v>0</v>
      </c>
      <c r="AB798" s="99">
        <v>1</v>
      </c>
      <c r="AC798" s="98">
        <v>0</v>
      </c>
      <c r="AD798" s="98">
        <v>0</v>
      </c>
      <c r="AE798" s="101">
        <f t="shared" si="723"/>
        <v>0</v>
      </c>
      <c r="AF798" s="100">
        <v>0</v>
      </c>
      <c r="AG798" s="98">
        <v>0</v>
      </c>
      <c r="AH798" s="99">
        <f t="shared" si="724"/>
        <v>0</v>
      </c>
      <c r="AI798" s="101">
        <v>1</v>
      </c>
      <c r="AJ798" s="106"/>
    </row>
    <row r="799" spans="2:36" s="35" customFormat="1" ht="17.100000000000001" customHeight="1">
      <c r="B799" s="105"/>
      <c r="C799" s="54"/>
      <c r="D799" s="96"/>
      <c r="E799" s="111"/>
      <c r="F799" s="112"/>
      <c r="G799" s="113"/>
      <c r="H799" s="183">
        <v>1</v>
      </c>
      <c r="I799" s="98">
        <v>0</v>
      </c>
      <c r="J799" s="98">
        <v>0</v>
      </c>
      <c r="K799" s="101">
        <f t="shared" si="719"/>
        <v>0</v>
      </c>
      <c r="L799" s="100">
        <v>0</v>
      </c>
      <c r="M799" s="98">
        <v>0</v>
      </c>
      <c r="N799" s="101">
        <f t="shared" si="720"/>
        <v>0</v>
      </c>
      <c r="O799" s="100">
        <v>0</v>
      </c>
      <c r="P799" s="98">
        <v>0</v>
      </c>
      <c r="Q799" s="101">
        <f t="shared" si="721"/>
        <v>0</v>
      </c>
      <c r="R799" s="100">
        <v>0</v>
      </c>
      <c r="S799" s="98">
        <v>0</v>
      </c>
      <c r="T799" s="101">
        <f t="shared" si="722"/>
        <v>0</v>
      </c>
      <c r="U799" s="183">
        <v>1</v>
      </c>
      <c r="V799" s="99">
        <v>1</v>
      </c>
      <c r="W799" s="98">
        <v>0</v>
      </c>
      <c r="X799" s="98">
        <v>0</v>
      </c>
      <c r="Y799" s="101">
        <f t="shared" si="725"/>
        <v>0</v>
      </c>
      <c r="Z799" s="101">
        <v>1</v>
      </c>
      <c r="AA799" s="183">
        <v>0</v>
      </c>
      <c r="AB799" s="99">
        <v>1</v>
      </c>
      <c r="AC799" s="98">
        <v>0</v>
      </c>
      <c r="AD799" s="98">
        <v>0</v>
      </c>
      <c r="AE799" s="101">
        <f t="shared" si="723"/>
        <v>0</v>
      </c>
      <c r="AF799" s="100">
        <v>0</v>
      </c>
      <c r="AG799" s="98">
        <v>0</v>
      </c>
      <c r="AH799" s="99">
        <f t="shared" si="724"/>
        <v>0</v>
      </c>
      <c r="AI799" s="101">
        <v>1</v>
      </c>
      <c r="AJ799" s="106"/>
    </row>
    <row r="800" spans="2:36" s="35" customFormat="1" ht="17.100000000000001" customHeight="1">
      <c r="B800" s="105"/>
      <c r="C800" s="54"/>
      <c r="D800" s="96"/>
      <c r="E800" s="111"/>
      <c r="F800" s="112"/>
      <c r="G800" s="113"/>
      <c r="H800" s="183">
        <v>1</v>
      </c>
      <c r="I800" s="98">
        <v>0</v>
      </c>
      <c r="J800" s="98">
        <v>0</v>
      </c>
      <c r="K800" s="101">
        <f t="shared" si="719"/>
        <v>0</v>
      </c>
      <c r="L800" s="100">
        <v>0</v>
      </c>
      <c r="M800" s="98">
        <v>0</v>
      </c>
      <c r="N800" s="101">
        <f t="shared" si="720"/>
        <v>0</v>
      </c>
      <c r="O800" s="100">
        <v>0</v>
      </c>
      <c r="P800" s="98">
        <v>0</v>
      </c>
      <c r="Q800" s="101">
        <f t="shared" si="721"/>
        <v>0</v>
      </c>
      <c r="R800" s="100">
        <v>0</v>
      </c>
      <c r="S800" s="98">
        <v>0</v>
      </c>
      <c r="T800" s="101">
        <f t="shared" si="722"/>
        <v>0</v>
      </c>
      <c r="U800" s="183">
        <v>1</v>
      </c>
      <c r="V800" s="99">
        <v>1</v>
      </c>
      <c r="W800" s="98">
        <v>0</v>
      </c>
      <c r="X800" s="98">
        <v>0</v>
      </c>
      <c r="Y800" s="101">
        <f t="shared" si="725"/>
        <v>0</v>
      </c>
      <c r="Z800" s="101">
        <v>1</v>
      </c>
      <c r="AA800" s="183">
        <v>0</v>
      </c>
      <c r="AB800" s="99">
        <v>1</v>
      </c>
      <c r="AC800" s="98">
        <v>0</v>
      </c>
      <c r="AD800" s="98">
        <v>0</v>
      </c>
      <c r="AE800" s="101">
        <f t="shared" si="723"/>
        <v>0</v>
      </c>
      <c r="AF800" s="100">
        <v>0</v>
      </c>
      <c r="AG800" s="98">
        <v>0</v>
      </c>
      <c r="AH800" s="99">
        <f t="shared" si="724"/>
        <v>0</v>
      </c>
      <c r="AI800" s="101">
        <v>1</v>
      </c>
      <c r="AJ800" s="106"/>
    </row>
    <row r="801" spans="2:36" s="35" customFormat="1" ht="17.100000000000001" customHeight="1">
      <c r="B801" s="105"/>
      <c r="C801" s="54"/>
      <c r="D801" s="96"/>
      <c r="E801" s="111"/>
      <c r="F801" s="112"/>
      <c r="G801" s="113"/>
      <c r="H801" s="183">
        <v>1</v>
      </c>
      <c r="I801" s="98">
        <v>0</v>
      </c>
      <c r="J801" s="98">
        <v>0</v>
      </c>
      <c r="K801" s="101">
        <f t="shared" si="719"/>
        <v>0</v>
      </c>
      <c r="L801" s="100">
        <v>0</v>
      </c>
      <c r="M801" s="98">
        <v>0</v>
      </c>
      <c r="N801" s="101">
        <f t="shared" si="720"/>
        <v>0</v>
      </c>
      <c r="O801" s="100">
        <v>0</v>
      </c>
      <c r="P801" s="98">
        <v>0</v>
      </c>
      <c r="Q801" s="101">
        <f t="shared" si="721"/>
        <v>0</v>
      </c>
      <c r="R801" s="100">
        <v>0</v>
      </c>
      <c r="S801" s="98">
        <v>0</v>
      </c>
      <c r="T801" s="101">
        <f t="shared" si="722"/>
        <v>0</v>
      </c>
      <c r="U801" s="183">
        <v>1</v>
      </c>
      <c r="V801" s="99">
        <v>1</v>
      </c>
      <c r="W801" s="98">
        <v>0</v>
      </c>
      <c r="X801" s="98">
        <v>0</v>
      </c>
      <c r="Y801" s="101">
        <f t="shared" si="725"/>
        <v>0</v>
      </c>
      <c r="Z801" s="101">
        <v>1</v>
      </c>
      <c r="AA801" s="183">
        <v>0</v>
      </c>
      <c r="AB801" s="99">
        <v>1</v>
      </c>
      <c r="AC801" s="98">
        <v>0</v>
      </c>
      <c r="AD801" s="98">
        <v>0</v>
      </c>
      <c r="AE801" s="101">
        <f t="shared" si="723"/>
        <v>0</v>
      </c>
      <c r="AF801" s="100">
        <v>0</v>
      </c>
      <c r="AG801" s="98">
        <v>0</v>
      </c>
      <c r="AH801" s="99">
        <f t="shared" si="724"/>
        <v>0</v>
      </c>
      <c r="AI801" s="101">
        <v>1</v>
      </c>
      <c r="AJ801" s="106"/>
    </row>
    <row r="802" spans="2:36" s="35" customFormat="1" ht="17.100000000000001" customHeight="1">
      <c r="B802" s="105"/>
      <c r="C802" s="54"/>
      <c r="D802" s="96"/>
      <c r="E802" s="111"/>
      <c r="F802" s="112"/>
      <c r="G802" s="113"/>
      <c r="H802" s="183">
        <v>1</v>
      </c>
      <c r="I802" s="98">
        <v>0</v>
      </c>
      <c r="J802" s="98">
        <v>0</v>
      </c>
      <c r="K802" s="101">
        <f t="shared" si="719"/>
        <v>0</v>
      </c>
      <c r="L802" s="100">
        <v>0</v>
      </c>
      <c r="M802" s="98">
        <v>0</v>
      </c>
      <c r="N802" s="101">
        <f t="shared" si="720"/>
        <v>0</v>
      </c>
      <c r="O802" s="100">
        <v>0</v>
      </c>
      <c r="P802" s="98">
        <v>0</v>
      </c>
      <c r="Q802" s="101">
        <f t="shared" si="721"/>
        <v>0</v>
      </c>
      <c r="R802" s="100">
        <v>0</v>
      </c>
      <c r="S802" s="98">
        <v>0</v>
      </c>
      <c r="T802" s="101">
        <f t="shared" si="722"/>
        <v>0</v>
      </c>
      <c r="U802" s="183">
        <v>1</v>
      </c>
      <c r="V802" s="99">
        <v>1</v>
      </c>
      <c r="W802" s="98">
        <v>0</v>
      </c>
      <c r="X802" s="98">
        <v>0</v>
      </c>
      <c r="Y802" s="101">
        <f t="shared" si="725"/>
        <v>0</v>
      </c>
      <c r="Z802" s="101">
        <v>1</v>
      </c>
      <c r="AA802" s="183">
        <v>0</v>
      </c>
      <c r="AB802" s="99">
        <v>1</v>
      </c>
      <c r="AC802" s="98">
        <v>0</v>
      </c>
      <c r="AD802" s="98">
        <v>0</v>
      </c>
      <c r="AE802" s="101">
        <f t="shared" si="723"/>
        <v>0</v>
      </c>
      <c r="AF802" s="100">
        <v>0</v>
      </c>
      <c r="AG802" s="98">
        <v>0</v>
      </c>
      <c r="AH802" s="99">
        <f t="shared" si="724"/>
        <v>0</v>
      </c>
      <c r="AI802" s="101">
        <v>1</v>
      </c>
      <c r="AJ802" s="106"/>
    </row>
    <row r="803" spans="2:36" s="35" customFormat="1" ht="17.100000000000001" customHeight="1">
      <c r="B803" s="105"/>
      <c r="C803" s="54"/>
      <c r="D803" s="96"/>
      <c r="E803" s="111"/>
      <c r="F803" s="112"/>
      <c r="G803" s="113"/>
      <c r="H803" s="183">
        <v>1</v>
      </c>
      <c r="I803" s="98">
        <v>0</v>
      </c>
      <c r="J803" s="98">
        <v>0</v>
      </c>
      <c r="K803" s="101">
        <f t="shared" si="719"/>
        <v>0</v>
      </c>
      <c r="L803" s="100">
        <v>0</v>
      </c>
      <c r="M803" s="98">
        <v>0</v>
      </c>
      <c r="N803" s="101">
        <f t="shared" si="720"/>
        <v>0</v>
      </c>
      <c r="O803" s="100">
        <v>0</v>
      </c>
      <c r="P803" s="98">
        <v>0</v>
      </c>
      <c r="Q803" s="101">
        <f t="shared" si="721"/>
        <v>0</v>
      </c>
      <c r="R803" s="100">
        <v>0</v>
      </c>
      <c r="S803" s="98">
        <v>0</v>
      </c>
      <c r="T803" s="101">
        <f t="shared" si="722"/>
        <v>0</v>
      </c>
      <c r="U803" s="183">
        <v>1</v>
      </c>
      <c r="V803" s="99">
        <v>1</v>
      </c>
      <c r="W803" s="98">
        <v>0</v>
      </c>
      <c r="X803" s="98">
        <v>0</v>
      </c>
      <c r="Y803" s="101">
        <f t="shared" si="725"/>
        <v>0</v>
      </c>
      <c r="Z803" s="101">
        <v>1</v>
      </c>
      <c r="AA803" s="183">
        <v>0</v>
      </c>
      <c r="AB803" s="99">
        <v>1</v>
      </c>
      <c r="AC803" s="98">
        <v>0</v>
      </c>
      <c r="AD803" s="98">
        <v>0</v>
      </c>
      <c r="AE803" s="101">
        <f t="shared" si="723"/>
        <v>0</v>
      </c>
      <c r="AF803" s="100">
        <v>0</v>
      </c>
      <c r="AG803" s="98">
        <v>0</v>
      </c>
      <c r="AH803" s="99">
        <f t="shared" si="724"/>
        <v>0</v>
      </c>
      <c r="AI803" s="101">
        <v>1</v>
      </c>
      <c r="AJ803" s="106"/>
    </row>
    <row r="804" spans="2:36" s="126" customFormat="1" ht="17.100000000000001" customHeight="1" thickBot="1">
      <c r="B804" s="128"/>
      <c r="C804" s="154"/>
      <c r="D804" s="155"/>
      <c r="E804" s="156"/>
      <c r="F804" s="129"/>
      <c r="G804" s="130"/>
      <c r="H804" s="184">
        <v>1</v>
      </c>
      <c r="I804" s="361" t="s">
        <v>201</v>
      </c>
      <c r="J804" s="361"/>
      <c r="K804" s="131">
        <f>SUM(K797:K803)</f>
        <v>0</v>
      </c>
      <c r="L804" s="344" t="s">
        <v>201</v>
      </c>
      <c r="M804" s="345"/>
      <c r="N804" s="131">
        <f>SUM(N797:N803)</f>
        <v>0</v>
      </c>
      <c r="O804" s="344" t="s">
        <v>201</v>
      </c>
      <c r="P804" s="345"/>
      <c r="Q804" s="131">
        <f>SUM(Q797:Q803)</f>
        <v>0</v>
      </c>
      <c r="R804" s="344" t="s">
        <v>201</v>
      </c>
      <c r="S804" s="345"/>
      <c r="T804" s="131">
        <f>SUM(T797:T803)</f>
        <v>30</v>
      </c>
      <c r="U804" s="184">
        <v>1</v>
      </c>
      <c r="V804" s="160">
        <v>1</v>
      </c>
      <c r="W804" s="361" t="s">
        <v>201</v>
      </c>
      <c r="X804" s="361"/>
      <c r="Y804" s="131">
        <f>SUM(Y797:Y803)</f>
        <v>0</v>
      </c>
      <c r="Z804" s="133">
        <v>1</v>
      </c>
      <c r="AA804" s="184">
        <v>0</v>
      </c>
      <c r="AB804" s="160">
        <v>1</v>
      </c>
      <c r="AC804" s="361" t="s">
        <v>201</v>
      </c>
      <c r="AD804" s="361"/>
      <c r="AE804" s="131">
        <f>SUM(AE797:AE803)</f>
        <v>0</v>
      </c>
      <c r="AF804" s="362" t="s">
        <v>201</v>
      </c>
      <c r="AG804" s="361"/>
      <c r="AH804" s="144">
        <f>SUM(AH797:AH803)</f>
        <v>0</v>
      </c>
      <c r="AI804" s="133">
        <v>1</v>
      </c>
      <c r="AJ804" s="134"/>
    </row>
    <row r="805" spans="2:36" s="35" customFormat="1" ht="16.95" customHeight="1">
      <c r="B805" s="114"/>
      <c r="C805" s="157">
        <f>'3. Rekap Back Up Non Aspal '!C121</f>
        <v>14100</v>
      </c>
      <c r="D805" s="158">
        <f>'3. Rekap Back Up Non Aspal '!D121</f>
        <v>14200</v>
      </c>
      <c r="E805" s="159">
        <f>'3. Rekap Back Up Non Aspal '!E121</f>
        <v>3</v>
      </c>
      <c r="F805" s="115">
        <f>(100/((D805-C805)*E805))*((K812*0.05)+(N812*0.05)+(Q812*0.05)+(T812)+(Y812)+(AE812*1.5)+(AH812*1))</f>
        <v>50</v>
      </c>
      <c r="G805" s="116" t="str">
        <f>IF(F805&lt;=25,"RB",IF(F805&lt;=75,"RB",IF(F805&lt;=100,"RB","RB")))</f>
        <v>RB</v>
      </c>
      <c r="H805" s="185">
        <v>1</v>
      </c>
      <c r="I805" s="136">
        <v>0</v>
      </c>
      <c r="J805" s="136">
        <v>0</v>
      </c>
      <c r="K805" s="137">
        <f t="shared" ref="K805:K811" si="726">I805*J805</f>
        <v>0</v>
      </c>
      <c r="L805" s="136">
        <v>0</v>
      </c>
      <c r="M805" s="136">
        <v>0</v>
      </c>
      <c r="N805" s="137">
        <f t="shared" ref="N805:N811" si="727">L805*M805</f>
        <v>0</v>
      </c>
      <c r="O805" s="136">
        <v>0</v>
      </c>
      <c r="P805" s="136">
        <v>3</v>
      </c>
      <c r="Q805" s="137">
        <f t="shared" ref="Q805:Q811" si="728">O805*P805</f>
        <v>0</v>
      </c>
      <c r="R805" s="136">
        <v>0</v>
      </c>
      <c r="S805" s="136">
        <v>0</v>
      </c>
      <c r="T805" s="137">
        <f t="shared" ref="T805:T811" si="729">R805*S805</f>
        <v>0</v>
      </c>
      <c r="U805" s="185">
        <v>3</v>
      </c>
      <c r="V805" s="138">
        <v>2</v>
      </c>
      <c r="W805" s="136">
        <v>50</v>
      </c>
      <c r="X805" s="136">
        <v>3</v>
      </c>
      <c r="Y805" s="137">
        <f>W805*X805</f>
        <v>150</v>
      </c>
      <c r="Z805" s="137">
        <v>1</v>
      </c>
      <c r="AA805" s="185">
        <v>0</v>
      </c>
      <c r="AB805" s="138">
        <v>1</v>
      </c>
      <c r="AC805" s="136">
        <v>0</v>
      </c>
      <c r="AD805" s="136">
        <v>0</v>
      </c>
      <c r="AE805" s="137">
        <f t="shared" ref="AE805:AE811" si="730">AC805*AD805</f>
        <v>0</v>
      </c>
      <c r="AF805" s="136">
        <v>0</v>
      </c>
      <c r="AG805" s="136">
        <v>0</v>
      </c>
      <c r="AH805" s="138">
        <f t="shared" ref="AH805:AH811" si="731">AF805*AG805</f>
        <v>0</v>
      </c>
      <c r="AI805" s="137">
        <v>1</v>
      </c>
      <c r="AJ805" s="139"/>
    </row>
    <row r="806" spans="2:36" s="35" customFormat="1" ht="17.100000000000001" customHeight="1">
      <c r="B806" s="105"/>
      <c r="C806" s="54"/>
      <c r="D806" s="96"/>
      <c r="E806" s="111"/>
      <c r="F806" s="112"/>
      <c r="G806" s="113"/>
      <c r="H806" s="183">
        <v>1</v>
      </c>
      <c r="I806" s="98">
        <v>0</v>
      </c>
      <c r="J806" s="98">
        <v>0</v>
      </c>
      <c r="K806" s="101">
        <f t="shared" si="726"/>
        <v>0</v>
      </c>
      <c r="L806" s="100">
        <v>0</v>
      </c>
      <c r="M806" s="98">
        <v>0</v>
      </c>
      <c r="N806" s="101">
        <f t="shared" si="727"/>
        <v>0</v>
      </c>
      <c r="O806" s="100">
        <v>0</v>
      </c>
      <c r="P806" s="98">
        <v>0</v>
      </c>
      <c r="Q806" s="101">
        <f t="shared" si="728"/>
        <v>0</v>
      </c>
      <c r="R806" s="100">
        <v>0</v>
      </c>
      <c r="S806" s="98">
        <v>0</v>
      </c>
      <c r="T806" s="101">
        <f t="shared" si="729"/>
        <v>0</v>
      </c>
      <c r="U806" s="183">
        <v>1</v>
      </c>
      <c r="V806" s="99">
        <v>1</v>
      </c>
      <c r="W806" s="98">
        <v>0</v>
      </c>
      <c r="X806" s="98">
        <v>0</v>
      </c>
      <c r="Y806" s="101">
        <f t="shared" ref="Y806:Y811" si="732">W806*X806</f>
        <v>0</v>
      </c>
      <c r="Z806" s="101">
        <v>1</v>
      </c>
      <c r="AA806" s="183">
        <v>0</v>
      </c>
      <c r="AB806" s="99">
        <v>1</v>
      </c>
      <c r="AC806" s="98">
        <v>0</v>
      </c>
      <c r="AD806" s="98">
        <v>0</v>
      </c>
      <c r="AE806" s="101">
        <f t="shared" si="730"/>
        <v>0</v>
      </c>
      <c r="AF806" s="100">
        <v>0</v>
      </c>
      <c r="AG806" s="98">
        <v>0</v>
      </c>
      <c r="AH806" s="99">
        <f t="shared" si="731"/>
        <v>0</v>
      </c>
      <c r="AI806" s="101">
        <v>1</v>
      </c>
      <c r="AJ806" s="106"/>
    </row>
    <row r="807" spans="2:36" s="35" customFormat="1" ht="17.100000000000001" customHeight="1">
      <c r="B807" s="105"/>
      <c r="C807" s="54"/>
      <c r="D807" s="96"/>
      <c r="E807" s="111"/>
      <c r="F807" s="112"/>
      <c r="G807" s="113"/>
      <c r="H807" s="183">
        <v>1</v>
      </c>
      <c r="I807" s="98">
        <v>0</v>
      </c>
      <c r="J807" s="98">
        <v>0</v>
      </c>
      <c r="K807" s="101">
        <f t="shared" si="726"/>
        <v>0</v>
      </c>
      <c r="L807" s="100">
        <v>0</v>
      </c>
      <c r="M807" s="98">
        <v>0</v>
      </c>
      <c r="N807" s="101">
        <f t="shared" si="727"/>
        <v>0</v>
      </c>
      <c r="O807" s="100">
        <v>0</v>
      </c>
      <c r="P807" s="98">
        <v>0</v>
      </c>
      <c r="Q807" s="101">
        <f t="shared" si="728"/>
        <v>0</v>
      </c>
      <c r="R807" s="100">
        <v>0</v>
      </c>
      <c r="S807" s="98">
        <v>0</v>
      </c>
      <c r="T807" s="101">
        <f t="shared" si="729"/>
        <v>0</v>
      </c>
      <c r="U807" s="183">
        <v>1</v>
      </c>
      <c r="V807" s="99">
        <v>1</v>
      </c>
      <c r="W807" s="98">
        <v>0</v>
      </c>
      <c r="X807" s="98">
        <v>0</v>
      </c>
      <c r="Y807" s="101">
        <f t="shared" si="732"/>
        <v>0</v>
      </c>
      <c r="Z807" s="101">
        <v>1</v>
      </c>
      <c r="AA807" s="183">
        <v>0</v>
      </c>
      <c r="AB807" s="99">
        <v>1</v>
      </c>
      <c r="AC807" s="98">
        <v>0</v>
      </c>
      <c r="AD807" s="98">
        <v>0</v>
      </c>
      <c r="AE807" s="101">
        <f t="shared" si="730"/>
        <v>0</v>
      </c>
      <c r="AF807" s="100">
        <v>0</v>
      </c>
      <c r="AG807" s="98">
        <v>0</v>
      </c>
      <c r="AH807" s="99">
        <f t="shared" si="731"/>
        <v>0</v>
      </c>
      <c r="AI807" s="101">
        <v>1</v>
      </c>
      <c r="AJ807" s="106"/>
    </row>
    <row r="808" spans="2:36" s="35" customFormat="1" ht="17.100000000000001" customHeight="1">
      <c r="B808" s="105"/>
      <c r="C808" s="54"/>
      <c r="D808" s="96"/>
      <c r="E808" s="111"/>
      <c r="F808" s="112"/>
      <c r="G808" s="113"/>
      <c r="H808" s="183">
        <v>1</v>
      </c>
      <c r="I808" s="98">
        <v>0</v>
      </c>
      <c r="J808" s="98">
        <v>0</v>
      </c>
      <c r="K808" s="101">
        <f t="shared" si="726"/>
        <v>0</v>
      </c>
      <c r="L808" s="100">
        <v>0</v>
      </c>
      <c r="M808" s="98">
        <v>0</v>
      </c>
      <c r="N808" s="101">
        <f t="shared" si="727"/>
        <v>0</v>
      </c>
      <c r="O808" s="100">
        <v>0</v>
      </c>
      <c r="P808" s="98">
        <v>0</v>
      </c>
      <c r="Q808" s="101">
        <f t="shared" si="728"/>
        <v>0</v>
      </c>
      <c r="R808" s="100">
        <v>0</v>
      </c>
      <c r="S808" s="98">
        <v>0</v>
      </c>
      <c r="T808" s="101">
        <f t="shared" si="729"/>
        <v>0</v>
      </c>
      <c r="U808" s="183">
        <v>1</v>
      </c>
      <c r="V808" s="99">
        <v>1</v>
      </c>
      <c r="W808" s="98">
        <v>0</v>
      </c>
      <c r="X808" s="98">
        <v>0</v>
      </c>
      <c r="Y808" s="101">
        <f t="shared" si="732"/>
        <v>0</v>
      </c>
      <c r="Z808" s="101">
        <v>1</v>
      </c>
      <c r="AA808" s="183">
        <v>0</v>
      </c>
      <c r="AB808" s="99">
        <v>1</v>
      </c>
      <c r="AC808" s="98">
        <v>0</v>
      </c>
      <c r="AD808" s="98">
        <v>0</v>
      </c>
      <c r="AE808" s="101">
        <f t="shared" si="730"/>
        <v>0</v>
      </c>
      <c r="AF808" s="100">
        <v>0</v>
      </c>
      <c r="AG808" s="98">
        <v>0</v>
      </c>
      <c r="AH808" s="99">
        <f t="shared" si="731"/>
        <v>0</v>
      </c>
      <c r="AI808" s="101">
        <v>1</v>
      </c>
      <c r="AJ808" s="106"/>
    </row>
    <row r="809" spans="2:36" s="35" customFormat="1" ht="17.100000000000001" customHeight="1">
      <c r="B809" s="105"/>
      <c r="C809" s="54"/>
      <c r="D809" s="96"/>
      <c r="E809" s="111"/>
      <c r="F809" s="112"/>
      <c r="G809" s="113"/>
      <c r="H809" s="183">
        <v>1</v>
      </c>
      <c r="I809" s="98">
        <v>0</v>
      </c>
      <c r="J809" s="98">
        <v>0</v>
      </c>
      <c r="K809" s="101">
        <f t="shared" si="726"/>
        <v>0</v>
      </c>
      <c r="L809" s="100">
        <v>0</v>
      </c>
      <c r="M809" s="98">
        <v>0</v>
      </c>
      <c r="N809" s="101">
        <f t="shared" si="727"/>
        <v>0</v>
      </c>
      <c r="O809" s="100">
        <v>0</v>
      </c>
      <c r="P809" s="98">
        <v>0</v>
      </c>
      <c r="Q809" s="101">
        <f t="shared" si="728"/>
        <v>0</v>
      </c>
      <c r="R809" s="100">
        <v>0</v>
      </c>
      <c r="S809" s="98">
        <v>0</v>
      </c>
      <c r="T809" s="101">
        <f t="shared" si="729"/>
        <v>0</v>
      </c>
      <c r="U809" s="183">
        <v>1</v>
      </c>
      <c r="V809" s="99">
        <v>1</v>
      </c>
      <c r="W809" s="98">
        <v>0</v>
      </c>
      <c r="X809" s="98">
        <v>0</v>
      </c>
      <c r="Y809" s="101">
        <f t="shared" si="732"/>
        <v>0</v>
      </c>
      <c r="Z809" s="101">
        <v>1</v>
      </c>
      <c r="AA809" s="183">
        <v>0</v>
      </c>
      <c r="AB809" s="99">
        <v>1</v>
      </c>
      <c r="AC809" s="98">
        <v>0</v>
      </c>
      <c r="AD809" s="98">
        <v>0</v>
      </c>
      <c r="AE809" s="101">
        <f t="shared" si="730"/>
        <v>0</v>
      </c>
      <c r="AF809" s="100">
        <v>0</v>
      </c>
      <c r="AG809" s="98">
        <v>0</v>
      </c>
      <c r="AH809" s="99">
        <f t="shared" si="731"/>
        <v>0</v>
      </c>
      <c r="AI809" s="101">
        <v>1</v>
      </c>
      <c r="AJ809" s="106"/>
    </row>
    <row r="810" spans="2:36" s="35" customFormat="1" ht="17.100000000000001" customHeight="1">
      <c r="B810" s="105"/>
      <c r="C810" s="54"/>
      <c r="D810" s="96"/>
      <c r="E810" s="111"/>
      <c r="F810" s="112"/>
      <c r="G810" s="113"/>
      <c r="H810" s="183">
        <v>1</v>
      </c>
      <c r="I810" s="98">
        <v>0</v>
      </c>
      <c r="J810" s="98">
        <v>0</v>
      </c>
      <c r="K810" s="101">
        <f t="shared" si="726"/>
        <v>0</v>
      </c>
      <c r="L810" s="100">
        <v>0</v>
      </c>
      <c r="M810" s="98">
        <v>0</v>
      </c>
      <c r="N810" s="101">
        <f t="shared" si="727"/>
        <v>0</v>
      </c>
      <c r="O810" s="100">
        <v>0</v>
      </c>
      <c r="P810" s="98">
        <v>0</v>
      </c>
      <c r="Q810" s="101">
        <f t="shared" si="728"/>
        <v>0</v>
      </c>
      <c r="R810" s="100">
        <v>0</v>
      </c>
      <c r="S810" s="98">
        <v>0</v>
      </c>
      <c r="T810" s="101">
        <f t="shared" si="729"/>
        <v>0</v>
      </c>
      <c r="U810" s="183">
        <v>1</v>
      </c>
      <c r="V810" s="99">
        <v>1</v>
      </c>
      <c r="W810" s="98">
        <v>0</v>
      </c>
      <c r="X810" s="98">
        <v>0</v>
      </c>
      <c r="Y810" s="101">
        <f t="shared" si="732"/>
        <v>0</v>
      </c>
      <c r="Z810" s="101">
        <v>1</v>
      </c>
      <c r="AA810" s="183">
        <v>0</v>
      </c>
      <c r="AB810" s="99">
        <v>1</v>
      </c>
      <c r="AC810" s="98">
        <v>0</v>
      </c>
      <c r="AD810" s="98">
        <v>0</v>
      </c>
      <c r="AE810" s="101">
        <f t="shared" si="730"/>
        <v>0</v>
      </c>
      <c r="AF810" s="100">
        <v>0</v>
      </c>
      <c r="AG810" s="98">
        <v>0</v>
      </c>
      <c r="AH810" s="99">
        <f t="shared" si="731"/>
        <v>0</v>
      </c>
      <c r="AI810" s="101">
        <v>1</v>
      </c>
      <c r="AJ810" s="106"/>
    </row>
    <row r="811" spans="2:36" s="35" customFormat="1" ht="17.100000000000001" customHeight="1">
      <c r="B811" s="105"/>
      <c r="C811" s="54"/>
      <c r="D811" s="96"/>
      <c r="E811" s="111"/>
      <c r="F811" s="112"/>
      <c r="G811" s="113"/>
      <c r="H811" s="183">
        <v>1</v>
      </c>
      <c r="I811" s="98">
        <v>0</v>
      </c>
      <c r="J811" s="98">
        <v>0</v>
      </c>
      <c r="K811" s="101">
        <f t="shared" si="726"/>
        <v>0</v>
      </c>
      <c r="L811" s="100">
        <v>0</v>
      </c>
      <c r="M811" s="98">
        <v>0</v>
      </c>
      <c r="N811" s="101">
        <f t="shared" si="727"/>
        <v>0</v>
      </c>
      <c r="O811" s="100">
        <v>0</v>
      </c>
      <c r="P811" s="98">
        <v>0</v>
      </c>
      <c r="Q811" s="101">
        <f t="shared" si="728"/>
        <v>0</v>
      </c>
      <c r="R811" s="100">
        <v>0</v>
      </c>
      <c r="S811" s="98">
        <v>0</v>
      </c>
      <c r="T811" s="101">
        <f t="shared" si="729"/>
        <v>0</v>
      </c>
      <c r="U811" s="183">
        <v>1</v>
      </c>
      <c r="V811" s="99">
        <v>1</v>
      </c>
      <c r="W811" s="98">
        <v>0</v>
      </c>
      <c r="X811" s="98">
        <v>0</v>
      </c>
      <c r="Y811" s="101">
        <f t="shared" si="732"/>
        <v>0</v>
      </c>
      <c r="Z811" s="101">
        <v>1</v>
      </c>
      <c r="AA811" s="183">
        <v>0</v>
      </c>
      <c r="AB811" s="99">
        <v>1</v>
      </c>
      <c r="AC811" s="98">
        <v>0</v>
      </c>
      <c r="AD811" s="98">
        <v>0</v>
      </c>
      <c r="AE811" s="101">
        <f t="shared" si="730"/>
        <v>0</v>
      </c>
      <c r="AF811" s="100">
        <v>0</v>
      </c>
      <c r="AG811" s="98">
        <v>0</v>
      </c>
      <c r="AH811" s="99">
        <f t="shared" si="731"/>
        <v>0</v>
      </c>
      <c r="AI811" s="101">
        <v>1</v>
      </c>
      <c r="AJ811" s="106"/>
    </row>
    <row r="812" spans="2:36" s="126" customFormat="1" ht="17.100000000000001" customHeight="1">
      <c r="B812" s="118"/>
      <c r="C812" s="119"/>
      <c r="D812" s="120"/>
      <c r="E812" s="121"/>
      <c r="F812" s="122"/>
      <c r="G812" s="123"/>
      <c r="H812" s="183">
        <v>1</v>
      </c>
      <c r="I812" s="363" t="s">
        <v>201</v>
      </c>
      <c r="J812" s="363"/>
      <c r="K812" s="124">
        <f>SUM(K805:K811)</f>
        <v>0</v>
      </c>
      <c r="L812" s="341" t="s">
        <v>201</v>
      </c>
      <c r="M812" s="342"/>
      <c r="N812" s="124">
        <f>SUM(N805:N811)</f>
        <v>0</v>
      </c>
      <c r="O812" s="341" t="s">
        <v>201</v>
      </c>
      <c r="P812" s="342"/>
      <c r="Q812" s="124">
        <f>SUM(Q805:Q811)</f>
        <v>0</v>
      </c>
      <c r="R812" s="341" t="s">
        <v>201</v>
      </c>
      <c r="S812" s="342"/>
      <c r="T812" s="124">
        <f>SUM(T805:T811)</f>
        <v>0</v>
      </c>
      <c r="U812" s="183">
        <v>1</v>
      </c>
      <c r="V812" s="99">
        <v>1</v>
      </c>
      <c r="W812" s="363" t="s">
        <v>201</v>
      </c>
      <c r="X812" s="363"/>
      <c r="Y812" s="124">
        <f>SUM(Y805:Y811)</f>
        <v>150</v>
      </c>
      <c r="Z812" s="101">
        <v>1</v>
      </c>
      <c r="AA812" s="183">
        <v>0</v>
      </c>
      <c r="AB812" s="99">
        <v>1</v>
      </c>
      <c r="AC812" s="363" t="s">
        <v>201</v>
      </c>
      <c r="AD812" s="363"/>
      <c r="AE812" s="124">
        <f>SUM(AE805:AE811)</f>
        <v>0</v>
      </c>
      <c r="AF812" s="364" t="s">
        <v>201</v>
      </c>
      <c r="AG812" s="363"/>
      <c r="AH812" s="143">
        <f>SUM(AH805:AH811)</f>
        <v>0</v>
      </c>
      <c r="AI812" s="101">
        <v>1</v>
      </c>
      <c r="AJ812" s="125"/>
    </row>
    <row r="813" spans="2:36" s="35" customFormat="1" ht="16.95" customHeight="1">
      <c r="B813" s="105"/>
      <c r="C813" s="54">
        <f>'3. Rekap Back Up Non Aspal '!C122</f>
        <v>14200</v>
      </c>
      <c r="D813" s="96">
        <f>'3. Rekap Back Up Non Aspal '!D122</f>
        <v>14300</v>
      </c>
      <c r="E813" s="111">
        <f>'3. Rekap Back Up Non Aspal '!E122</f>
        <v>3</v>
      </c>
      <c r="F813" s="112">
        <f>(100/((D813-C813)*E813))*((K820*0.05)+(N820*0.05)+(Q820*0.05)+(T820)+(Y820)+(AE820*1.5)+(AH820*1))</f>
        <v>25</v>
      </c>
      <c r="G813" s="113" t="str">
        <f>IF(F813&lt;=25,"RB",IF(F813&lt;=75,"RB",IF(F813&lt;=100,"RB","RB")))</f>
        <v>RB</v>
      </c>
      <c r="H813" s="183">
        <v>1</v>
      </c>
      <c r="I813" s="98">
        <v>0</v>
      </c>
      <c r="J813" s="98">
        <v>0</v>
      </c>
      <c r="K813" s="101">
        <f t="shared" ref="K813:K819" si="733">I813*J813</f>
        <v>0</v>
      </c>
      <c r="L813" s="98">
        <v>0</v>
      </c>
      <c r="M813" s="98">
        <v>0</v>
      </c>
      <c r="N813" s="101">
        <f t="shared" ref="N813:N819" si="734">L813*M813</f>
        <v>0</v>
      </c>
      <c r="O813" s="98">
        <v>0</v>
      </c>
      <c r="P813" s="98">
        <v>0</v>
      </c>
      <c r="Q813" s="101">
        <f t="shared" ref="Q813:Q819" si="735">O813*P813</f>
        <v>0</v>
      </c>
      <c r="R813" s="98">
        <v>25</v>
      </c>
      <c r="S813" s="98">
        <v>3</v>
      </c>
      <c r="T813" s="101">
        <f t="shared" ref="T813:T819" si="736">R813*S813</f>
        <v>75</v>
      </c>
      <c r="U813" s="183">
        <v>1</v>
      </c>
      <c r="V813" s="99">
        <v>1</v>
      </c>
      <c r="W813" s="98">
        <v>0</v>
      </c>
      <c r="X813" s="98">
        <v>0</v>
      </c>
      <c r="Y813" s="101">
        <f>W813*X813</f>
        <v>0</v>
      </c>
      <c r="Z813" s="101">
        <v>1</v>
      </c>
      <c r="AA813" s="183">
        <v>0</v>
      </c>
      <c r="AB813" s="99">
        <v>1</v>
      </c>
      <c r="AC813" s="98">
        <v>0</v>
      </c>
      <c r="AD813" s="98">
        <v>0</v>
      </c>
      <c r="AE813" s="101">
        <f t="shared" ref="AE813:AE819" si="737">AC813*AD813</f>
        <v>0</v>
      </c>
      <c r="AF813" s="98">
        <v>0</v>
      </c>
      <c r="AG813" s="98">
        <v>3</v>
      </c>
      <c r="AH813" s="99">
        <f t="shared" ref="AH813:AH819" si="738">AF813*AG813</f>
        <v>0</v>
      </c>
      <c r="AI813" s="101">
        <v>1</v>
      </c>
      <c r="AJ813" s="106"/>
    </row>
    <row r="814" spans="2:36" s="35" customFormat="1" ht="17.100000000000001" customHeight="1">
      <c r="B814" s="105"/>
      <c r="C814" s="54"/>
      <c r="D814" s="96"/>
      <c r="E814" s="111"/>
      <c r="F814" s="112"/>
      <c r="G814" s="113"/>
      <c r="H814" s="183">
        <v>1</v>
      </c>
      <c r="I814" s="98">
        <v>0</v>
      </c>
      <c r="J814" s="98">
        <v>0</v>
      </c>
      <c r="K814" s="101">
        <f t="shared" si="733"/>
        <v>0</v>
      </c>
      <c r="L814" s="100">
        <v>0</v>
      </c>
      <c r="M814" s="98">
        <v>0</v>
      </c>
      <c r="N814" s="101">
        <f t="shared" si="734"/>
        <v>0</v>
      </c>
      <c r="O814" s="100">
        <v>0</v>
      </c>
      <c r="P814" s="98">
        <v>0</v>
      </c>
      <c r="Q814" s="101">
        <f t="shared" si="735"/>
        <v>0</v>
      </c>
      <c r="R814" s="100">
        <v>0</v>
      </c>
      <c r="S814" s="98">
        <v>0</v>
      </c>
      <c r="T814" s="101">
        <f t="shared" si="736"/>
        <v>0</v>
      </c>
      <c r="U814" s="183">
        <v>1</v>
      </c>
      <c r="V814" s="99">
        <v>1</v>
      </c>
      <c r="W814" s="98">
        <v>0</v>
      </c>
      <c r="X814" s="98">
        <v>0</v>
      </c>
      <c r="Y814" s="101">
        <f t="shared" ref="Y814:Y819" si="739">W814*X814</f>
        <v>0</v>
      </c>
      <c r="Z814" s="101">
        <v>1</v>
      </c>
      <c r="AA814" s="183">
        <v>0</v>
      </c>
      <c r="AB814" s="99">
        <v>1</v>
      </c>
      <c r="AC814" s="98">
        <v>0</v>
      </c>
      <c r="AD814" s="98">
        <v>0</v>
      </c>
      <c r="AE814" s="101">
        <f t="shared" si="737"/>
        <v>0</v>
      </c>
      <c r="AF814" s="100">
        <v>0</v>
      </c>
      <c r="AG814" s="98">
        <v>0</v>
      </c>
      <c r="AH814" s="99">
        <f t="shared" si="738"/>
        <v>0</v>
      </c>
      <c r="AI814" s="101">
        <v>1</v>
      </c>
      <c r="AJ814" s="106"/>
    </row>
    <row r="815" spans="2:36" s="35" customFormat="1" ht="17.100000000000001" customHeight="1">
      <c r="B815" s="105"/>
      <c r="C815" s="54"/>
      <c r="D815" s="96"/>
      <c r="E815" s="111"/>
      <c r="F815" s="112"/>
      <c r="G815" s="113"/>
      <c r="H815" s="183">
        <v>1</v>
      </c>
      <c r="I815" s="98">
        <v>0</v>
      </c>
      <c r="J815" s="98">
        <v>0</v>
      </c>
      <c r="K815" s="101">
        <f t="shared" si="733"/>
        <v>0</v>
      </c>
      <c r="L815" s="100">
        <v>0</v>
      </c>
      <c r="M815" s="98">
        <v>0</v>
      </c>
      <c r="N815" s="101">
        <f t="shared" si="734"/>
        <v>0</v>
      </c>
      <c r="O815" s="100">
        <v>0</v>
      </c>
      <c r="P815" s="98">
        <v>0</v>
      </c>
      <c r="Q815" s="101">
        <f t="shared" si="735"/>
        <v>0</v>
      </c>
      <c r="R815" s="100">
        <v>0</v>
      </c>
      <c r="S815" s="98">
        <v>0</v>
      </c>
      <c r="T815" s="101">
        <f t="shared" si="736"/>
        <v>0</v>
      </c>
      <c r="U815" s="183">
        <v>1</v>
      </c>
      <c r="V815" s="99">
        <v>1</v>
      </c>
      <c r="W815" s="98">
        <v>0</v>
      </c>
      <c r="X815" s="98">
        <v>0</v>
      </c>
      <c r="Y815" s="101">
        <f t="shared" si="739"/>
        <v>0</v>
      </c>
      <c r="Z815" s="101">
        <v>1</v>
      </c>
      <c r="AA815" s="183">
        <v>0</v>
      </c>
      <c r="AB815" s="99">
        <v>1</v>
      </c>
      <c r="AC815" s="98">
        <v>0</v>
      </c>
      <c r="AD815" s="98">
        <v>0</v>
      </c>
      <c r="AE815" s="101">
        <f t="shared" si="737"/>
        <v>0</v>
      </c>
      <c r="AF815" s="100">
        <v>0</v>
      </c>
      <c r="AG815" s="98">
        <v>0</v>
      </c>
      <c r="AH815" s="99">
        <f t="shared" si="738"/>
        <v>0</v>
      </c>
      <c r="AI815" s="101">
        <v>1</v>
      </c>
      <c r="AJ815" s="106"/>
    </row>
    <row r="816" spans="2:36" s="35" customFormat="1" ht="17.100000000000001" customHeight="1">
      <c r="B816" s="105"/>
      <c r="C816" s="54"/>
      <c r="D816" s="96"/>
      <c r="E816" s="111"/>
      <c r="F816" s="112"/>
      <c r="G816" s="113"/>
      <c r="H816" s="183">
        <v>1</v>
      </c>
      <c r="I816" s="98">
        <v>0</v>
      </c>
      <c r="J816" s="98">
        <v>0</v>
      </c>
      <c r="K816" s="101">
        <f t="shared" si="733"/>
        <v>0</v>
      </c>
      <c r="L816" s="100">
        <v>0</v>
      </c>
      <c r="M816" s="98">
        <v>0</v>
      </c>
      <c r="N816" s="101">
        <f t="shared" si="734"/>
        <v>0</v>
      </c>
      <c r="O816" s="100">
        <v>0</v>
      </c>
      <c r="P816" s="98">
        <v>0</v>
      </c>
      <c r="Q816" s="101">
        <f t="shared" si="735"/>
        <v>0</v>
      </c>
      <c r="R816" s="100">
        <v>0</v>
      </c>
      <c r="S816" s="98">
        <v>0</v>
      </c>
      <c r="T816" s="101">
        <f t="shared" si="736"/>
        <v>0</v>
      </c>
      <c r="U816" s="183">
        <v>1</v>
      </c>
      <c r="V816" s="99">
        <v>1</v>
      </c>
      <c r="W816" s="98">
        <v>0</v>
      </c>
      <c r="X816" s="98">
        <v>0</v>
      </c>
      <c r="Y816" s="101">
        <f t="shared" si="739"/>
        <v>0</v>
      </c>
      <c r="Z816" s="101">
        <v>1</v>
      </c>
      <c r="AA816" s="183">
        <v>0</v>
      </c>
      <c r="AB816" s="99">
        <v>1</v>
      </c>
      <c r="AC816" s="98">
        <v>0</v>
      </c>
      <c r="AD816" s="98">
        <v>0</v>
      </c>
      <c r="AE816" s="101">
        <f t="shared" si="737"/>
        <v>0</v>
      </c>
      <c r="AF816" s="100">
        <v>0</v>
      </c>
      <c r="AG816" s="98">
        <v>0</v>
      </c>
      <c r="AH816" s="99">
        <f t="shared" si="738"/>
        <v>0</v>
      </c>
      <c r="AI816" s="101">
        <v>1</v>
      </c>
      <c r="AJ816" s="106"/>
    </row>
    <row r="817" spans="2:36" s="35" customFormat="1" ht="17.100000000000001" customHeight="1">
      <c r="B817" s="105"/>
      <c r="C817" s="54"/>
      <c r="D817" s="96"/>
      <c r="E817" s="111"/>
      <c r="F817" s="112"/>
      <c r="G817" s="113"/>
      <c r="H817" s="183">
        <v>1</v>
      </c>
      <c r="I817" s="98">
        <v>0</v>
      </c>
      <c r="J817" s="98">
        <v>0</v>
      </c>
      <c r="K817" s="101">
        <f t="shared" si="733"/>
        <v>0</v>
      </c>
      <c r="L817" s="100">
        <v>0</v>
      </c>
      <c r="M817" s="98">
        <v>0</v>
      </c>
      <c r="N817" s="101">
        <f t="shared" si="734"/>
        <v>0</v>
      </c>
      <c r="O817" s="100">
        <v>0</v>
      </c>
      <c r="P817" s="98">
        <v>0</v>
      </c>
      <c r="Q817" s="101">
        <f t="shared" si="735"/>
        <v>0</v>
      </c>
      <c r="R817" s="100">
        <v>0</v>
      </c>
      <c r="S817" s="98">
        <v>0</v>
      </c>
      <c r="T817" s="101">
        <f t="shared" si="736"/>
        <v>0</v>
      </c>
      <c r="U817" s="183">
        <v>1</v>
      </c>
      <c r="V817" s="99">
        <v>1</v>
      </c>
      <c r="W817" s="98">
        <v>0</v>
      </c>
      <c r="X817" s="98">
        <v>0</v>
      </c>
      <c r="Y817" s="101">
        <f t="shared" si="739"/>
        <v>0</v>
      </c>
      <c r="Z817" s="101">
        <v>1</v>
      </c>
      <c r="AA817" s="183">
        <v>0</v>
      </c>
      <c r="AB817" s="99">
        <v>1</v>
      </c>
      <c r="AC817" s="98">
        <v>0</v>
      </c>
      <c r="AD817" s="98">
        <v>0</v>
      </c>
      <c r="AE817" s="101">
        <f t="shared" si="737"/>
        <v>0</v>
      </c>
      <c r="AF817" s="100">
        <v>0</v>
      </c>
      <c r="AG817" s="98">
        <v>0</v>
      </c>
      <c r="AH817" s="99">
        <f t="shared" si="738"/>
        <v>0</v>
      </c>
      <c r="AI817" s="101">
        <v>1</v>
      </c>
      <c r="AJ817" s="106"/>
    </row>
    <row r="818" spans="2:36" s="35" customFormat="1" ht="17.100000000000001" customHeight="1">
      <c r="B818" s="105"/>
      <c r="C818" s="54"/>
      <c r="D818" s="96"/>
      <c r="E818" s="111"/>
      <c r="F818" s="112"/>
      <c r="G818" s="113"/>
      <c r="H818" s="183">
        <v>1</v>
      </c>
      <c r="I818" s="98">
        <v>0</v>
      </c>
      <c r="J818" s="98">
        <v>0</v>
      </c>
      <c r="K818" s="101">
        <f t="shared" si="733"/>
        <v>0</v>
      </c>
      <c r="L818" s="100">
        <v>0</v>
      </c>
      <c r="M818" s="98">
        <v>0</v>
      </c>
      <c r="N818" s="101">
        <f t="shared" si="734"/>
        <v>0</v>
      </c>
      <c r="O818" s="100">
        <v>0</v>
      </c>
      <c r="P818" s="98">
        <v>0</v>
      </c>
      <c r="Q818" s="101">
        <f t="shared" si="735"/>
        <v>0</v>
      </c>
      <c r="R818" s="100">
        <v>0</v>
      </c>
      <c r="S818" s="98">
        <v>0</v>
      </c>
      <c r="T818" s="101">
        <f t="shared" si="736"/>
        <v>0</v>
      </c>
      <c r="U818" s="183">
        <v>1</v>
      </c>
      <c r="V818" s="99">
        <v>1</v>
      </c>
      <c r="W818" s="98">
        <v>0</v>
      </c>
      <c r="X818" s="98">
        <v>0</v>
      </c>
      <c r="Y818" s="101">
        <f t="shared" si="739"/>
        <v>0</v>
      </c>
      <c r="Z818" s="101">
        <v>1</v>
      </c>
      <c r="AA818" s="183">
        <v>0</v>
      </c>
      <c r="AB818" s="99">
        <v>1</v>
      </c>
      <c r="AC818" s="98">
        <v>0</v>
      </c>
      <c r="AD818" s="98">
        <v>0</v>
      </c>
      <c r="AE818" s="101">
        <f t="shared" si="737"/>
        <v>0</v>
      </c>
      <c r="AF818" s="100">
        <v>0</v>
      </c>
      <c r="AG818" s="98">
        <v>0</v>
      </c>
      <c r="AH818" s="99">
        <f t="shared" si="738"/>
        <v>0</v>
      </c>
      <c r="AI818" s="101">
        <v>1</v>
      </c>
      <c r="AJ818" s="106"/>
    </row>
    <row r="819" spans="2:36" s="35" customFormat="1" ht="17.100000000000001" customHeight="1">
      <c r="B819" s="105"/>
      <c r="C819" s="54"/>
      <c r="D819" s="96"/>
      <c r="E819" s="111"/>
      <c r="F819" s="112"/>
      <c r="G819" s="113"/>
      <c r="H819" s="183">
        <v>1</v>
      </c>
      <c r="I819" s="98">
        <v>0</v>
      </c>
      <c r="J819" s="98">
        <v>0</v>
      </c>
      <c r="K819" s="101">
        <f t="shared" si="733"/>
        <v>0</v>
      </c>
      <c r="L819" s="100">
        <v>0</v>
      </c>
      <c r="M819" s="98">
        <v>0</v>
      </c>
      <c r="N819" s="101">
        <f t="shared" si="734"/>
        <v>0</v>
      </c>
      <c r="O819" s="100">
        <v>0</v>
      </c>
      <c r="P819" s="98">
        <v>0</v>
      </c>
      <c r="Q819" s="101">
        <f t="shared" si="735"/>
        <v>0</v>
      </c>
      <c r="R819" s="100">
        <v>0</v>
      </c>
      <c r="S819" s="98">
        <v>0</v>
      </c>
      <c r="T819" s="101">
        <f t="shared" si="736"/>
        <v>0</v>
      </c>
      <c r="U819" s="183">
        <v>1</v>
      </c>
      <c r="V819" s="99">
        <v>1</v>
      </c>
      <c r="W819" s="98">
        <v>0</v>
      </c>
      <c r="X819" s="98">
        <v>0</v>
      </c>
      <c r="Y819" s="101">
        <f t="shared" si="739"/>
        <v>0</v>
      </c>
      <c r="Z819" s="101">
        <v>1</v>
      </c>
      <c r="AA819" s="183">
        <v>0</v>
      </c>
      <c r="AB819" s="99">
        <v>1</v>
      </c>
      <c r="AC819" s="98">
        <v>0</v>
      </c>
      <c r="AD819" s="98">
        <v>0</v>
      </c>
      <c r="AE819" s="101">
        <f t="shared" si="737"/>
        <v>0</v>
      </c>
      <c r="AF819" s="100">
        <v>0</v>
      </c>
      <c r="AG819" s="98">
        <v>0</v>
      </c>
      <c r="AH819" s="99">
        <f t="shared" si="738"/>
        <v>0</v>
      </c>
      <c r="AI819" s="101">
        <v>1</v>
      </c>
      <c r="AJ819" s="106"/>
    </row>
    <row r="820" spans="2:36" s="126" customFormat="1" ht="17.100000000000001" customHeight="1">
      <c r="B820" s="118"/>
      <c r="C820" s="119"/>
      <c r="D820" s="120"/>
      <c r="E820" s="121"/>
      <c r="F820" s="122"/>
      <c r="G820" s="123"/>
      <c r="H820" s="183">
        <v>1</v>
      </c>
      <c r="I820" s="363" t="s">
        <v>201</v>
      </c>
      <c r="J820" s="363"/>
      <c r="K820" s="124">
        <f>SUM(K813:K819)</f>
        <v>0</v>
      </c>
      <c r="L820" s="341" t="s">
        <v>201</v>
      </c>
      <c r="M820" s="342"/>
      <c r="N820" s="124">
        <f>SUM(N813:N819)</f>
        <v>0</v>
      </c>
      <c r="O820" s="341" t="s">
        <v>201</v>
      </c>
      <c r="P820" s="342"/>
      <c r="Q820" s="124">
        <f>SUM(Q813:Q819)</f>
        <v>0</v>
      </c>
      <c r="R820" s="341" t="s">
        <v>201</v>
      </c>
      <c r="S820" s="342"/>
      <c r="T820" s="124">
        <f>SUM(T813:T819)</f>
        <v>75</v>
      </c>
      <c r="U820" s="183">
        <v>1</v>
      </c>
      <c r="V820" s="99">
        <v>1</v>
      </c>
      <c r="W820" s="363" t="s">
        <v>201</v>
      </c>
      <c r="X820" s="363"/>
      <c r="Y820" s="124">
        <f>SUM(Y813:Y819)</f>
        <v>0</v>
      </c>
      <c r="Z820" s="101">
        <v>1</v>
      </c>
      <c r="AA820" s="183">
        <v>0</v>
      </c>
      <c r="AB820" s="99">
        <v>1</v>
      </c>
      <c r="AC820" s="363" t="s">
        <v>201</v>
      </c>
      <c r="AD820" s="363"/>
      <c r="AE820" s="124">
        <f>SUM(AE813:AE819)</f>
        <v>0</v>
      </c>
      <c r="AF820" s="364" t="s">
        <v>201</v>
      </c>
      <c r="AG820" s="363"/>
      <c r="AH820" s="143">
        <f>SUM(AH813:AH819)</f>
        <v>0</v>
      </c>
      <c r="AI820" s="101">
        <v>1</v>
      </c>
      <c r="AJ820" s="125"/>
    </row>
    <row r="821" spans="2:36" s="35" customFormat="1" ht="16.95" customHeight="1">
      <c r="B821" s="105"/>
      <c r="C821" s="54">
        <f>'3. Rekap Back Up Non Aspal '!C123</f>
        <v>14300</v>
      </c>
      <c r="D821" s="96">
        <f>'3. Rekap Back Up Non Aspal '!D123</f>
        <v>14400</v>
      </c>
      <c r="E821" s="111">
        <f>'3. Rekap Back Up Non Aspal '!E123</f>
        <v>5</v>
      </c>
      <c r="F821" s="112">
        <f>(100/((D821-C821)*E821))*((K828*0.05)+(N828*0.05)+(Q828*0.05)+(T828)+(Y828)+(AE828*1.5)+(AH828*1))</f>
        <v>60</v>
      </c>
      <c r="G821" s="113" t="str">
        <f>IF(F821&lt;=25,"RB",IF(F821&lt;=75,"RB",IF(F821&lt;=100,"RB","RB")))</f>
        <v>RB</v>
      </c>
      <c r="H821" s="183">
        <v>1</v>
      </c>
      <c r="I821" s="98">
        <v>0</v>
      </c>
      <c r="J821" s="98">
        <v>0</v>
      </c>
      <c r="K821" s="101">
        <f t="shared" ref="K821:K827" si="740">I821*J821</f>
        <v>0</v>
      </c>
      <c r="L821" s="98">
        <v>0</v>
      </c>
      <c r="M821" s="98">
        <v>0</v>
      </c>
      <c r="N821" s="101">
        <f t="shared" ref="N821:N827" si="741">L821*M821</f>
        <v>0</v>
      </c>
      <c r="O821" s="98">
        <v>0</v>
      </c>
      <c r="P821" s="98">
        <v>0</v>
      </c>
      <c r="Q821" s="101">
        <f t="shared" ref="Q821:Q827" si="742">O821*P821</f>
        <v>0</v>
      </c>
      <c r="R821" s="98">
        <v>0</v>
      </c>
      <c r="S821" s="98">
        <v>0</v>
      </c>
      <c r="T821" s="101">
        <f t="shared" ref="T821:T827" si="743">R821*S821</f>
        <v>0</v>
      </c>
      <c r="U821" s="183">
        <v>2</v>
      </c>
      <c r="V821" s="99">
        <v>2</v>
      </c>
      <c r="W821" s="98">
        <v>100</v>
      </c>
      <c r="X821" s="98">
        <v>3</v>
      </c>
      <c r="Y821" s="101">
        <f>W821*X821</f>
        <v>300</v>
      </c>
      <c r="Z821" s="101">
        <v>1</v>
      </c>
      <c r="AA821" s="183">
        <v>0</v>
      </c>
      <c r="AB821" s="99">
        <v>1</v>
      </c>
      <c r="AC821" s="98">
        <v>0</v>
      </c>
      <c r="AD821" s="98">
        <v>0</v>
      </c>
      <c r="AE821" s="101">
        <f t="shared" ref="AE821:AE827" si="744">AC821*AD821</f>
        <v>0</v>
      </c>
      <c r="AF821" s="98">
        <v>0</v>
      </c>
      <c r="AG821" s="98">
        <v>3</v>
      </c>
      <c r="AH821" s="99">
        <f t="shared" ref="AH821:AH827" si="745">AF821*AG821</f>
        <v>0</v>
      </c>
      <c r="AI821" s="101">
        <v>1</v>
      </c>
      <c r="AJ821" s="106"/>
    </row>
    <row r="822" spans="2:36" s="35" customFormat="1" ht="17.100000000000001" customHeight="1">
      <c r="B822" s="105"/>
      <c r="C822" s="54"/>
      <c r="D822" s="96"/>
      <c r="E822" s="111"/>
      <c r="F822" s="112"/>
      <c r="G822" s="113"/>
      <c r="H822" s="183">
        <v>1</v>
      </c>
      <c r="I822" s="98">
        <v>0</v>
      </c>
      <c r="J822" s="98">
        <v>0</v>
      </c>
      <c r="K822" s="101">
        <f t="shared" si="740"/>
        <v>0</v>
      </c>
      <c r="L822" s="100">
        <v>0</v>
      </c>
      <c r="M822" s="98">
        <v>0</v>
      </c>
      <c r="N822" s="101">
        <f t="shared" si="741"/>
        <v>0</v>
      </c>
      <c r="O822" s="100">
        <v>0</v>
      </c>
      <c r="P822" s="98">
        <v>0</v>
      </c>
      <c r="Q822" s="101">
        <f t="shared" si="742"/>
        <v>0</v>
      </c>
      <c r="R822" s="100">
        <v>0</v>
      </c>
      <c r="S822" s="98">
        <v>0</v>
      </c>
      <c r="T822" s="101">
        <f t="shared" si="743"/>
        <v>0</v>
      </c>
      <c r="U822" s="183">
        <v>1</v>
      </c>
      <c r="V822" s="99">
        <v>1</v>
      </c>
      <c r="W822" s="98">
        <v>0</v>
      </c>
      <c r="X822" s="98">
        <v>0</v>
      </c>
      <c r="Y822" s="101">
        <f t="shared" ref="Y822:Y827" si="746">W822*X822</f>
        <v>0</v>
      </c>
      <c r="Z822" s="101">
        <v>1</v>
      </c>
      <c r="AA822" s="183">
        <v>0</v>
      </c>
      <c r="AB822" s="99">
        <v>1</v>
      </c>
      <c r="AC822" s="98">
        <v>0</v>
      </c>
      <c r="AD822" s="98">
        <v>0</v>
      </c>
      <c r="AE822" s="101">
        <f t="shared" si="744"/>
        <v>0</v>
      </c>
      <c r="AF822" s="100">
        <v>0</v>
      </c>
      <c r="AG822" s="98">
        <v>0</v>
      </c>
      <c r="AH822" s="99">
        <f t="shared" si="745"/>
        <v>0</v>
      </c>
      <c r="AI822" s="101">
        <v>1</v>
      </c>
      <c r="AJ822" s="106"/>
    </row>
    <row r="823" spans="2:36" s="35" customFormat="1" ht="17.100000000000001" customHeight="1">
      <c r="B823" s="105"/>
      <c r="C823" s="54"/>
      <c r="D823" s="96"/>
      <c r="E823" s="111"/>
      <c r="F823" s="112"/>
      <c r="G823" s="113"/>
      <c r="H823" s="183">
        <v>1</v>
      </c>
      <c r="I823" s="98">
        <v>0</v>
      </c>
      <c r="J823" s="98">
        <v>0</v>
      </c>
      <c r="K823" s="101">
        <f t="shared" si="740"/>
        <v>0</v>
      </c>
      <c r="L823" s="100">
        <v>0</v>
      </c>
      <c r="M823" s="98">
        <v>0</v>
      </c>
      <c r="N823" s="101">
        <f t="shared" si="741"/>
        <v>0</v>
      </c>
      <c r="O823" s="100">
        <v>0</v>
      </c>
      <c r="P823" s="98">
        <v>0</v>
      </c>
      <c r="Q823" s="101">
        <f t="shared" si="742"/>
        <v>0</v>
      </c>
      <c r="R823" s="100">
        <v>0</v>
      </c>
      <c r="S823" s="98">
        <v>0</v>
      </c>
      <c r="T823" s="101">
        <f t="shared" si="743"/>
        <v>0</v>
      </c>
      <c r="U823" s="183">
        <v>1</v>
      </c>
      <c r="V823" s="99">
        <v>1</v>
      </c>
      <c r="W823" s="98">
        <v>0</v>
      </c>
      <c r="X823" s="98">
        <v>0</v>
      </c>
      <c r="Y823" s="101">
        <f t="shared" si="746"/>
        <v>0</v>
      </c>
      <c r="Z823" s="101">
        <v>1</v>
      </c>
      <c r="AA823" s="183">
        <v>0</v>
      </c>
      <c r="AB823" s="99">
        <v>1</v>
      </c>
      <c r="AC823" s="98">
        <v>0</v>
      </c>
      <c r="AD823" s="98">
        <v>0</v>
      </c>
      <c r="AE823" s="101">
        <f t="shared" si="744"/>
        <v>0</v>
      </c>
      <c r="AF823" s="100">
        <v>0</v>
      </c>
      <c r="AG823" s="98">
        <v>0</v>
      </c>
      <c r="AH823" s="99">
        <f t="shared" si="745"/>
        <v>0</v>
      </c>
      <c r="AI823" s="101">
        <v>1</v>
      </c>
      <c r="AJ823" s="106"/>
    </row>
    <row r="824" spans="2:36" s="35" customFormat="1" ht="17.100000000000001" customHeight="1">
      <c r="B824" s="105"/>
      <c r="C824" s="54"/>
      <c r="D824" s="96"/>
      <c r="E824" s="111"/>
      <c r="F824" s="112"/>
      <c r="G824" s="113"/>
      <c r="H824" s="183">
        <v>1</v>
      </c>
      <c r="I824" s="98">
        <v>0</v>
      </c>
      <c r="J824" s="98">
        <v>0</v>
      </c>
      <c r="K824" s="101">
        <f t="shared" si="740"/>
        <v>0</v>
      </c>
      <c r="L824" s="100">
        <v>0</v>
      </c>
      <c r="M824" s="98">
        <v>0</v>
      </c>
      <c r="N824" s="101">
        <f t="shared" si="741"/>
        <v>0</v>
      </c>
      <c r="O824" s="100">
        <v>0</v>
      </c>
      <c r="P824" s="98">
        <v>0</v>
      </c>
      <c r="Q824" s="101">
        <f t="shared" si="742"/>
        <v>0</v>
      </c>
      <c r="R824" s="100">
        <v>0</v>
      </c>
      <c r="S824" s="98">
        <v>0</v>
      </c>
      <c r="T824" s="101">
        <f t="shared" si="743"/>
        <v>0</v>
      </c>
      <c r="U824" s="183">
        <v>1</v>
      </c>
      <c r="V824" s="99">
        <v>1</v>
      </c>
      <c r="W824" s="98">
        <v>0</v>
      </c>
      <c r="X824" s="98">
        <v>0</v>
      </c>
      <c r="Y824" s="101">
        <f t="shared" si="746"/>
        <v>0</v>
      </c>
      <c r="Z824" s="101">
        <v>1</v>
      </c>
      <c r="AA824" s="183">
        <v>0</v>
      </c>
      <c r="AB824" s="99">
        <v>1</v>
      </c>
      <c r="AC824" s="98">
        <v>0</v>
      </c>
      <c r="AD824" s="98">
        <v>0</v>
      </c>
      <c r="AE824" s="101">
        <f t="shared" si="744"/>
        <v>0</v>
      </c>
      <c r="AF824" s="100">
        <v>0</v>
      </c>
      <c r="AG824" s="98">
        <v>0</v>
      </c>
      <c r="AH824" s="99">
        <f t="shared" si="745"/>
        <v>0</v>
      </c>
      <c r="AI824" s="101">
        <v>1</v>
      </c>
      <c r="AJ824" s="106"/>
    </row>
    <row r="825" spans="2:36" s="35" customFormat="1" ht="17.100000000000001" customHeight="1">
      <c r="B825" s="105"/>
      <c r="C825" s="54"/>
      <c r="D825" s="96"/>
      <c r="E825" s="111"/>
      <c r="F825" s="112"/>
      <c r="G825" s="113"/>
      <c r="H825" s="183">
        <v>1</v>
      </c>
      <c r="I825" s="98">
        <v>0</v>
      </c>
      <c r="J825" s="98">
        <v>0</v>
      </c>
      <c r="K825" s="101">
        <f t="shared" si="740"/>
        <v>0</v>
      </c>
      <c r="L825" s="100">
        <v>0</v>
      </c>
      <c r="M825" s="98">
        <v>0</v>
      </c>
      <c r="N825" s="101">
        <f t="shared" si="741"/>
        <v>0</v>
      </c>
      <c r="O825" s="100">
        <v>0</v>
      </c>
      <c r="P825" s="98">
        <v>0</v>
      </c>
      <c r="Q825" s="101">
        <f t="shared" si="742"/>
        <v>0</v>
      </c>
      <c r="R825" s="100">
        <v>0</v>
      </c>
      <c r="S825" s="98">
        <v>0</v>
      </c>
      <c r="T825" s="101">
        <f t="shared" si="743"/>
        <v>0</v>
      </c>
      <c r="U825" s="183">
        <v>1</v>
      </c>
      <c r="V825" s="99">
        <v>1</v>
      </c>
      <c r="W825" s="98">
        <v>0</v>
      </c>
      <c r="X825" s="98">
        <v>0</v>
      </c>
      <c r="Y825" s="101">
        <f t="shared" si="746"/>
        <v>0</v>
      </c>
      <c r="Z825" s="101">
        <v>1</v>
      </c>
      <c r="AA825" s="183">
        <v>0</v>
      </c>
      <c r="AB825" s="99">
        <v>1</v>
      </c>
      <c r="AC825" s="98">
        <v>0</v>
      </c>
      <c r="AD825" s="98">
        <v>0</v>
      </c>
      <c r="AE825" s="101">
        <f t="shared" si="744"/>
        <v>0</v>
      </c>
      <c r="AF825" s="100">
        <v>0</v>
      </c>
      <c r="AG825" s="98">
        <v>0</v>
      </c>
      <c r="AH825" s="99">
        <f t="shared" si="745"/>
        <v>0</v>
      </c>
      <c r="AI825" s="101">
        <v>1</v>
      </c>
      <c r="AJ825" s="106"/>
    </row>
    <row r="826" spans="2:36" s="35" customFormat="1" ht="17.100000000000001" customHeight="1">
      <c r="B826" s="105"/>
      <c r="C826" s="54"/>
      <c r="D826" s="96"/>
      <c r="E826" s="111"/>
      <c r="F826" s="112"/>
      <c r="G826" s="113"/>
      <c r="H826" s="183">
        <v>1</v>
      </c>
      <c r="I826" s="98">
        <v>0</v>
      </c>
      <c r="J826" s="98">
        <v>0</v>
      </c>
      <c r="K826" s="101">
        <f t="shared" si="740"/>
        <v>0</v>
      </c>
      <c r="L826" s="100">
        <v>0</v>
      </c>
      <c r="M826" s="98">
        <v>0</v>
      </c>
      <c r="N826" s="101">
        <f t="shared" si="741"/>
        <v>0</v>
      </c>
      <c r="O826" s="100">
        <v>0</v>
      </c>
      <c r="P826" s="98">
        <v>0</v>
      </c>
      <c r="Q826" s="101">
        <f t="shared" si="742"/>
        <v>0</v>
      </c>
      <c r="R826" s="100">
        <v>0</v>
      </c>
      <c r="S826" s="98">
        <v>0</v>
      </c>
      <c r="T826" s="101">
        <f t="shared" si="743"/>
        <v>0</v>
      </c>
      <c r="U826" s="183">
        <v>1</v>
      </c>
      <c r="V826" s="99">
        <v>1</v>
      </c>
      <c r="W826" s="98">
        <v>0</v>
      </c>
      <c r="X826" s="98">
        <v>0</v>
      </c>
      <c r="Y826" s="101">
        <f t="shared" si="746"/>
        <v>0</v>
      </c>
      <c r="Z826" s="101">
        <v>1</v>
      </c>
      <c r="AA826" s="183">
        <v>0</v>
      </c>
      <c r="AB826" s="99">
        <v>1</v>
      </c>
      <c r="AC826" s="98">
        <v>0</v>
      </c>
      <c r="AD826" s="98">
        <v>0</v>
      </c>
      <c r="AE826" s="101">
        <f t="shared" si="744"/>
        <v>0</v>
      </c>
      <c r="AF826" s="100">
        <v>0</v>
      </c>
      <c r="AG826" s="98">
        <v>0</v>
      </c>
      <c r="AH826" s="99">
        <f t="shared" si="745"/>
        <v>0</v>
      </c>
      <c r="AI826" s="101">
        <v>1</v>
      </c>
      <c r="AJ826" s="106"/>
    </row>
    <row r="827" spans="2:36" s="35" customFormat="1" ht="17.100000000000001" customHeight="1">
      <c r="B827" s="105"/>
      <c r="C827" s="54"/>
      <c r="D827" s="96"/>
      <c r="E827" s="111"/>
      <c r="F827" s="112"/>
      <c r="G827" s="113"/>
      <c r="H827" s="183">
        <v>1</v>
      </c>
      <c r="I827" s="98">
        <v>0</v>
      </c>
      <c r="J827" s="98">
        <v>0</v>
      </c>
      <c r="K827" s="101">
        <f t="shared" si="740"/>
        <v>0</v>
      </c>
      <c r="L827" s="100">
        <v>0</v>
      </c>
      <c r="M827" s="98">
        <v>0</v>
      </c>
      <c r="N827" s="101">
        <f t="shared" si="741"/>
        <v>0</v>
      </c>
      <c r="O827" s="100">
        <v>0</v>
      </c>
      <c r="P827" s="98">
        <v>0</v>
      </c>
      <c r="Q827" s="101">
        <f t="shared" si="742"/>
        <v>0</v>
      </c>
      <c r="R827" s="100">
        <v>0</v>
      </c>
      <c r="S827" s="98">
        <v>0</v>
      </c>
      <c r="T827" s="101">
        <f t="shared" si="743"/>
        <v>0</v>
      </c>
      <c r="U827" s="183">
        <v>1</v>
      </c>
      <c r="V827" s="99">
        <v>1</v>
      </c>
      <c r="W827" s="98">
        <v>0</v>
      </c>
      <c r="X827" s="98">
        <v>0</v>
      </c>
      <c r="Y827" s="101">
        <f t="shared" si="746"/>
        <v>0</v>
      </c>
      <c r="Z827" s="101">
        <v>1</v>
      </c>
      <c r="AA827" s="183">
        <v>0</v>
      </c>
      <c r="AB827" s="99">
        <v>1</v>
      </c>
      <c r="AC827" s="98">
        <v>0</v>
      </c>
      <c r="AD827" s="98">
        <v>0</v>
      </c>
      <c r="AE827" s="101">
        <f t="shared" si="744"/>
        <v>0</v>
      </c>
      <c r="AF827" s="100">
        <v>0</v>
      </c>
      <c r="AG827" s="98">
        <v>0</v>
      </c>
      <c r="AH827" s="99">
        <f t="shared" si="745"/>
        <v>0</v>
      </c>
      <c r="AI827" s="101">
        <v>1</v>
      </c>
      <c r="AJ827" s="106"/>
    </row>
    <row r="828" spans="2:36" s="126" customFormat="1" ht="17.100000000000001" customHeight="1">
      <c r="B828" s="118"/>
      <c r="C828" s="119"/>
      <c r="D828" s="120"/>
      <c r="E828" s="121"/>
      <c r="F828" s="122"/>
      <c r="G828" s="123"/>
      <c r="H828" s="183">
        <v>1</v>
      </c>
      <c r="I828" s="363" t="s">
        <v>201</v>
      </c>
      <c r="J828" s="363"/>
      <c r="K828" s="124">
        <f>SUM(K821:K827)</f>
        <v>0</v>
      </c>
      <c r="L828" s="341" t="s">
        <v>201</v>
      </c>
      <c r="M828" s="342"/>
      <c r="N828" s="124">
        <f>SUM(N821:N827)</f>
        <v>0</v>
      </c>
      <c r="O828" s="341" t="s">
        <v>201</v>
      </c>
      <c r="P828" s="342"/>
      <c r="Q828" s="124">
        <f>SUM(Q821:Q827)</f>
        <v>0</v>
      </c>
      <c r="R828" s="341" t="s">
        <v>201</v>
      </c>
      <c r="S828" s="342"/>
      <c r="T828" s="124">
        <f>SUM(T821:T827)</f>
        <v>0</v>
      </c>
      <c r="U828" s="183">
        <v>1</v>
      </c>
      <c r="V828" s="99">
        <v>1</v>
      </c>
      <c r="W828" s="363" t="s">
        <v>201</v>
      </c>
      <c r="X828" s="363"/>
      <c r="Y828" s="124">
        <f>SUM(Y821:Y827)</f>
        <v>300</v>
      </c>
      <c r="Z828" s="101">
        <v>1</v>
      </c>
      <c r="AA828" s="183">
        <v>0</v>
      </c>
      <c r="AB828" s="99">
        <v>1</v>
      </c>
      <c r="AC828" s="363" t="s">
        <v>201</v>
      </c>
      <c r="AD828" s="363"/>
      <c r="AE828" s="124">
        <f>SUM(AE821:AE827)</f>
        <v>0</v>
      </c>
      <c r="AF828" s="364" t="s">
        <v>201</v>
      </c>
      <c r="AG828" s="363"/>
      <c r="AH828" s="143">
        <f>SUM(AH821:AH827)</f>
        <v>0</v>
      </c>
      <c r="AI828" s="101">
        <v>1</v>
      </c>
      <c r="AJ828" s="125"/>
    </row>
    <row r="829" spans="2:36" s="35" customFormat="1" ht="16.95" customHeight="1">
      <c r="B829" s="248"/>
      <c r="C829" s="249">
        <f>'3. Rekap Back Up Non Aspal '!C124</f>
        <v>14400</v>
      </c>
      <c r="D829" s="250">
        <f>'3. Rekap Back Up Non Aspal '!D124</f>
        <v>14500</v>
      </c>
      <c r="E829" s="251">
        <f>'3. Rekap Back Up Non Aspal '!E124</f>
        <v>5</v>
      </c>
      <c r="F829" s="112">
        <f>(100/((D829-C829)*E829))*((K836*0.05)+(N836*0.05)+(Q836*0.05)+(T836)+(Y836)+(AE836*1.5)+(AH836*1))</f>
        <v>60</v>
      </c>
      <c r="G829" s="113" t="str">
        <f>IF(F829&lt;=25,"RB",IF(F829&lt;=75,"RB",IF(F829&lt;=100,"RB","RB")))</f>
        <v>RB</v>
      </c>
      <c r="H829" s="183">
        <v>1</v>
      </c>
      <c r="I829" s="98">
        <v>0</v>
      </c>
      <c r="J829" s="98">
        <v>0</v>
      </c>
      <c r="K829" s="101">
        <f t="shared" ref="K829:K835" si="747">I829*J829</f>
        <v>0</v>
      </c>
      <c r="L829" s="98">
        <v>0</v>
      </c>
      <c r="M829" s="98">
        <v>0</v>
      </c>
      <c r="N829" s="101">
        <f t="shared" ref="N829:N835" si="748">L829*M829</f>
        <v>0</v>
      </c>
      <c r="O829" s="98">
        <v>0</v>
      </c>
      <c r="P829" s="98">
        <v>0</v>
      </c>
      <c r="Q829" s="101">
        <f t="shared" ref="Q829:Q835" si="749">O829*P829</f>
        <v>0</v>
      </c>
      <c r="R829" s="98">
        <v>0</v>
      </c>
      <c r="S829" s="98">
        <v>0</v>
      </c>
      <c r="T829" s="101">
        <f t="shared" ref="T829:T835" si="750">R829*S829</f>
        <v>0</v>
      </c>
      <c r="U829" s="183">
        <v>2</v>
      </c>
      <c r="V829" s="99">
        <v>2</v>
      </c>
      <c r="W829" s="98">
        <v>100</v>
      </c>
      <c r="X829" s="98">
        <v>3</v>
      </c>
      <c r="Y829" s="101">
        <f>W829*X829</f>
        <v>300</v>
      </c>
      <c r="Z829" s="101">
        <v>1</v>
      </c>
      <c r="AA829" s="183">
        <v>0</v>
      </c>
      <c r="AB829" s="99">
        <v>1</v>
      </c>
      <c r="AC829" s="98">
        <v>0</v>
      </c>
      <c r="AD829" s="98">
        <v>0</v>
      </c>
      <c r="AE829" s="101">
        <f t="shared" ref="AE829:AE835" si="751">AC829*AD829</f>
        <v>0</v>
      </c>
      <c r="AF829" s="98">
        <v>0</v>
      </c>
      <c r="AG829" s="98">
        <v>3</v>
      </c>
      <c r="AH829" s="99">
        <f t="shared" ref="AH829:AH835" si="752">AF829*AG829</f>
        <v>0</v>
      </c>
      <c r="AI829" s="101">
        <v>1</v>
      </c>
      <c r="AJ829" s="106"/>
    </row>
    <row r="830" spans="2:36" s="35" customFormat="1" ht="17.100000000000001" customHeight="1">
      <c r="B830" s="105"/>
      <c r="C830" s="54"/>
      <c r="D830" s="96"/>
      <c r="E830" s="111"/>
      <c r="F830" s="112"/>
      <c r="G830" s="113"/>
      <c r="H830" s="183">
        <v>1</v>
      </c>
      <c r="I830" s="98">
        <v>0</v>
      </c>
      <c r="J830" s="98">
        <v>0</v>
      </c>
      <c r="K830" s="101">
        <f t="shared" si="747"/>
        <v>0</v>
      </c>
      <c r="L830" s="100">
        <v>0</v>
      </c>
      <c r="M830" s="98">
        <v>0</v>
      </c>
      <c r="N830" s="101">
        <f t="shared" si="748"/>
        <v>0</v>
      </c>
      <c r="O830" s="100">
        <v>0</v>
      </c>
      <c r="P830" s="98">
        <v>0</v>
      </c>
      <c r="Q830" s="101">
        <f t="shared" si="749"/>
        <v>0</v>
      </c>
      <c r="R830" s="100">
        <v>0</v>
      </c>
      <c r="S830" s="98">
        <v>0</v>
      </c>
      <c r="T830" s="101">
        <f t="shared" si="750"/>
        <v>0</v>
      </c>
      <c r="U830" s="183">
        <v>1</v>
      </c>
      <c r="V830" s="99">
        <v>1</v>
      </c>
      <c r="W830" s="98">
        <v>0</v>
      </c>
      <c r="X830" s="98">
        <v>0</v>
      </c>
      <c r="Y830" s="101">
        <f t="shared" ref="Y830:Y835" si="753">W830*X830</f>
        <v>0</v>
      </c>
      <c r="Z830" s="101">
        <v>1</v>
      </c>
      <c r="AA830" s="183">
        <v>0</v>
      </c>
      <c r="AB830" s="99">
        <v>1</v>
      </c>
      <c r="AC830" s="98">
        <v>0</v>
      </c>
      <c r="AD830" s="98">
        <v>0</v>
      </c>
      <c r="AE830" s="101">
        <f t="shared" si="751"/>
        <v>0</v>
      </c>
      <c r="AF830" s="100">
        <v>0</v>
      </c>
      <c r="AG830" s="98">
        <v>0</v>
      </c>
      <c r="AH830" s="99">
        <f t="shared" si="752"/>
        <v>0</v>
      </c>
      <c r="AI830" s="101">
        <v>1</v>
      </c>
      <c r="AJ830" s="106"/>
    </row>
    <row r="831" spans="2:36" s="35" customFormat="1" ht="17.100000000000001" customHeight="1">
      <c r="B831" s="105"/>
      <c r="C831" s="54"/>
      <c r="D831" s="96"/>
      <c r="E831" s="111"/>
      <c r="F831" s="112"/>
      <c r="G831" s="113"/>
      <c r="H831" s="183">
        <v>1</v>
      </c>
      <c r="I831" s="98">
        <v>0</v>
      </c>
      <c r="J831" s="98">
        <v>0</v>
      </c>
      <c r="K831" s="101">
        <f t="shared" si="747"/>
        <v>0</v>
      </c>
      <c r="L831" s="100">
        <v>0</v>
      </c>
      <c r="M831" s="98">
        <v>0</v>
      </c>
      <c r="N831" s="101">
        <f t="shared" si="748"/>
        <v>0</v>
      </c>
      <c r="O831" s="100">
        <v>0</v>
      </c>
      <c r="P831" s="98">
        <v>0</v>
      </c>
      <c r="Q831" s="101">
        <f t="shared" si="749"/>
        <v>0</v>
      </c>
      <c r="R831" s="100">
        <v>0</v>
      </c>
      <c r="S831" s="98">
        <v>0</v>
      </c>
      <c r="T831" s="101">
        <f t="shared" si="750"/>
        <v>0</v>
      </c>
      <c r="U831" s="183">
        <v>1</v>
      </c>
      <c r="V831" s="99">
        <v>1</v>
      </c>
      <c r="W831" s="98">
        <v>0</v>
      </c>
      <c r="X831" s="98">
        <v>0</v>
      </c>
      <c r="Y831" s="101">
        <f t="shared" si="753"/>
        <v>0</v>
      </c>
      <c r="Z831" s="101">
        <v>1</v>
      </c>
      <c r="AA831" s="183">
        <v>0</v>
      </c>
      <c r="AB831" s="99">
        <v>1</v>
      </c>
      <c r="AC831" s="98">
        <v>0</v>
      </c>
      <c r="AD831" s="98">
        <v>0</v>
      </c>
      <c r="AE831" s="101">
        <f t="shared" si="751"/>
        <v>0</v>
      </c>
      <c r="AF831" s="100">
        <v>0</v>
      </c>
      <c r="AG831" s="98">
        <v>0</v>
      </c>
      <c r="AH831" s="99">
        <f t="shared" si="752"/>
        <v>0</v>
      </c>
      <c r="AI831" s="101">
        <v>1</v>
      </c>
      <c r="AJ831" s="106"/>
    </row>
    <row r="832" spans="2:36" s="35" customFormat="1" ht="17.100000000000001" customHeight="1">
      <c r="B832" s="105"/>
      <c r="C832" s="54"/>
      <c r="D832" s="96"/>
      <c r="E832" s="111"/>
      <c r="F832" s="112"/>
      <c r="G832" s="113"/>
      <c r="H832" s="183">
        <v>1</v>
      </c>
      <c r="I832" s="98">
        <v>0</v>
      </c>
      <c r="J832" s="98">
        <v>0</v>
      </c>
      <c r="K832" s="101">
        <f t="shared" si="747"/>
        <v>0</v>
      </c>
      <c r="L832" s="100">
        <v>0</v>
      </c>
      <c r="M832" s="98">
        <v>0</v>
      </c>
      <c r="N832" s="101">
        <f t="shared" si="748"/>
        <v>0</v>
      </c>
      <c r="O832" s="100">
        <v>0</v>
      </c>
      <c r="P832" s="98">
        <v>0</v>
      </c>
      <c r="Q832" s="101">
        <f t="shared" si="749"/>
        <v>0</v>
      </c>
      <c r="R832" s="100">
        <v>0</v>
      </c>
      <c r="S832" s="98">
        <v>0</v>
      </c>
      <c r="T832" s="101">
        <f t="shared" si="750"/>
        <v>0</v>
      </c>
      <c r="U832" s="183">
        <v>1</v>
      </c>
      <c r="V832" s="99">
        <v>1</v>
      </c>
      <c r="W832" s="98">
        <v>0</v>
      </c>
      <c r="X832" s="98">
        <v>0</v>
      </c>
      <c r="Y832" s="101">
        <f t="shared" si="753"/>
        <v>0</v>
      </c>
      <c r="Z832" s="101">
        <v>1</v>
      </c>
      <c r="AA832" s="183">
        <v>0</v>
      </c>
      <c r="AB832" s="99">
        <v>1</v>
      </c>
      <c r="AC832" s="98">
        <v>0</v>
      </c>
      <c r="AD832" s="98">
        <v>0</v>
      </c>
      <c r="AE832" s="101">
        <f t="shared" si="751"/>
        <v>0</v>
      </c>
      <c r="AF832" s="100">
        <v>0</v>
      </c>
      <c r="AG832" s="98">
        <v>0</v>
      </c>
      <c r="AH832" s="99">
        <f t="shared" si="752"/>
        <v>0</v>
      </c>
      <c r="AI832" s="101">
        <v>1</v>
      </c>
      <c r="AJ832" s="106"/>
    </row>
    <row r="833" spans="2:36" s="35" customFormat="1" ht="17.100000000000001" customHeight="1">
      <c r="B833" s="105"/>
      <c r="C833" s="54"/>
      <c r="D833" s="96"/>
      <c r="E833" s="111"/>
      <c r="F833" s="112"/>
      <c r="G833" s="113"/>
      <c r="H833" s="183">
        <v>1</v>
      </c>
      <c r="I833" s="98">
        <v>0</v>
      </c>
      <c r="J833" s="98">
        <v>0</v>
      </c>
      <c r="K833" s="101">
        <f t="shared" si="747"/>
        <v>0</v>
      </c>
      <c r="L833" s="100">
        <v>0</v>
      </c>
      <c r="M833" s="98">
        <v>0</v>
      </c>
      <c r="N833" s="101">
        <f t="shared" si="748"/>
        <v>0</v>
      </c>
      <c r="O833" s="100">
        <v>0</v>
      </c>
      <c r="P833" s="98">
        <v>0</v>
      </c>
      <c r="Q833" s="101">
        <f t="shared" si="749"/>
        <v>0</v>
      </c>
      <c r="R833" s="100">
        <v>0</v>
      </c>
      <c r="S833" s="98">
        <v>0</v>
      </c>
      <c r="T833" s="101">
        <f t="shared" si="750"/>
        <v>0</v>
      </c>
      <c r="U833" s="183">
        <v>1</v>
      </c>
      <c r="V833" s="99">
        <v>1</v>
      </c>
      <c r="W833" s="98">
        <v>0</v>
      </c>
      <c r="X833" s="98">
        <v>0</v>
      </c>
      <c r="Y833" s="101">
        <f t="shared" si="753"/>
        <v>0</v>
      </c>
      <c r="Z833" s="101">
        <v>1</v>
      </c>
      <c r="AA833" s="183">
        <v>0</v>
      </c>
      <c r="AB833" s="99">
        <v>1</v>
      </c>
      <c r="AC833" s="98">
        <v>0</v>
      </c>
      <c r="AD833" s="98">
        <v>0</v>
      </c>
      <c r="AE833" s="101">
        <f t="shared" si="751"/>
        <v>0</v>
      </c>
      <c r="AF833" s="100">
        <v>0</v>
      </c>
      <c r="AG833" s="98">
        <v>0</v>
      </c>
      <c r="AH833" s="99">
        <f t="shared" si="752"/>
        <v>0</v>
      </c>
      <c r="AI833" s="101">
        <v>1</v>
      </c>
      <c r="AJ833" s="106"/>
    </row>
    <row r="834" spans="2:36" s="35" customFormat="1" ht="17.100000000000001" customHeight="1">
      <c r="B834" s="105"/>
      <c r="C834" s="54"/>
      <c r="D834" s="96"/>
      <c r="E834" s="111"/>
      <c r="F834" s="112"/>
      <c r="G834" s="113"/>
      <c r="H834" s="183">
        <v>1</v>
      </c>
      <c r="I834" s="98">
        <v>0</v>
      </c>
      <c r="J834" s="98">
        <v>0</v>
      </c>
      <c r="K834" s="101">
        <f t="shared" si="747"/>
        <v>0</v>
      </c>
      <c r="L834" s="100">
        <v>0</v>
      </c>
      <c r="M834" s="98">
        <v>0</v>
      </c>
      <c r="N834" s="101">
        <f t="shared" si="748"/>
        <v>0</v>
      </c>
      <c r="O834" s="100">
        <v>0</v>
      </c>
      <c r="P834" s="98">
        <v>0</v>
      </c>
      <c r="Q834" s="101">
        <f t="shared" si="749"/>
        <v>0</v>
      </c>
      <c r="R834" s="100">
        <v>0</v>
      </c>
      <c r="S834" s="98">
        <v>0</v>
      </c>
      <c r="T834" s="101">
        <f t="shared" si="750"/>
        <v>0</v>
      </c>
      <c r="U834" s="183">
        <v>1</v>
      </c>
      <c r="V834" s="99">
        <v>1</v>
      </c>
      <c r="W834" s="98">
        <v>0</v>
      </c>
      <c r="X834" s="98">
        <v>0</v>
      </c>
      <c r="Y834" s="101">
        <f t="shared" si="753"/>
        <v>0</v>
      </c>
      <c r="Z834" s="101">
        <v>1</v>
      </c>
      <c r="AA834" s="183">
        <v>0</v>
      </c>
      <c r="AB834" s="99">
        <v>1</v>
      </c>
      <c r="AC834" s="98">
        <v>0</v>
      </c>
      <c r="AD834" s="98">
        <v>0</v>
      </c>
      <c r="AE834" s="101">
        <f t="shared" si="751"/>
        <v>0</v>
      </c>
      <c r="AF834" s="100">
        <v>0</v>
      </c>
      <c r="AG834" s="98">
        <v>0</v>
      </c>
      <c r="AH834" s="99">
        <f t="shared" si="752"/>
        <v>0</v>
      </c>
      <c r="AI834" s="101">
        <v>1</v>
      </c>
      <c r="AJ834" s="106"/>
    </row>
    <row r="835" spans="2:36" s="35" customFormat="1" ht="17.100000000000001" customHeight="1">
      <c r="B835" s="105"/>
      <c r="C835" s="54"/>
      <c r="D835" s="96"/>
      <c r="E835" s="111"/>
      <c r="F835" s="112"/>
      <c r="G835" s="113"/>
      <c r="H835" s="183">
        <v>1</v>
      </c>
      <c r="I835" s="98">
        <v>0</v>
      </c>
      <c r="J835" s="98">
        <v>0</v>
      </c>
      <c r="K835" s="101">
        <f t="shared" si="747"/>
        <v>0</v>
      </c>
      <c r="L835" s="100">
        <v>0</v>
      </c>
      <c r="M835" s="98">
        <v>0</v>
      </c>
      <c r="N835" s="101">
        <f t="shared" si="748"/>
        <v>0</v>
      </c>
      <c r="O835" s="100">
        <v>0</v>
      </c>
      <c r="P835" s="98">
        <v>0</v>
      </c>
      <c r="Q835" s="101">
        <f t="shared" si="749"/>
        <v>0</v>
      </c>
      <c r="R835" s="100">
        <v>0</v>
      </c>
      <c r="S835" s="98">
        <v>0</v>
      </c>
      <c r="T835" s="101">
        <f t="shared" si="750"/>
        <v>0</v>
      </c>
      <c r="U835" s="183">
        <v>1</v>
      </c>
      <c r="V835" s="99">
        <v>1</v>
      </c>
      <c r="W835" s="98">
        <v>0</v>
      </c>
      <c r="X835" s="98">
        <v>0</v>
      </c>
      <c r="Y835" s="101">
        <f t="shared" si="753"/>
        <v>0</v>
      </c>
      <c r="Z835" s="101">
        <v>1</v>
      </c>
      <c r="AA835" s="183">
        <v>0</v>
      </c>
      <c r="AB835" s="99">
        <v>1</v>
      </c>
      <c r="AC835" s="98">
        <v>0</v>
      </c>
      <c r="AD835" s="98">
        <v>0</v>
      </c>
      <c r="AE835" s="101">
        <f t="shared" si="751"/>
        <v>0</v>
      </c>
      <c r="AF835" s="100">
        <v>0</v>
      </c>
      <c r="AG835" s="98">
        <v>0</v>
      </c>
      <c r="AH835" s="99">
        <f t="shared" si="752"/>
        <v>0</v>
      </c>
      <c r="AI835" s="101">
        <v>1</v>
      </c>
      <c r="AJ835" s="106"/>
    </row>
    <row r="836" spans="2:36" s="126" customFormat="1" ht="17.100000000000001" customHeight="1">
      <c r="B836" s="118"/>
      <c r="C836" s="119"/>
      <c r="D836" s="120"/>
      <c r="E836" s="121"/>
      <c r="F836" s="122"/>
      <c r="G836" s="123"/>
      <c r="H836" s="183">
        <v>1</v>
      </c>
      <c r="I836" s="363" t="s">
        <v>201</v>
      </c>
      <c r="J836" s="363"/>
      <c r="K836" s="124">
        <f>SUM(K829:K835)</f>
        <v>0</v>
      </c>
      <c r="L836" s="341" t="s">
        <v>201</v>
      </c>
      <c r="M836" s="342"/>
      <c r="N836" s="124">
        <f>SUM(N829:N835)</f>
        <v>0</v>
      </c>
      <c r="O836" s="341" t="s">
        <v>201</v>
      </c>
      <c r="P836" s="342"/>
      <c r="Q836" s="124">
        <f>SUM(Q829:Q835)</f>
        <v>0</v>
      </c>
      <c r="R836" s="341" t="s">
        <v>201</v>
      </c>
      <c r="S836" s="342"/>
      <c r="T836" s="124">
        <f>SUM(T829:T835)</f>
        <v>0</v>
      </c>
      <c r="U836" s="183">
        <v>1</v>
      </c>
      <c r="V836" s="99">
        <v>1</v>
      </c>
      <c r="W836" s="363" t="s">
        <v>201</v>
      </c>
      <c r="X836" s="363"/>
      <c r="Y836" s="124">
        <f>SUM(Y829:Y835)</f>
        <v>300</v>
      </c>
      <c r="Z836" s="101">
        <v>1</v>
      </c>
      <c r="AA836" s="183">
        <v>0</v>
      </c>
      <c r="AB836" s="99">
        <v>1</v>
      </c>
      <c r="AC836" s="363" t="s">
        <v>201</v>
      </c>
      <c r="AD836" s="363"/>
      <c r="AE836" s="124">
        <f>SUM(AE829:AE835)</f>
        <v>0</v>
      </c>
      <c r="AF836" s="364" t="s">
        <v>201</v>
      </c>
      <c r="AG836" s="363"/>
      <c r="AH836" s="143">
        <f>SUM(AH829:AH835)</f>
        <v>0</v>
      </c>
      <c r="AI836" s="101">
        <v>1</v>
      </c>
      <c r="AJ836" s="125"/>
    </row>
    <row r="837" spans="2:36" s="35" customFormat="1" ht="16.95" customHeight="1">
      <c r="B837" s="105"/>
      <c r="C837" s="54"/>
      <c r="D837" s="96"/>
      <c r="E837" s="111"/>
      <c r="F837" s="112"/>
      <c r="G837" s="113"/>
      <c r="H837" s="183"/>
      <c r="I837" s="98"/>
      <c r="J837" s="98"/>
      <c r="K837" s="101"/>
      <c r="L837" s="98"/>
      <c r="M837" s="98"/>
      <c r="N837" s="101"/>
      <c r="O837" s="98"/>
      <c r="P837" s="98"/>
      <c r="Q837" s="101"/>
      <c r="R837" s="98"/>
      <c r="S837" s="98"/>
      <c r="T837" s="101"/>
      <c r="U837" s="183"/>
      <c r="V837" s="99"/>
      <c r="W837" s="98"/>
      <c r="X837" s="98"/>
      <c r="Y837" s="101"/>
      <c r="Z837" s="101"/>
      <c r="AA837" s="183"/>
      <c r="AB837" s="99"/>
      <c r="AC837" s="98"/>
      <c r="AD837" s="98"/>
      <c r="AE837" s="101"/>
      <c r="AF837" s="98"/>
      <c r="AG837" s="98"/>
      <c r="AH837" s="99"/>
      <c r="AI837" s="101"/>
      <c r="AJ837" s="106"/>
    </row>
    <row r="838" spans="2:36" s="35" customFormat="1" ht="17.100000000000001" customHeight="1">
      <c r="B838" s="105"/>
      <c r="C838" s="54"/>
      <c r="D838" s="96"/>
      <c r="E838" s="111"/>
      <c r="F838" s="112"/>
      <c r="G838" s="113"/>
      <c r="H838" s="183"/>
      <c r="I838" s="98"/>
      <c r="J838" s="98"/>
      <c r="K838" s="101"/>
      <c r="L838" s="100"/>
      <c r="M838" s="98"/>
      <c r="N838" s="101"/>
      <c r="O838" s="100"/>
      <c r="P838" s="98"/>
      <c r="Q838" s="101"/>
      <c r="R838" s="100"/>
      <c r="S838" s="98"/>
      <c r="T838" s="101"/>
      <c r="U838" s="183"/>
      <c r="V838" s="99"/>
      <c r="W838" s="98"/>
      <c r="X838" s="98"/>
      <c r="Y838" s="101"/>
      <c r="Z838" s="101"/>
      <c r="AA838" s="183"/>
      <c r="AB838" s="99"/>
      <c r="AC838" s="98"/>
      <c r="AD838" s="98"/>
      <c r="AE838" s="101"/>
      <c r="AF838" s="100"/>
      <c r="AG838" s="98"/>
      <c r="AH838" s="99"/>
      <c r="AI838" s="101"/>
      <c r="AJ838" s="106"/>
    </row>
    <row r="839" spans="2:36" s="35" customFormat="1" ht="17.100000000000001" customHeight="1">
      <c r="B839" s="105"/>
      <c r="C839" s="54"/>
      <c r="D839" s="96"/>
      <c r="E839" s="111"/>
      <c r="F839" s="112"/>
      <c r="G839" s="113"/>
      <c r="H839" s="183"/>
      <c r="I839" s="98"/>
      <c r="J839" s="98"/>
      <c r="K839" s="101"/>
      <c r="L839" s="100"/>
      <c r="M839" s="98"/>
      <c r="N839" s="101"/>
      <c r="O839" s="100"/>
      <c r="P839" s="98"/>
      <c r="Q839" s="101"/>
      <c r="R839" s="100"/>
      <c r="S839" s="98"/>
      <c r="T839" s="101"/>
      <c r="U839" s="183"/>
      <c r="V839" s="99"/>
      <c r="W839" s="98"/>
      <c r="X839" s="98"/>
      <c r="Y839" s="101"/>
      <c r="Z839" s="101"/>
      <c r="AA839" s="183"/>
      <c r="AB839" s="99"/>
      <c r="AC839" s="98"/>
      <c r="AD839" s="98"/>
      <c r="AE839" s="101"/>
      <c r="AF839" s="100"/>
      <c r="AG839" s="98"/>
      <c r="AH839" s="99"/>
      <c r="AI839" s="101"/>
      <c r="AJ839" s="106"/>
    </row>
    <row r="840" spans="2:36" s="35" customFormat="1" ht="17.100000000000001" customHeight="1">
      <c r="B840" s="105"/>
      <c r="C840" s="54"/>
      <c r="D840" s="96"/>
      <c r="E840" s="111"/>
      <c r="F840" s="112"/>
      <c r="G840" s="113"/>
      <c r="H840" s="183"/>
      <c r="I840" s="98"/>
      <c r="J840" s="98"/>
      <c r="K840" s="101"/>
      <c r="L840" s="100"/>
      <c r="M840" s="98"/>
      <c r="N840" s="101"/>
      <c r="O840" s="100"/>
      <c r="P840" s="98"/>
      <c r="Q840" s="101"/>
      <c r="R840" s="100"/>
      <c r="S840" s="98"/>
      <c r="T840" s="101"/>
      <c r="U840" s="183"/>
      <c r="V840" s="99"/>
      <c r="W840" s="98"/>
      <c r="X840" s="98"/>
      <c r="Y840" s="101"/>
      <c r="Z840" s="101"/>
      <c r="AA840" s="183"/>
      <c r="AB840" s="99"/>
      <c r="AC840" s="98"/>
      <c r="AD840" s="98"/>
      <c r="AE840" s="101"/>
      <c r="AF840" s="100"/>
      <c r="AG840" s="98"/>
      <c r="AH840" s="99"/>
      <c r="AI840" s="101"/>
      <c r="AJ840" s="106"/>
    </row>
    <row r="841" spans="2:36" s="35" customFormat="1" ht="17.100000000000001" customHeight="1">
      <c r="B841" s="105"/>
      <c r="C841" s="54"/>
      <c r="D841" s="96"/>
      <c r="E841" s="111"/>
      <c r="F841" s="112"/>
      <c r="G841" s="113"/>
      <c r="H841" s="183"/>
      <c r="I841" s="98"/>
      <c r="J841" s="98"/>
      <c r="K841" s="101"/>
      <c r="L841" s="100"/>
      <c r="M841" s="98"/>
      <c r="N841" s="101"/>
      <c r="O841" s="100"/>
      <c r="P841" s="98"/>
      <c r="Q841" s="101"/>
      <c r="R841" s="100"/>
      <c r="S841" s="98"/>
      <c r="T841" s="101"/>
      <c r="U841" s="183"/>
      <c r="V841" s="99"/>
      <c r="W841" s="98"/>
      <c r="X841" s="98"/>
      <c r="Y841" s="101"/>
      <c r="Z841" s="101"/>
      <c r="AA841" s="183"/>
      <c r="AB841" s="99"/>
      <c r="AC841" s="98"/>
      <c r="AD841" s="98"/>
      <c r="AE841" s="101"/>
      <c r="AF841" s="100"/>
      <c r="AG841" s="98"/>
      <c r="AH841" s="99"/>
      <c r="AI841" s="101"/>
      <c r="AJ841" s="106"/>
    </row>
    <row r="842" spans="2:36" s="35" customFormat="1" ht="17.100000000000001" customHeight="1">
      <c r="B842" s="105"/>
      <c r="C842" s="54"/>
      <c r="D842" s="96"/>
      <c r="E842" s="111"/>
      <c r="F842" s="112"/>
      <c r="G842" s="113"/>
      <c r="H842" s="183"/>
      <c r="I842" s="98"/>
      <c r="J842" s="98"/>
      <c r="K842" s="101"/>
      <c r="L842" s="100"/>
      <c r="M842" s="98"/>
      <c r="N842" s="101"/>
      <c r="O842" s="100"/>
      <c r="P842" s="98"/>
      <c r="Q842" s="101"/>
      <c r="R842" s="100"/>
      <c r="S842" s="98"/>
      <c r="T842" s="101"/>
      <c r="U842" s="183"/>
      <c r="V842" s="99"/>
      <c r="W842" s="98"/>
      <c r="X842" s="98"/>
      <c r="Y842" s="101"/>
      <c r="Z842" s="101"/>
      <c r="AA842" s="183"/>
      <c r="AB842" s="99"/>
      <c r="AC842" s="98"/>
      <c r="AD842" s="98"/>
      <c r="AE842" s="101"/>
      <c r="AF842" s="100"/>
      <c r="AG842" s="98"/>
      <c r="AH842" s="99"/>
      <c r="AI842" s="101"/>
      <c r="AJ842" s="106"/>
    </row>
    <row r="843" spans="2:36" s="35" customFormat="1" ht="17.100000000000001" customHeight="1">
      <c r="B843" s="105"/>
      <c r="C843" s="54"/>
      <c r="D843" s="96"/>
      <c r="E843" s="111"/>
      <c r="F843" s="112"/>
      <c r="G843" s="113"/>
      <c r="H843" s="183"/>
      <c r="I843" s="98"/>
      <c r="J843" s="98"/>
      <c r="K843" s="101"/>
      <c r="L843" s="100"/>
      <c r="M843" s="98"/>
      <c r="N843" s="101"/>
      <c r="O843" s="100"/>
      <c r="P843" s="98"/>
      <c r="Q843" s="101"/>
      <c r="R843" s="100"/>
      <c r="S843" s="98"/>
      <c r="T843" s="101"/>
      <c r="U843" s="183"/>
      <c r="V843" s="99"/>
      <c r="W843" s="98"/>
      <c r="X843" s="98"/>
      <c r="Y843" s="101"/>
      <c r="Z843" s="101"/>
      <c r="AA843" s="183"/>
      <c r="AB843" s="99"/>
      <c r="AC843" s="98"/>
      <c r="AD843" s="98"/>
      <c r="AE843" s="101"/>
      <c r="AF843" s="100"/>
      <c r="AG843" s="98"/>
      <c r="AH843" s="99"/>
      <c r="AI843" s="101"/>
      <c r="AJ843" s="106"/>
    </row>
    <row r="844" spans="2:36" s="126" customFormat="1" ht="17.100000000000001" customHeight="1">
      <c r="B844" s="118"/>
      <c r="C844" s="119"/>
      <c r="D844" s="120"/>
      <c r="E844" s="121"/>
      <c r="F844" s="122"/>
      <c r="G844" s="123"/>
      <c r="H844" s="183"/>
      <c r="I844" s="363"/>
      <c r="J844" s="363"/>
      <c r="K844" s="124"/>
      <c r="L844" s="341"/>
      <c r="M844" s="342"/>
      <c r="N844" s="124"/>
      <c r="O844" s="341"/>
      <c r="P844" s="342"/>
      <c r="Q844" s="124"/>
      <c r="R844" s="341"/>
      <c r="S844" s="342"/>
      <c r="T844" s="124"/>
      <c r="U844" s="183"/>
      <c r="V844" s="99"/>
      <c r="W844" s="363"/>
      <c r="X844" s="363"/>
      <c r="Y844" s="124"/>
      <c r="Z844" s="101"/>
      <c r="AA844" s="183"/>
      <c r="AB844" s="99"/>
      <c r="AC844" s="363"/>
      <c r="AD844" s="363"/>
      <c r="AE844" s="124"/>
      <c r="AF844" s="364"/>
      <c r="AG844" s="363"/>
      <c r="AH844" s="143"/>
      <c r="AI844" s="101"/>
      <c r="AJ844" s="125"/>
    </row>
    <row r="845" spans="2:36" s="35" customFormat="1" ht="16.95" customHeight="1">
      <c r="B845" s="105"/>
      <c r="C845" s="54"/>
      <c r="D845" s="96"/>
      <c r="E845" s="111"/>
      <c r="F845" s="112"/>
      <c r="G845" s="113"/>
      <c r="H845" s="183"/>
      <c r="I845" s="98"/>
      <c r="J845" s="98"/>
      <c r="K845" s="101"/>
      <c r="L845" s="98"/>
      <c r="M845" s="98"/>
      <c r="N845" s="101"/>
      <c r="O845" s="98"/>
      <c r="P845" s="98"/>
      <c r="Q845" s="101"/>
      <c r="R845" s="98"/>
      <c r="S845" s="98"/>
      <c r="T845" s="101"/>
      <c r="U845" s="183"/>
      <c r="V845" s="99"/>
      <c r="W845" s="98"/>
      <c r="X845" s="98"/>
      <c r="Y845" s="101"/>
      <c r="Z845" s="101"/>
      <c r="AA845" s="183"/>
      <c r="AB845" s="99"/>
      <c r="AC845" s="98"/>
      <c r="AD845" s="98"/>
      <c r="AE845" s="101"/>
      <c r="AF845" s="98"/>
      <c r="AG845" s="98"/>
      <c r="AH845" s="99"/>
      <c r="AI845" s="101"/>
      <c r="AJ845" s="106"/>
    </row>
    <row r="846" spans="2:36" s="35" customFormat="1" ht="17.100000000000001" customHeight="1">
      <c r="B846" s="105"/>
      <c r="C846" s="54"/>
      <c r="D846" s="96"/>
      <c r="E846" s="111"/>
      <c r="F846" s="112"/>
      <c r="G846" s="113"/>
      <c r="H846" s="183"/>
      <c r="I846" s="98"/>
      <c r="J846" s="98"/>
      <c r="K846" s="101"/>
      <c r="L846" s="100"/>
      <c r="M846" s="98"/>
      <c r="N846" s="101"/>
      <c r="O846" s="100"/>
      <c r="P846" s="98"/>
      <c r="Q846" s="101"/>
      <c r="R846" s="100"/>
      <c r="S846" s="98"/>
      <c r="T846" s="101"/>
      <c r="U846" s="183"/>
      <c r="V846" s="99"/>
      <c r="W846" s="98"/>
      <c r="X846" s="98"/>
      <c r="Y846" s="101"/>
      <c r="Z846" s="101"/>
      <c r="AA846" s="183"/>
      <c r="AB846" s="99"/>
      <c r="AC846" s="98"/>
      <c r="AD846" s="98"/>
      <c r="AE846" s="101"/>
      <c r="AF846" s="100"/>
      <c r="AG846" s="98"/>
      <c r="AH846" s="99"/>
      <c r="AI846" s="101"/>
      <c r="AJ846" s="106"/>
    </row>
    <row r="847" spans="2:36" s="35" customFormat="1" ht="17.100000000000001" customHeight="1">
      <c r="B847" s="105"/>
      <c r="C847" s="54"/>
      <c r="D847" s="96"/>
      <c r="E847" s="111"/>
      <c r="F847" s="112"/>
      <c r="G847" s="113"/>
      <c r="H847" s="183"/>
      <c r="I847" s="98"/>
      <c r="J847" s="98"/>
      <c r="K847" s="101"/>
      <c r="L847" s="100"/>
      <c r="M847" s="98"/>
      <c r="N847" s="101"/>
      <c r="O847" s="100"/>
      <c r="P847" s="98"/>
      <c r="Q847" s="101"/>
      <c r="R847" s="100"/>
      <c r="S847" s="98"/>
      <c r="T847" s="101"/>
      <c r="U847" s="183"/>
      <c r="V847" s="99"/>
      <c r="W847" s="98"/>
      <c r="X847" s="98"/>
      <c r="Y847" s="101"/>
      <c r="Z847" s="101"/>
      <c r="AA847" s="183"/>
      <c r="AB847" s="99"/>
      <c r="AC847" s="98"/>
      <c r="AD847" s="98"/>
      <c r="AE847" s="101"/>
      <c r="AF847" s="100"/>
      <c r="AG847" s="98"/>
      <c r="AH847" s="99"/>
      <c r="AI847" s="101"/>
      <c r="AJ847" s="106"/>
    </row>
    <row r="848" spans="2:36" s="35" customFormat="1" ht="17.100000000000001" customHeight="1">
      <c r="B848" s="105"/>
      <c r="C848" s="54"/>
      <c r="D848" s="96"/>
      <c r="E848" s="111"/>
      <c r="F848" s="112"/>
      <c r="G848" s="113"/>
      <c r="H848" s="183"/>
      <c r="I848" s="98"/>
      <c r="J848" s="98"/>
      <c r="K848" s="101"/>
      <c r="L848" s="100"/>
      <c r="M848" s="98"/>
      <c r="N848" s="101"/>
      <c r="O848" s="100"/>
      <c r="P848" s="98"/>
      <c r="Q848" s="101"/>
      <c r="R848" s="100"/>
      <c r="S848" s="98"/>
      <c r="T848" s="101"/>
      <c r="U848" s="183"/>
      <c r="V848" s="99"/>
      <c r="W848" s="98"/>
      <c r="X848" s="98"/>
      <c r="Y848" s="101"/>
      <c r="Z848" s="101"/>
      <c r="AA848" s="183"/>
      <c r="AB848" s="99"/>
      <c r="AC848" s="98"/>
      <c r="AD848" s="98"/>
      <c r="AE848" s="101"/>
      <c r="AF848" s="100"/>
      <c r="AG848" s="98"/>
      <c r="AH848" s="99"/>
      <c r="AI848" s="101"/>
      <c r="AJ848" s="106"/>
    </row>
    <row r="849" spans="2:36" s="35" customFormat="1" ht="17.100000000000001" customHeight="1">
      <c r="B849" s="105"/>
      <c r="C849" s="54"/>
      <c r="D849" s="96"/>
      <c r="E849" s="111"/>
      <c r="F849" s="112"/>
      <c r="G849" s="113"/>
      <c r="H849" s="183"/>
      <c r="I849" s="98"/>
      <c r="J849" s="98"/>
      <c r="K849" s="101"/>
      <c r="L849" s="100"/>
      <c r="M849" s="98"/>
      <c r="N849" s="101"/>
      <c r="O849" s="100"/>
      <c r="P849" s="98"/>
      <c r="Q849" s="101"/>
      <c r="R849" s="100"/>
      <c r="S849" s="98"/>
      <c r="T849" s="101"/>
      <c r="U849" s="183"/>
      <c r="V849" s="99"/>
      <c r="W849" s="98"/>
      <c r="X849" s="98"/>
      <c r="Y849" s="101"/>
      <c r="Z849" s="101"/>
      <c r="AA849" s="183"/>
      <c r="AB849" s="99"/>
      <c r="AC849" s="98"/>
      <c r="AD849" s="98"/>
      <c r="AE849" s="101"/>
      <c r="AF849" s="100"/>
      <c r="AG849" s="98"/>
      <c r="AH849" s="99"/>
      <c r="AI849" s="101"/>
      <c r="AJ849" s="106"/>
    </row>
    <row r="850" spans="2:36" s="35" customFormat="1" ht="17.100000000000001" customHeight="1">
      <c r="B850" s="105"/>
      <c r="C850" s="54"/>
      <c r="D850" s="96"/>
      <c r="E850" s="111"/>
      <c r="F850" s="112"/>
      <c r="G850" s="113"/>
      <c r="H850" s="183"/>
      <c r="I850" s="98"/>
      <c r="J850" s="98"/>
      <c r="K850" s="101"/>
      <c r="L850" s="100"/>
      <c r="M850" s="98"/>
      <c r="N850" s="101"/>
      <c r="O850" s="100"/>
      <c r="P850" s="98"/>
      <c r="Q850" s="101"/>
      <c r="R850" s="100"/>
      <c r="S850" s="98"/>
      <c r="T850" s="101"/>
      <c r="U850" s="183"/>
      <c r="V850" s="99"/>
      <c r="W850" s="98"/>
      <c r="X850" s="98"/>
      <c r="Y850" s="101"/>
      <c r="Z850" s="101"/>
      <c r="AA850" s="183"/>
      <c r="AB850" s="99"/>
      <c r="AC850" s="98"/>
      <c r="AD850" s="98"/>
      <c r="AE850" s="101"/>
      <c r="AF850" s="100"/>
      <c r="AG850" s="98"/>
      <c r="AH850" s="99"/>
      <c r="AI850" s="101"/>
      <c r="AJ850" s="106"/>
    </row>
    <row r="851" spans="2:36" s="35" customFormat="1" ht="17.100000000000001" customHeight="1">
      <c r="B851" s="105"/>
      <c r="C851" s="54"/>
      <c r="D851" s="96"/>
      <c r="E851" s="111"/>
      <c r="F851" s="112"/>
      <c r="G851" s="113"/>
      <c r="H851" s="183"/>
      <c r="I851" s="98"/>
      <c r="J851" s="98"/>
      <c r="K851" s="101"/>
      <c r="L851" s="100"/>
      <c r="M851" s="98"/>
      <c r="N851" s="101"/>
      <c r="O851" s="100"/>
      <c r="P851" s="98"/>
      <c r="Q851" s="101"/>
      <c r="R851" s="100"/>
      <c r="S851" s="98"/>
      <c r="T851" s="101"/>
      <c r="U851" s="183"/>
      <c r="V851" s="99"/>
      <c r="W851" s="98"/>
      <c r="X851" s="98"/>
      <c r="Y851" s="101"/>
      <c r="Z851" s="101"/>
      <c r="AA851" s="183"/>
      <c r="AB851" s="99"/>
      <c r="AC851" s="98"/>
      <c r="AD851" s="98"/>
      <c r="AE851" s="101"/>
      <c r="AF851" s="100"/>
      <c r="AG851" s="98"/>
      <c r="AH851" s="99"/>
      <c r="AI851" s="101"/>
      <c r="AJ851" s="106"/>
    </row>
    <row r="852" spans="2:36" s="126" customFormat="1" ht="17.100000000000001" customHeight="1">
      <c r="B852" s="118"/>
      <c r="C852" s="119"/>
      <c r="D852" s="120"/>
      <c r="E852" s="121"/>
      <c r="F852" s="122"/>
      <c r="G852" s="123"/>
      <c r="H852" s="183"/>
      <c r="I852" s="363"/>
      <c r="J852" s="363"/>
      <c r="K852" s="124"/>
      <c r="L852" s="341"/>
      <c r="M852" s="342"/>
      <c r="N852" s="124"/>
      <c r="O852" s="341"/>
      <c r="P852" s="342"/>
      <c r="Q852" s="124"/>
      <c r="R852" s="341"/>
      <c r="S852" s="342"/>
      <c r="T852" s="124"/>
      <c r="U852" s="183"/>
      <c r="V852" s="99"/>
      <c r="W852" s="363"/>
      <c r="X852" s="363"/>
      <c r="Y852" s="124"/>
      <c r="Z852" s="101"/>
      <c r="AA852" s="183"/>
      <c r="AB852" s="99"/>
      <c r="AC852" s="363"/>
      <c r="AD852" s="363"/>
      <c r="AE852" s="124"/>
      <c r="AF852" s="364"/>
      <c r="AG852" s="363"/>
      <c r="AH852" s="143"/>
      <c r="AI852" s="101"/>
      <c r="AJ852" s="125"/>
    </row>
    <row r="853" spans="2:36" s="35" customFormat="1" ht="16.95" customHeight="1">
      <c r="B853" s="105"/>
      <c r="C853" s="54"/>
      <c r="D853" s="96"/>
      <c r="E853" s="111"/>
      <c r="F853" s="112"/>
      <c r="G853" s="113"/>
      <c r="H853" s="183"/>
      <c r="I853" s="98"/>
      <c r="J853" s="98"/>
      <c r="K853" s="101"/>
      <c r="L853" s="98"/>
      <c r="M853" s="98"/>
      <c r="N853" s="101"/>
      <c r="O853" s="98"/>
      <c r="P853" s="98"/>
      <c r="Q853" s="101"/>
      <c r="R853" s="98"/>
      <c r="S853" s="98"/>
      <c r="T853" s="101"/>
      <c r="U853" s="183"/>
      <c r="V853" s="99"/>
      <c r="W853" s="98"/>
      <c r="X853" s="98"/>
      <c r="Y853" s="101"/>
      <c r="Z853" s="101"/>
      <c r="AA853" s="183"/>
      <c r="AB853" s="99"/>
      <c r="AC853" s="98"/>
      <c r="AD853" s="98"/>
      <c r="AE853" s="101"/>
      <c r="AF853" s="98"/>
      <c r="AG853" s="98"/>
      <c r="AH853" s="99"/>
      <c r="AI853" s="101"/>
      <c r="AJ853" s="106"/>
    </row>
    <row r="854" spans="2:36" s="35" customFormat="1" ht="17.100000000000001" customHeight="1">
      <c r="B854" s="105"/>
      <c r="C854" s="54"/>
      <c r="D854" s="96"/>
      <c r="E854" s="111"/>
      <c r="F854" s="112"/>
      <c r="G854" s="113"/>
      <c r="H854" s="183"/>
      <c r="I854" s="98"/>
      <c r="J854" s="98"/>
      <c r="K854" s="101"/>
      <c r="L854" s="100"/>
      <c r="M854" s="98"/>
      <c r="N854" s="101"/>
      <c r="O854" s="100"/>
      <c r="P854" s="98"/>
      <c r="Q854" s="101"/>
      <c r="R854" s="100"/>
      <c r="S854" s="98"/>
      <c r="T854" s="101"/>
      <c r="U854" s="183"/>
      <c r="V854" s="99"/>
      <c r="W854" s="98"/>
      <c r="X854" s="98"/>
      <c r="Y854" s="101"/>
      <c r="Z854" s="101"/>
      <c r="AA854" s="183"/>
      <c r="AB854" s="99"/>
      <c r="AC854" s="98"/>
      <c r="AD854" s="98"/>
      <c r="AE854" s="101"/>
      <c r="AF854" s="100"/>
      <c r="AG854" s="98"/>
      <c r="AH854" s="99"/>
      <c r="AI854" s="101"/>
      <c r="AJ854" s="106"/>
    </row>
    <row r="855" spans="2:36" s="35" customFormat="1" ht="17.100000000000001" customHeight="1">
      <c r="B855" s="105"/>
      <c r="C855" s="54"/>
      <c r="D855" s="96"/>
      <c r="E855" s="111"/>
      <c r="F855" s="112"/>
      <c r="G855" s="113"/>
      <c r="H855" s="183"/>
      <c r="I855" s="98"/>
      <c r="J855" s="98"/>
      <c r="K855" s="101"/>
      <c r="L855" s="100"/>
      <c r="M855" s="98"/>
      <c r="N855" s="101"/>
      <c r="O855" s="100"/>
      <c r="P855" s="98"/>
      <c r="Q855" s="101"/>
      <c r="R855" s="100"/>
      <c r="S855" s="98"/>
      <c r="T855" s="101"/>
      <c r="U855" s="183"/>
      <c r="V855" s="99"/>
      <c r="W855" s="98"/>
      <c r="X855" s="98"/>
      <c r="Y855" s="101"/>
      <c r="Z855" s="101"/>
      <c r="AA855" s="183"/>
      <c r="AB855" s="99"/>
      <c r="AC855" s="98"/>
      <c r="AD855" s="98"/>
      <c r="AE855" s="101"/>
      <c r="AF855" s="100"/>
      <c r="AG855" s="98"/>
      <c r="AH855" s="99"/>
      <c r="AI855" s="101"/>
      <c r="AJ855" s="106"/>
    </row>
    <row r="856" spans="2:36" s="35" customFormat="1" ht="17.100000000000001" customHeight="1">
      <c r="B856" s="105"/>
      <c r="C856" s="54"/>
      <c r="D856" s="96"/>
      <c r="E856" s="111"/>
      <c r="F856" s="112"/>
      <c r="G856" s="113"/>
      <c r="H856" s="183"/>
      <c r="I856" s="98"/>
      <c r="J856" s="98"/>
      <c r="K856" s="101"/>
      <c r="L856" s="100"/>
      <c r="M856" s="98"/>
      <c r="N856" s="101"/>
      <c r="O856" s="100"/>
      <c r="P856" s="98"/>
      <c r="Q856" s="101"/>
      <c r="R856" s="100"/>
      <c r="S856" s="98"/>
      <c r="T856" s="101"/>
      <c r="U856" s="183"/>
      <c r="V856" s="99"/>
      <c r="W856" s="98"/>
      <c r="X856" s="98"/>
      <c r="Y856" s="101"/>
      <c r="Z856" s="101"/>
      <c r="AA856" s="183"/>
      <c r="AB856" s="99"/>
      <c r="AC856" s="98"/>
      <c r="AD856" s="98"/>
      <c r="AE856" s="101"/>
      <c r="AF856" s="100"/>
      <c r="AG856" s="98"/>
      <c r="AH856" s="99"/>
      <c r="AI856" s="101"/>
      <c r="AJ856" s="106"/>
    </row>
    <row r="857" spans="2:36" s="35" customFormat="1" ht="17.100000000000001" customHeight="1">
      <c r="B857" s="105"/>
      <c r="C857" s="54"/>
      <c r="D857" s="96"/>
      <c r="E857" s="111"/>
      <c r="F857" s="112"/>
      <c r="G857" s="113"/>
      <c r="H857" s="183"/>
      <c r="I857" s="98"/>
      <c r="J857" s="98"/>
      <c r="K857" s="101"/>
      <c r="L857" s="100"/>
      <c r="M857" s="98"/>
      <c r="N857" s="101"/>
      <c r="O857" s="100"/>
      <c r="P857" s="98"/>
      <c r="Q857" s="101"/>
      <c r="R857" s="100"/>
      <c r="S857" s="98"/>
      <c r="T857" s="101"/>
      <c r="U857" s="183"/>
      <c r="V857" s="99"/>
      <c r="W857" s="98"/>
      <c r="X857" s="98"/>
      <c r="Y857" s="101"/>
      <c r="Z857" s="101"/>
      <c r="AA857" s="183"/>
      <c r="AB857" s="99"/>
      <c r="AC857" s="98"/>
      <c r="AD857" s="98"/>
      <c r="AE857" s="101"/>
      <c r="AF857" s="100"/>
      <c r="AG857" s="98"/>
      <c r="AH857" s="99"/>
      <c r="AI857" s="101"/>
      <c r="AJ857" s="106"/>
    </row>
    <row r="858" spans="2:36" s="35" customFormat="1" ht="17.100000000000001" customHeight="1">
      <c r="B858" s="105"/>
      <c r="C858" s="54"/>
      <c r="D858" s="96"/>
      <c r="E858" s="111"/>
      <c r="F858" s="112"/>
      <c r="G858" s="113"/>
      <c r="H858" s="183"/>
      <c r="I858" s="98"/>
      <c r="J858" s="98"/>
      <c r="K858" s="101"/>
      <c r="L858" s="100"/>
      <c r="M858" s="98"/>
      <c r="N858" s="101"/>
      <c r="O858" s="100"/>
      <c r="P858" s="98"/>
      <c r="Q858" s="101"/>
      <c r="R858" s="100"/>
      <c r="S858" s="98"/>
      <c r="T858" s="101"/>
      <c r="U858" s="183"/>
      <c r="V858" s="99"/>
      <c r="W858" s="98"/>
      <c r="X858" s="98"/>
      <c r="Y858" s="101"/>
      <c r="Z858" s="101"/>
      <c r="AA858" s="183"/>
      <c r="AB858" s="99"/>
      <c r="AC858" s="98"/>
      <c r="AD858" s="98"/>
      <c r="AE858" s="101"/>
      <c r="AF858" s="100"/>
      <c r="AG858" s="98"/>
      <c r="AH858" s="99"/>
      <c r="AI858" s="101"/>
      <c r="AJ858" s="106"/>
    </row>
    <row r="859" spans="2:36" s="35" customFormat="1" ht="17.100000000000001" customHeight="1">
      <c r="B859" s="105"/>
      <c r="C859" s="54"/>
      <c r="D859" s="96"/>
      <c r="E859" s="111"/>
      <c r="F859" s="112"/>
      <c r="G859" s="113"/>
      <c r="H859" s="183"/>
      <c r="I859" s="98"/>
      <c r="J859" s="98"/>
      <c r="K859" s="101"/>
      <c r="L859" s="100"/>
      <c r="M859" s="98"/>
      <c r="N859" s="101"/>
      <c r="O859" s="100"/>
      <c r="P859" s="98"/>
      <c r="Q859" s="101"/>
      <c r="R859" s="100"/>
      <c r="S859" s="98"/>
      <c r="T859" s="101"/>
      <c r="U859" s="183"/>
      <c r="V859" s="99"/>
      <c r="W859" s="98"/>
      <c r="X859" s="98"/>
      <c r="Y859" s="101"/>
      <c r="Z859" s="101"/>
      <c r="AA859" s="183"/>
      <c r="AB859" s="99"/>
      <c r="AC859" s="98"/>
      <c r="AD859" s="98"/>
      <c r="AE859" s="101"/>
      <c r="AF859" s="100"/>
      <c r="AG859" s="98"/>
      <c r="AH859" s="99"/>
      <c r="AI859" s="101"/>
      <c r="AJ859" s="106"/>
    </row>
    <row r="860" spans="2:36" s="126" customFormat="1" ht="17.100000000000001" customHeight="1" thickBot="1">
      <c r="B860" s="128"/>
      <c r="C860" s="154"/>
      <c r="D860" s="155"/>
      <c r="E860" s="156"/>
      <c r="F860" s="129"/>
      <c r="G860" s="130"/>
      <c r="H860" s="184"/>
      <c r="I860" s="361"/>
      <c r="J860" s="361"/>
      <c r="K860" s="131"/>
      <c r="L860" s="344"/>
      <c r="M860" s="345"/>
      <c r="N860" s="131"/>
      <c r="O860" s="344"/>
      <c r="P860" s="345"/>
      <c r="Q860" s="131"/>
      <c r="R860" s="344"/>
      <c r="S860" s="345"/>
      <c r="T860" s="131"/>
      <c r="U860" s="184"/>
      <c r="V860" s="160"/>
      <c r="W860" s="361"/>
      <c r="X860" s="361"/>
      <c r="Y860" s="131"/>
      <c r="Z860" s="133"/>
      <c r="AA860" s="184"/>
      <c r="AB860" s="160"/>
      <c r="AC860" s="361"/>
      <c r="AD860" s="361"/>
      <c r="AE860" s="131"/>
      <c r="AF860" s="362"/>
      <c r="AG860" s="361"/>
      <c r="AH860" s="144"/>
      <c r="AI860" s="133"/>
      <c r="AJ860" s="134"/>
    </row>
    <row r="861" spans="2:36" s="35" customFormat="1" ht="16.95" customHeight="1">
      <c r="B861" s="114"/>
      <c r="C861" s="157"/>
      <c r="D861" s="158"/>
      <c r="E861" s="159"/>
      <c r="F861" s="115"/>
      <c r="G861" s="116"/>
      <c r="H861" s="185"/>
      <c r="I861" s="136"/>
      <c r="J861" s="136"/>
      <c r="K861" s="137"/>
      <c r="L861" s="136"/>
      <c r="M861" s="136"/>
      <c r="N861" s="137"/>
      <c r="O861" s="136"/>
      <c r="P861" s="136"/>
      <c r="Q861" s="137"/>
      <c r="R861" s="136"/>
      <c r="S861" s="136"/>
      <c r="T861" s="137"/>
      <c r="U861" s="185"/>
      <c r="V861" s="138"/>
      <c r="W861" s="136"/>
      <c r="X861" s="136"/>
      <c r="Y861" s="137"/>
      <c r="Z861" s="137"/>
      <c r="AA861" s="185"/>
      <c r="AB861" s="138"/>
      <c r="AC861" s="136"/>
      <c r="AD861" s="136"/>
      <c r="AE861" s="137"/>
      <c r="AF861" s="136"/>
      <c r="AG861" s="136"/>
      <c r="AH861" s="138"/>
      <c r="AI861" s="137"/>
      <c r="AJ861" s="139"/>
    </row>
    <row r="862" spans="2:36" s="35" customFormat="1" ht="17.100000000000001" customHeight="1">
      <c r="B862" s="105"/>
      <c r="C862" s="54"/>
      <c r="D862" s="96"/>
      <c r="E862" s="111"/>
      <c r="F862" s="112"/>
      <c r="G862" s="113"/>
      <c r="H862" s="183"/>
      <c r="I862" s="98"/>
      <c r="J862" s="98"/>
      <c r="K862" s="101"/>
      <c r="L862" s="100"/>
      <c r="M862" s="98"/>
      <c r="N862" s="101"/>
      <c r="O862" s="100"/>
      <c r="P862" s="98"/>
      <c r="Q862" s="101"/>
      <c r="R862" s="100"/>
      <c r="S862" s="98"/>
      <c r="T862" s="101"/>
      <c r="U862" s="183"/>
      <c r="V862" s="99"/>
      <c r="W862" s="98"/>
      <c r="X862" s="98"/>
      <c r="Y862" s="101"/>
      <c r="Z862" s="101"/>
      <c r="AA862" s="183"/>
      <c r="AB862" s="99"/>
      <c r="AC862" s="98"/>
      <c r="AD862" s="98"/>
      <c r="AE862" s="101"/>
      <c r="AF862" s="100"/>
      <c r="AG862" s="98"/>
      <c r="AH862" s="99"/>
      <c r="AI862" s="101"/>
      <c r="AJ862" s="106"/>
    </row>
    <row r="863" spans="2:36" s="35" customFormat="1" ht="17.100000000000001" customHeight="1">
      <c r="B863" s="105"/>
      <c r="C863" s="54"/>
      <c r="D863" s="96"/>
      <c r="E863" s="111"/>
      <c r="F863" s="112"/>
      <c r="G863" s="113"/>
      <c r="H863" s="183"/>
      <c r="I863" s="98"/>
      <c r="J863" s="98"/>
      <c r="K863" s="101"/>
      <c r="L863" s="100"/>
      <c r="M863" s="98"/>
      <c r="N863" s="101"/>
      <c r="O863" s="100"/>
      <c r="P863" s="98"/>
      <c r="Q863" s="101"/>
      <c r="R863" s="100"/>
      <c r="S863" s="98"/>
      <c r="T863" s="101"/>
      <c r="U863" s="183"/>
      <c r="V863" s="99"/>
      <c r="W863" s="98"/>
      <c r="X863" s="98"/>
      <c r="Y863" s="101"/>
      <c r="Z863" s="101"/>
      <c r="AA863" s="183"/>
      <c r="AB863" s="99"/>
      <c r="AC863" s="98"/>
      <c r="AD863" s="98"/>
      <c r="AE863" s="101"/>
      <c r="AF863" s="100"/>
      <c r="AG863" s="98"/>
      <c r="AH863" s="99"/>
      <c r="AI863" s="101"/>
      <c r="AJ863" s="106"/>
    </row>
    <row r="864" spans="2:36" s="35" customFormat="1" ht="17.100000000000001" customHeight="1">
      <c r="B864" s="105"/>
      <c r="C864" s="54"/>
      <c r="D864" s="96"/>
      <c r="E864" s="111"/>
      <c r="F864" s="112"/>
      <c r="G864" s="113"/>
      <c r="H864" s="183"/>
      <c r="I864" s="98"/>
      <c r="J864" s="98"/>
      <c r="K864" s="101"/>
      <c r="L864" s="100"/>
      <c r="M864" s="98"/>
      <c r="N864" s="101"/>
      <c r="O864" s="100"/>
      <c r="P864" s="98"/>
      <c r="Q864" s="101"/>
      <c r="R864" s="100"/>
      <c r="S864" s="98"/>
      <c r="T864" s="101"/>
      <c r="U864" s="183"/>
      <c r="V864" s="99"/>
      <c r="W864" s="98"/>
      <c r="X864" s="98"/>
      <c r="Y864" s="101"/>
      <c r="Z864" s="101"/>
      <c r="AA864" s="183"/>
      <c r="AB864" s="99"/>
      <c r="AC864" s="98"/>
      <c r="AD864" s="98"/>
      <c r="AE864" s="101"/>
      <c r="AF864" s="100"/>
      <c r="AG864" s="98"/>
      <c r="AH864" s="99"/>
      <c r="AI864" s="101"/>
      <c r="AJ864" s="106"/>
    </row>
    <row r="865" spans="2:36" s="35" customFormat="1" ht="17.100000000000001" customHeight="1">
      <c r="B865" s="105"/>
      <c r="C865" s="54"/>
      <c r="D865" s="96"/>
      <c r="E865" s="111"/>
      <c r="F865" s="112"/>
      <c r="G865" s="113"/>
      <c r="H865" s="183"/>
      <c r="I865" s="98"/>
      <c r="J865" s="98"/>
      <c r="K865" s="101"/>
      <c r="L865" s="100"/>
      <c r="M865" s="98"/>
      <c r="N865" s="101"/>
      <c r="O865" s="100"/>
      <c r="P865" s="98"/>
      <c r="Q865" s="101"/>
      <c r="R865" s="100"/>
      <c r="S865" s="98"/>
      <c r="T865" s="101"/>
      <c r="U865" s="183"/>
      <c r="V865" s="99"/>
      <c r="W865" s="98"/>
      <c r="X865" s="98"/>
      <c r="Y865" s="101"/>
      <c r="Z865" s="101"/>
      <c r="AA865" s="183"/>
      <c r="AB865" s="99"/>
      <c r="AC865" s="98"/>
      <c r="AD865" s="98"/>
      <c r="AE865" s="101"/>
      <c r="AF865" s="100"/>
      <c r="AG865" s="98"/>
      <c r="AH865" s="99"/>
      <c r="AI865" s="101"/>
      <c r="AJ865" s="106"/>
    </row>
    <row r="866" spans="2:36" s="35" customFormat="1" ht="17.100000000000001" customHeight="1">
      <c r="B866" s="105"/>
      <c r="C866" s="54"/>
      <c r="D866" s="96"/>
      <c r="E866" s="111"/>
      <c r="F866" s="112"/>
      <c r="G866" s="113"/>
      <c r="H866" s="183"/>
      <c r="I866" s="98"/>
      <c r="J866" s="98"/>
      <c r="K866" s="101"/>
      <c r="L866" s="100"/>
      <c r="M866" s="98"/>
      <c r="N866" s="101"/>
      <c r="O866" s="100"/>
      <c r="P866" s="98"/>
      <c r="Q866" s="101"/>
      <c r="R866" s="100"/>
      <c r="S866" s="98"/>
      <c r="T866" s="101"/>
      <c r="U866" s="183"/>
      <c r="V866" s="99"/>
      <c r="W866" s="98"/>
      <c r="X866" s="98"/>
      <c r="Y866" s="101"/>
      <c r="Z866" s="101"/>
      <c r="AA866" s="183"/>
      <c r="AB866" s="99"/>
      <c r="AC866" s="98"/>
      <c r="AD866" s="98"/>
      <c r="AE866" s="101"/>
      <c r="AF866" s="100"/>
      <c r="AG866" s="98"/>
      <c r="AH866" s="99"/>
      <c r="AI866" s="101"/>
      <c r="AJ866" s="106"/>
    </row>
    <row r="867" spans="2:36" s="35" customFormat="1" ht="17.100000000000001" customHeight="1">
      <c r="B867" s="105"/>
      <c r="C867" s="54"/>
      <c r="D867" s="96"/>
      <c r="E867" s="111"/>
      <c r="F867" s="112"/>
      <c r="G867" s="113"/>
      <c r="H867" s="183"/>
      <c r="I867" s="98"/>
      <c r="J867" s="98"/>
      <c r="K867" s="101"/>
      <c r="L867" s="100"/>
      <c r="M867" s="98"/>
      <c r="N867" s="101"/>
      <c r="O867" s="100"/>
      <c r="P867" s="98"/>
      <c r="Q867" s="101"/>
      <c r="R867" s="100"/>
      <c r="S867" s="98"/>
      <c r="T867" s="101"/>
      <c r="U867" s="183"/>
      <c r="V867" s="99"/>
      <c r="W867" s="98"/>
      <c r="X867" s="98"/>
      <c r="Y867" s="101"/>
      <c r="Z867" s="101"/>
      <c r="AA867" s="183"/>
      <c r="AB867" s="99"/>
      <c r="AC867" s="98"/>
      <c r="AD867" s="98"/>
      <c r="AE867" s="101"/>
      <c r="AF867" s="100"/>
      <c r="AG867" s="98"/>
      <c r="AH867" s="99"/>
      <c r="AI867" s="101"/>
      <c r="AJ867" s="106"/>
    </row>
    <row r="868" spans="2:36" s="126" customFormat="1" ht="17.100000000000001" customHeight="1">
      <c r="B868" s="118"/>
      <c r="C868" s="119"/>
      <c r="D868" s="120"/>
      <c r="E868" s="121"/>
      <c r="F868" s="122"/>
      <c r="G868" s="123"/>
      <c r="H868" s="183"/>
      <c r="I868" s="363"/>
      <c r="J868" s="363"/>
      <c r="K868" s="124"/>
      <c r="L868" s="341"/>
      <c r="M868" s="342"/>
      <c r="N868" s="124"/>
      <c r="O868" s="341"/>
      <c r="P868" s="342"/>
      <c r="Q868" s="124"/>
      <c r="R868" s="341"/>
      <c r="S868" s="342"/>
      <c r="T868" s="124"/>
      <c r="U868" s="183"/>
      <c r="V868" s="99"/>
      <c r="W868" s="363"/>
      <c r="X868" s="363"/>
      <c r="Y868" s="124"/>
      <c r="Z868" s="101"/>
      <c r="AA868" s="183"/>
      <c r="AB868" s="99"/>
      <c r="AC868" s="363"/>
      <c r="AD868" s="363"/>
      <c r="AE868" s="124"/>
      <c r="AF868" s="364"/>
      <c r="AG868" s="363"/>
      <c r="AH868" s="143"/>
      <c r="AI868" s="101"/>
      <c r="AJ868" s="125"/>
    </row>
    <row r="869" spans="2:36" s="35" customFormat="1" ht="16.95" customHeight="1">
      <c r="B869" s="105"/>
      <c r="C869" s="54"/>
      <c r="D869" s="96"/>
      <c r="E869" s="111"/>
      <c r="F869" s="112"/>
      <c r="G869" s="113"/>
      <c r="H869" s="183"/>
      <c r="I869" s="98"/>
      <c r="J869" s="98"/>
      <c r="K869" s="101"/>
      <c r="L869" s="98"/>
      <c r="M869" s="98"/>
      <c r="N869" s="101"/>
      <c r="O869" s="98"/>
      <c r="P869" s="98"/>
      <c r="Q869" s="101"/>
      <c r="R869" s="98"/>
      <c r="S869" s="98"/>
      <c r="T869" s="101"/>
      <c r="U869" s="183"/>
      <c r="V869" s="99"/>
      <c r="W869" s="98"/>
      <c r="X869" s="98"/>
      <c r="Y869" s="101"/>
      <c r="Z869" s="101"/>
      <c r="AA869" s="183"/>
      <c r="AB869" s="99"/>
      <c r="AC869" s="98"/>
      <c r="AD869" s="98"/>
      <c r="AE869" s="101"/>
      <c r="AF869" s="98"/>
      <c r="AG869" s="98"/>
      <c r="AH869" s="99"/>
      <c r="AI869" s="101"/>
      <c r="AJ869" s="106"/>
    </row>
    <row r="870" spans="2:36" s="35" customFormat="1" ht="17.100000000000001" customHeight="1">
      <c r="B870" s="105"/>
      <c r="C870" s="54"/>
      <c r="D870" s="96"/>
      <c r="E870" s="111"/>
      <c r="F870" s="112"/>
      <c r="G870" s="113"/>
      <c r="H870" s="183"/>
      <c r="I870" s="98"/>
      <c r="J870" s="98"/>
      <c r="K870" s="101"/>
      <c r="L870" s="100"/>
      <c r="M870" s="98"/>
      <c r="N870" s="101"/>
      <c r="O870" s="100"/>
      <c r="P870" s="98"/>
      <c r="Q870" s="101"/>
      <c r="R870" s="100"/>
      <c r="S870" s="98"/>
      <c r="T870" s="101"/>
      <c r="U870" s="183"/>
      <c r="V870" s="99"/>
      <c r="W870" s="98"/>
      <c r="X870" s="98"/>
      <c r="Y870" s="101"/>
      <c r="Z870" s="101"/>
      <c r="AA870" s="183"/>
      <c r="AB870" s="99"/>
      <c r="AC870" s="98"/>
      <c r="AD870" s="98"/>
      <c r="AE870" s="101"/>
      <c r="AF870" s="100"/>
      <c r="AG870" s="98"/>
      <c r="AH870" s="99"/>
      <c r="AI870" s="101"/>
      <c r="AJ870" s="106"/>
    </row>
    <row r="871" spans="2:36" s="35" customFormat="1" ht="17.100000000000001" customHeight="1">
      <c r="B871" s="105"/>
      <c r="C871" s="54"/>
      <c r="D871" s="96"/>
      <c r="E871" s="111"/>
      <c r="F871" s="112"/>
      <c r="G871" s="113"/>
      <c r="H871" s="183"/>
      <c r="I871" s="98"/>
      <c r="J871" s="98"/>
      <c r="K871" s="101"/>
      <c r="L871" s="100"/>
      <c r="M871" s="98"/>
      <c r="N871" s="101"/>
      <c r="O871" s="100"/>
      <c r="P871" s="98"/>
      <c r="Q871" s="101"/>
      <c r="R871" s="100"/>
      <c r="S871" s="98"/>
      <c r="T871" s="101"/>
      <c r="U871" s="183"/>
      <c r="V871" s="99"/>
      <c r="W871" s="98"/>
      <c r="X871" s="98"/>
      <c r="Y871" s="101"/>
      <c r="Z871" s="101"/>
      <c r="AA871" s="183"/>
      <c r="AB871" s="99"/>
      <c r="AC871" s="98"/>
      <c r="AD871" s="98"/>
      <c r="AE871" s="101"/>
      <c r="AF871" s="100"/>
      <c r="AG871" s="98"/>
      <c r="AH871" s="99"/>
      <c r="AI871" s="101"/>
      <c r="AJ871" s="106"/>
    </row>
    <row r="872" spans="2:36" s="35" customFormat="1" ht="17.100000000000001" customHeight="1">
      <c r="B872" s="105"/>
      <c r="C872" s="54"/>
      <c r="D872" s="96"/>
      <c r="E872" s="111"/>
      <c r="F872" s="112"/>
      <c r="G872" s="113"/>
      <c r="H872" s="183"/>
      <c r="I872" s="98"/>
      <c r="J872" s="98"/>
      <c r="K872" s="101"/>
      <c r="L872" s="100"/>
      <c r="M872" s="98"/>
      <c r="N872" s="101"/>
      <c r="O872" s="100"/>
      <c r="P872" s="98"/>
      <c r="Q872" s="101"/>
      <c r="R872" s="100"/>
      <c r="S872" s="98"/>
      <c r="T872" s="101"/>
      <c r="U872" s="183"/>
      <c r="V872" s="99"/>
      <c r="W872" s="98"/>
      <c r="X872" s="98"/>
      <c r="Y872" s="101"/>
      <c r="Z872" s="101"/>
      <c r="AA872" s="183"/>
      <c r="AB872" s="99"/>
      <c r="AC872" s="98"/>
      <c r="AD872" s="98"/>
      <c r="AE872" s="101"/>
      <c r="AF872" s="100"/>
      <c r="AG872" s="98"/>
      <c r="AH872" s="99"/>
      <c r="AI872" s="101"/>
      <c r="AJ872" s="106"/>
    </row>
    <row r="873" spans="2:36" s="35" customFormat="1" ht="17.100000000000001" customHeight="1">
      <c r="B873" s="105"/>
      <c r="C873" s="54"/>
      <c r="D873" s="96"/>
      <c r="E873" s="111"/>
      <c r="F873" s="112"/>
      <c r="G873" s="113"/>
      <c r="H873" s="183"/>
      <c r="I873" s="98"/>
      <c r="J873" s="98"/>
      <c r="K873" s="101"/>
      <c r="L873" s="100"/>
      <c r="M873" s="98"/>
      <c r="N873" s="101"/>
      <c r="O873" s="100"/>
      <c r="P873" s="98"/>
      <c r="Q873" s="101"/>
      <c r="R873" s="100"/>
      <c r="S873" s="98"/>
      <c r="T873" s="101"/>
      <c r="U873" s="183"/>
      <c r="V873" s="99"/>
      <c r="W873" s="98"/>
      <c r="X873" s="98"/>
      <c r="Y873" s="101"/>
      <c r="Z873" s="101"/>
      <c r="AA873" s="183"/>
      <c r="AB873" s="99"/>
      <c r="AC873" s="98"/>
      <c r="AD873" s="98"/>
      <c r="AE873" s="101"/>
      <c r="AF873" s="100"/>
      <c r="AG873" s="98"/>
      <c r="AH873" s="99"/>
      <c r="AI873" s="101"/>
      <c r="AJ873" s="106"/>
    </row>
    <row r="874" spans="2:36" s="35" customFormat="1" ht="17.100000000000001" customHeight="1">
      <c r="B874" s="105"/>
      <c r="C874" s="54"/>
      <c r="D874" s="96"/>
      <c r="E874" s="111"/>
      <c r="F874" s="112"/>
      <c r="G874" s="113"/>
      <c r="H874" s="183"/>
      <c r="I874" s="98"/>
      <c r="J874" s="98"/>
      <c r="K874" s="101"/>
      <c r="L874" s="100"/>
      <c r="M874" s="98"/>
      <c r="N874" s="101"/>
      <c r="O874" s="100"/>
      <c r="P874" s="98"/>
      <c r="Q874" s="101"/>
      <c r="R874" s="100"/>
      <c r="S874" s="98"/>
      <c r="T874" s="101"/>
      <c r="U874" s="183"/>
      <c r="V874" s="99"/>
      <c r="W874" s="98"/>
      <c r="X874" s="98"/>
      <c r="Y874" s="101"/>
      <c r="Z874" s="101"/>
      <c r="AA874" s="183"/>
      <c r="AB874" s="99"/>
      <c r="AC874" s="98"/>
      <c r="AD874" s="98"/>
      <c r="AE874" s="101"/>
      <c r="AF874" s="100"/>
      <c r="AG874" s="98"/>
      <c r="AH874" s="99"/>
      <c r="AI874" s="101"/>
      <c r="AJ874" s="106"/>
    </row>
    <row r="875" spans="2:36" s="35" customFormat="1" ht="17.100000000000001" customHeight="1">
      <c r="B875" s="105"/>
      <c r="C875" s="54"/>
      <c r="D875" s="96"/>
      <c r="E875" s="111"/>
      <c r="F875" s="112"/>
      <c r="G875" s="113"/>
      <c r="H875" s="183"/>
      <c r="I875" s="98"/>
      <c r="J875" s="98"/>
      <c r="K875" s="101"/>
      <c r="L875" s="100"/>
      <c r="M875" s="98"/>
      <c r="N875" s="101"/>
      <c r="O875" s="100"/>
      <c r="P875" s="98"/>
      <c r="Q875" s="101"/>
      <c r="R875" s="100"/>
      <c r="S875" s="98"/>
      <c r="T875" s="101"/>
      <c r="U875" s="183"/>
      <c r="V875" s="99"/>
      <c r="W875" s="98"/>
      <c r="X875" s="98"/>
      <c r="Y875" s="101"/>
      <c r="Z875" s="101"/>
      <c r="AA875" s="183"/>
      <c r="AB875" s="99"/>
      <c r="AC875" s="98"/>
      <c r="AD875" s="98"/>
      <c r="AE875" s="101"/>
      <c r="AF875" s="100"/>
      <c r="AG875" s="98"/>
      <c r="AH875" s="99"/>
      <c r="AI875" s="101"/>
      <c r="AJ875" s="106"/>
    </row>
    <row r="876" spans="2:36" s="126" customFormat="1" ht="17.100000000000001" customHeight="1">
      <c r="B876" s="118"/>
      <c r="C876" s="119"/>
      <c r="D876" s="120"/>
      <c r="E876" s="121"/>
      <c r="F876" s="122"/>
      <c r="G876" s="123"/>
      <c r="H876" s="183"/>
      <c r="I876" s="363"/>
      <c r="J876" s="363"/>
      <c r="K876" s="124"/>
      <c r="L876" s="341"/>
      <c r="M876" s="342"/>
      <c r="N876" s="124"/>
      <c r="O876" s="341"/>
      <c r="P876" s="342"/>
      <c r="Q876" s="124"/>
      <c r="R876" s="341"/>
      <c r="S876" s="342"/>
      <c r="T876" s="124"/>
      <c r="U876" s="183"/>
      <c r="V876" s="99"/>
      <c r="W876" s="363"/>
      <c r="X876" s="363"/>
      <c r="Y876" s="124"/>
      <c r="Z876" s="101"/>
      <c r="AA876" s="183"/>
      <c r="AB876" s="99"/>
      <c r="AC876" s="363"/>
      <c r="AD876" s="363"/>
      <c r="AE876" s="124"/>
      <c r="AF876" s="364"/>
      <c r="AG876" s="363"/>
      <c r="AH876" s="143"/>
      <c r="AI876" s="101"/>
      <c r="AJ876" s="125"/>
    </row>
    <row r="877" spans="2:36" s="35" customFormat="1" ht="16.95" customHeight="1">
      <c r="B877" s="105"/>
      <c r="C877" s="54"/>
      <c r="D877" s="96"/>
      <c r="E877" s="111"/>
      <c r="F877" s="112"/>
      <c r="G877" s="113"/>
      <c r="H877" s="183"/>
      <c r="I877" s="98"/>
      <c r="J877" s="98"/>
      <c r="K877" s="101"/>
      <c r="L877" s="98"/>
      <c r="M877" s="98"/>
      <c r="N877" s="101"/>
      <c r="O877" s="98"/>
      <c r="P877" s="98"/>
      <c r="Q877" s="101"/>
      <c r="R877" s="98"/>
      <c r="S877" s="98"/>
      <c r="T877" s="101"/>
      <c r="U877" s="183"/>
      <c r="V877" s="99"/>
      <c r="W877" s="98"/>
      <c r="X877" s="98"/>
      <c r="Y877" s="101"/>
      <c r="Z877" s="101"/>
      <c r="AA877" s="183"/>
      <c r="AB877" s="99"/>
      <c r="AC877" s="98"/>
      <c r="AD877" s="98"/>
      <c r="AE877" s="101"/>
      <c r="AF877" s="98"/>
      <c r="AG877" s="98"/>
      <c r="AH877" s="99"/>
      <c r="AI877" s="101"/>
      <c r="AJ877" s="106"/>
    </row>
    <row r="878" spans="2:36" s="35" customFormat="1" ht="17.100000000000001" customHeight="1">
      <c r="B878" s="105"/>
      <c r="C878" s="54"/>
      <c r="D878" s="96"/>
      <c r="E878" s="111"/>
      <c r="F878" s="112"/>
      <c r="G878" s="113"/>
      <c r="H878" s="183"/>
      <c r="I878" s="98"/>
      <c r="J878" s="98"/>
      <c r="K878" s="101"/>
      <c r="L878" s="100"/>
      <c r="M878" s="98"/>
      <c r="N878" s="101"/>
      <c r="O878" s="100"/>
      <c r="P878" s="98"/>
      <c r="Q878" s="101"/>
      <c r="R878" s="100"/>
      <c r="S878" s="98"/>
      <c r="T878" s="101"/>
      <c r="U878" s="183"/>
      <c r="V878" s="99"/>
      <c r="W878" s="98"/>
      <c r="X878" s="98"/>
      <c r="Y878" s="101"/>
      <c r="Z878" s="101"/>
      <c r="AA878" s="183"/>
      <c r="AB878" s="99"/>
      <c r="AC878" s="98"/>
      <c r="AD878" s="98"/>
      <c r="AE878" s="101"/>
      <c r="AF878" s="100"/>
      <c r="AG878" s="98"/>
      <c r="AH878" s="99"/>
      <c r="AI878" s="101"/>
      <c r="AJ878" s="106"/>
    </row>
    <row r="879" spans="2:36" s="35" customFormat="1" ht="17.100000000000001" customHeight="1">
      <c r="B879" s="105"/>
      <c r="C879" s="54"/>
      <c r="D879" s="96"/>
      <c r="E879" s="111"/>
      <c r="F879" s="112"/>
      <c r="G879" s="113"/>
      <c r="H879" s="183"/>
      <c r="I879" s="98"/>
      <c r="J879" s="98"/>
      <c r="K879" s="101"/>
      <c r="L879" s="100"/>
      <c r="M879" s="98"/>
      <c r="N879" s="101"/>
      <c r="O879" s="100"/>
      <c r="P879" s="98"/>
      <c r="Q879" s="101"/>
      <c r="R879" s="100"/>
      <c r="S879" s="98"/>
      <c r="T879" s="101"/>
      <c r="U879" s="183"/>
      <c r="V879" s="99"/>
      <c r="W879" s="98"/>
      <c r="X879" s="98"/>
      <c r="Y879" s="101"/>
      <c r="Z879" s="101"/>
      <c r="AA879" s="183"/>
      <c r="AB879" s="99"/>
      <c r="AC879" s="98"/>
      <c r="AD879" s="98"/>
      <c r="AE879" s="101"/>
      <c r="AF879" s="100"/>
      <c r="AG879" s="98"/>
      <c r="AH879" s="99"/>
      <c r="AI879" s="101"/>
      <c r="AJ879" s="106"/>
    </row>
    <row r="880" spans="2:36" s="35" customFormat="1" ht="17.100000000000001" customHeight="1">
      <c r="B880" s="105"/>
      <c r="C880" s="54"/>
      <c r="D880" s="96"/>
      <c r="E880" s="111"/>
      <c r="F880" s="112"/>
      <c r="G880" s="113"/>
      <c r="H880" s="183"/>
      <c r="I880" s="98"/>
      <c r="J880" s="98"/>
      <c r="K880" s="101"/>
      <c r="L880" s="100"/>
      <c r="M880" s="98"/>
      <c r="N880" s="101"/>
      <c r="O880" s="100"/>
      <c r="P880" s="98"/>
      <c r="Q880" s="101"/>
      <c r="R880" s="100"/>
      <c r="S880" s="98"/>
      <c r="T880" s="101"/>
      <c r="U880" s="183"/>
      <c r="V880" s="99"/>
      <c r="W880" s="98"/>
      <c r="X880" s="98"/>
      <c r="Y880" s="101"/>
      <c r="Z880" s="101"/>
      <c r="AA880" s="183"/>
      <c r="AB880" s="99"/>
      <c r="AC880" s="98"/>
      <c r="AD880" s="98"/>
      <c r="AE880" s="101"/>
      <c r="AF880" s="100"/>
      <c r="AG880" s="98"/>
      <c r="AH880" s="99"/>
      <c r="AI880" s="101"/>
      <c r="AJ880" s="106"/>
    </row>
    <row r="881" spans="2:36" s="35" customFormat="1" ht="17.100000000000001" customHeight="1">
      <c r="B881" s="105"/>
      <c r="C881" s="54"/>
      <c r="D881" s="96"/>
      <c r="E881" s="111"/>
      <c r="F881" s="112"/>
      <c r="G881" s="113"/>
      <c r="H881" s="183"/>
      <c r="I881" s="98"/>
      <c r="J881" s="98"/>
      <c r="K881" s="101"/>
      <c r="L881" s="100"/>
      <c r="M881" s="98"/>
      <c r="N881" s="101"/>
      <c r="O881" s="100"/>
      <c r="P881" s="98"/>
      <c r="Q881" s="101"/>
      <c r="R881" s="100"/>
      <c r="S881" s="98"/>
      <c r="T881" s="101"/>
      <c r="U881" s="183"/>
      <c r="V881" s="99"/>
      <c r="W881" s="98"/>
      <c r="X881" s="98"/>
      <c r="Y881" s="101"/>
      <c r="Z881" s="101"/>
      <c r="AA881" s="183"/>
      <c r="AB881" s="99"/>
      <c r="AC881" s="98"/>
      <c r="AD881" s="98"/>
      <c r="AE881" s="101"/>
      <c r="AF881" s="100"/>
      <c r="AG881" s="98"/>
      <c r="AH881" s="99"/>
      <c r="AI881" s="101"/>
      <c r="AJ881" s="106"/>
    </row>
    <row r="882" spans="2:36" s="35" customFormat="1" ht="17.100000000000001" customHeight="1">
      <c r="B882" s="105"/>
      <c r="C882" s="54"/>
      <c r="D882" s="96"/>
      <c r="E882" s="111"/>
      <c r="F882" s="112"/>
      <c r="G882" s="113"/>
      <c r="H882" s="183"/>
      <c r="I882" s="98"/>
      <c r="J882" s="98"/>
      <c r="K882" s="101"/>
      <c r="L882" s="100"/>
      <c r="M882" s="98"/>
      <c r="N882" s="101"/>
      <c r="O882" s="100"/>
      <c r="P882" s="98"/>
      <c r="Q882" s="101"/>
      <c r="R882" s="100"/>
      <c r="S882" s="98"/>
      <c r="T882" s="101"/>
      <c r="U882" s="183"/>
      <c r="V882" s="99"/>
      <c r="W882" s="98"/>
      <c r="X882" s="98"/>
      <c r="Y882" s="101"/>
      <c r="Z882" s="101"/>
      <c r="AA882" s="183"/>
      <c r="AB882" s="99"/>
      <c r="AC882" s="98"/>
      <c r="AD882" s="98"/>
      <c r="AE882" s="101"/>
      <c r="AF882" s="100"/>
      <c r="AG882" s="98"/>
      <c r="AH882" s="99"/>
      <c r="AI882" s="101"/>
      <c r="AJ882" s="106"/>
    </row>
    <row r="883" spans="2:36" s="35" customFormat="1" ht="17.100000000000001" customHeight="1">
      <c r="B883" s="105"/>
      <c r="C883" s="54"/>
      <c r="D883" s="96"/>
      <c r="E883" s="111"/>
      <c r="F883" s="112"/>
      <c r="G883" s="113"/>
      <c r="H883" s="183"/>
      <c r="I883" s="98"/>
      <c r="J883" s="98"/>
      <c r="K883" s="101"/>
      <c r="L883" s="100"/>
      <c r="M883" s="98"/>
      <c r="N883" s="101"/>
      <c r="O883" s="100"/>
      <c r="P883" s="98"/>
      <c r="Q883" s="101"/>
      <c r="R883" s="100"/>
      <c r="S883" s="98"/>
      <c r="T883" s="101"/>
      <c r="U883" s="183"/>
      <c r="V883" s="99"/>
      <c r="W883" s="98"/>
      <c r="X883" s="98"/>
      <c r="Y883" s="101"/>
      <c r="Z883" s="101"/>
      <c r="AA883" s="183"/>
      <c r="AB883" s="99"/>
      <c r="AC883" s="98"/>
      <c r="AD883" s="98"/>
      <c r="AE883" s="101"/>
      <c r="AF883" s="100"/>
      <c r="AG883" s="98"/>
      <c r="AH883" s="99"/>
      <c r="AI883" s="101"/>
      <c r="AJ883" s="106"/>
    </row>
    <row r="884" spans="2:36" s="126" customFormat="1" ht="17.100000000000001" customHeight="1">
      <c r="B884" s="118"/>
      <c r="C884" s="119"/>
      <c r="D884" s="120"/>
      <c r="E884" s="121"/>
      <c r="F884" s="122"/>
      <c r="G884" s="123"/>
      <c r="H884" s="183"/>
      <c r="I884" s="363"/>
      <c r="J884" s="363"/>
      <c r="K884" s="124"/>
      <c r="L884" s="341"/>
      <c r="M884" s="342"/>
      <c r="N884" s="124"/>
      <c r="O884" s="341"/>
      <c r="P884" s="342"/>
      <c r="Q884" s="124"/>
      <c r="R884" s="341"/>
      <c r="S884" s="342"/>
      <c r="T884" s="124"/>
      <c r="U884" s="183"/>
      <c r="V884" s="99"/>
      <c r="W884" s="363"/>
      <c r="X884" s="363"/>
      <c r="Y884" s="124"/>
      <c r="Z884" s="101"/>
      <c r="AA884" s="183"/>
      <c r="AB884" s="99"/>
      <c r="AC884" s="363"/>
      <c r="AD884" s="363"/>
      <c r="AE884" s="124"/>
      <c r="AF884" s="364"/>
      <c r="AG884" s="363"/>
      <c r="AH884" s="143"/>
      <c r="AI884" s="101"/>
      <c r="AJ884" s="125"/>
    </row>
    <row r="885" spans="2:36" s="35" customFormat="1" ht="16.95" customHeight="1">
      <c r="B885" s="105"/>
      <c r="C885" s="54"/>
      <c r="D885" s="96"/>
      <c r="E885" s="111"/>
      <c r="F885" s="112"/>
      <c r="G885" s="113"/>
      <c r="H885" s="183"/>
      <c r="I885" s="98"/>
      <c r="J885" s="98"/>
      <c r="K885" s="101"/>
      <c r="L885" s="98"/>
      <c r="M885" s="98"/>
      <c r="N885" s="101"/>
      <c r="O885" s="98"/>
      <c r="P885" s="98"/>
      <c r="Q885" s="101"/>
      <c r="R885" s="98"/>
      <c r="S885" s="98"/>
      <c r="T885" s="101"/>
      <c r="U885" s="183"/>
      <c r="V885" s="99"/>
      <c r="W885" s="98"/>
      <c r="X885" s="98"/>
      <c r="Y885" s="101"/>
      <c r="Z885" s="101"/>
      <c r="AA885" s="183"/>
      <c r="AB885" s="99"/>
      <c r="AC885" s="98"/>
      <c r="AD885" s="98"/>
      <c r="AE885" s="101"/>
      <c r="AF885" s="98"/>
      <c r="AG885" s="98"/>
      <c r="AH885" s="99"/>
      <c r="AI885" s="101"/>
      <c r="AJ885" s="106"/>
    </row>
    <row r="886" spans="2:36" s="35" customFormat="1" ht="17.100000000000001" customHeight="1">
      <c r="B886" s="105"/>
      <c r="C886" s="54"/>
      <c r="D886" s="96"/>
      <c r="E886" s="111"/>
      <c r="F886" s="112"/>
      <c r="G886" s="113"/>
      <c r="H886" s="183"/>
      <c r="I886" s="98"/>
      <c r="J886" s="98"/>
      <c r="K886" s="101"/>
      <c r="L886" s="100"/>
      <c r="M886" s="98"/>
      <c r="N886" s="101"/>
      <c r="O886" s="100"/>
      <c r="P886" s="98"/>
      <c r="Q886" s="101"/>
      <c r="R886" s="100"/>
      <c r="S886" s="98"/>
      <c r="T886" s="101"/>
      <c r="U886" s="183"/>
      <c r="V886" s="99"/>
      <c r="W886" s="98"/>
      <c r="X886" s="98"/>
      <c r="Y886" s="101"/>
      <c r="Z886" s="101"/>
      <c r="AA886" s="183"/>
      <c r="AB886" s="99"/>
      <c r="AC886" s="98"/>
      <c r="AD886" s="98"/>
      <c r="AE886" s="101"/>
      <c r="AF886" s="100"/>
      <c r="AG886" s="98"/>
      <c r="AH886" s="99"/>
      <c r="AI886" s="101"/>
      <c r="AJ886" s="106"/>
    </row>
    <row r="887" spans="2:36" s="35" customFormat="1" ht="17.100000000000001" customHeight="1">
      <c r="B887" s="105"/>
      <c r="C887" s="54"/>
      <c r="D887" s="96"/>
      <c r="E887" s="111"/>
      <c r="F887" s="112"/>
      <c r="G887" s="113"/>
      <c r="H887" s="183"/>
      <c r="I887" s="98"/>
      <c r="J887" s="98"/>
      <c r="K887" s="101"/>
      <c r="L887" s="100"/>
      <c r="M887" s="98"/>
      <c r="N887" s="101"/>
      <c r="O887" s="100"/>
      <c r="P887" s="98"/>
      <c r="Q887" s="101"/>
      <c r="R887" s="100"/>
      <c r="S887" s="98"/>
      <c r="T887" s="101"/>
      <c r="U887" s="183"/>
      <c r="V887" s="99"/>
      <c r="W887" s="98"/>
      <c r="X887" s="98"/>
      <c r="Y887" s="101"/>
      <c r="Z887" s="101"/>
      <c r="AA887" s="183"/>
      <c r="AB887" s="99"/>
      <c r="AC887" s="98"/>
      <c r="AD887" s="98"/>
      <c r="AE887" s="101"/>
      <c r="AF887" s="100"/>
      <c r="AG887" s="98"/>
      <c r="AH887" s="99"/>
      <c r="AI887" s="101"/>
      <c r="AJ887" s="106"/>
    </row>
    <row r="888" spans="2:36" s="35" customFormat="1" ht="17.100000000000001" customHeight="1">
      <c r="B888" s="105"/>
      <c r="C888" s="54"/>
      <c r="D888" s="96"/>
      <c r="E888" s="111"/>
      <c r="F888" s="112"/>
      <c r="G888" s="113"/>
      <c r="H888" s="183"/>
      <c r="I888" s="98"/>
      <c r="J888" s="98"/>
      <c r="K888" s="101"/>
      <c r="L888" s="100"/>
      <c r="M888" s="98"/>
      <c r="N888" s="101"/>
      <c r="O888" s="100"/>
      <c r="P888" s="98"/>
      <c r="Q888" s="101"/>
      <c r="R888" s="100"/>
      <c r="S888" s="98"/>
      <c r="T888" s="101"/>
      <c r="U888" s="183"/>
      <c r="V888" s="99"/>
      <c r="W888" s="98"/>
      <c r="X888" s="98"/>
      <c r="Y888" s="101"/>
      <c r="Z888" s="101"/>
      <c r="AA888" s="183"/>
      <c r="AB888" s="99"/>
      <c r="AC888" s="98"/>
      <c r="AD888" s="98"/>
      <c r="AE888" s="101"/>
      <c r="AF888" s="100"/>
      <c r="AG888" s="98"/>
      <c r="AH888" s="99"/>
      <c r="AI888" s="101"/>
      <c r="AJ888" s="106"/>
    </row>
    <row r="889" spans="2:36" s="35" customFormat="1" ht="17.100000000000001" customHeight="1">
      <c r="B889" s="105"/>
      <c r="C889" s="54"/>
      <c r="D889" s="96"/>
      <c r="E889" s="111"/>
      <c r="F889" s="112"/>
      <c r="G889" s="113"/>
      <c r="H889" s="183"/>
      <c r="I889" s="98"/>
      <c r="J889" s="98"/>
      <c r="K889" s="101"/>
      <c r="L889" s="100"/>
      <c r="M889" s="98"/>
      <c r="N889" s="101"/>
      <c r="O889" s="100"/>
      <c r="P889" s="98"/>
      <c r="Q889" s="101"/>
      <c r="R889" s="100"/>
      <c r="S889" s="98"/>
      <c r="T889" s="101"/>
      <c r="U889" s="183"/>
      <c r="V889" s="99"/>
      <c r="W889" s="98"/>
      <c r="X889" s="98"/>
      <c r="Y889" s="101"/>
      <c r="Z889" s="101"/>
      <c r="AA889" s="183"/>
      <c r="AB889" s="99"/>
      <c r="AC889" s="98"/>
      <c r="AD889" s="98"/>
      <c r="AE889" s="101"/>
      <c r="AF889" s="100"/>
      <c r="AG889" s="98"/>
      <c r="AH889" s="99"/>
      <c r="AI889" s="101"/>
      <c r="AJ889" s="106"/>
    </row>
    <row r="890" spans="2:36" s="35" customFormat="1" ht="17.100000000000001" customHeight="1">
      <c r="B890" s="105"/>
      <c r="C890" s="54"/>
      <c r="D890" s="96"/>
      <c r="E890" s="111"/>
      <c r="F890" s="112"/>
      <c r="G890" s="113"/>
      <c r="H890" s="183"/>
      <c r="I890" s="98"/>
      <c r="J890" s="98"/>
      <c r="K890" s="101"/>
      <c r="L890" s="100"/>
      <c r="M890" s="98"/>
      <c r="N890" s="101"/>
      <c r="O890" s="100"/>
      <c r="P890" s="98"/>
      <c r="Q890" s="101"/>
      <c r="R890" s="100"/>
      <c r="S890" s="98"/>
      <c r="T890" s="101"/>
      <c r="U890" s="183"/>
      <c r="V890" s="99"/>
      <c r="W890" s="98"/>
      <c r="X890" s="98"/>
      <c r="Y890" s="101"/>
      <c r="Z890" s="101"/>
      <c r="AA890" s="183"/>
      <c r="AB890" s="99"/>
      <c r="AC890" s="98"/>
      <c r="AD890" s="98"/>
      <c r="AE890" s="101"/>
      <c r="AF890" s="100"/>
      <c r="AG890" s="98"/>
      <c r="AH890" s="99"/>
      <c r="AI890" s="101"/>
      <c r="AJ890" s="106"/>
    </row>
    <row r="891" spans="2:36" s="35" customFormat="1" ht="17.100000000000001" customHeight="1">
      <c r="B891" s="105"/>
      <c r="C891" s="54"/>
      <c r="D891" s="96"/>
      <c r="E891" s="111"/>
      <c r="F891" s="112"/>
      <c r="G891" s="113"/>
      <c r="H891" s="183"/>
      <c r="I891" s="98"/>
      <c r="J891" s="98"/>
      <c r="K891" s="101"/>
      <c r="L891" s="100"/>
      <c r="M891" s="98"/>
      <c r="N891" s="101"/>
      <c r="O891" s="100"/>
      <c r="P891" s="98"/>
      <c r="Q891" s="101"/>
      <c r="R891" s="100"/>
      <c r="S891" s="98"/>
      <c r="T891" s="101"/>
      <c r="U891" s="183"/>
      <c r="V891" s="99"/>
      <c r="W891" s="98"/>
      <c r="X891" s="98"/>
      <c r="Y891" s="101"/>
      <c r="Z891" s="101"/>
      <c r="AA891" s="183"/>
      <c r="AB891" s="99"/>
      <c r="AC891" s="98"/>
      <c r="AD891" s="98"/>
      <c r="AE891" s="101"/>
      <c r="AF891" s="100"/>
      <c r="AG891" s="98"/>
      <c r="AH891" s="99"/>
      <c r="AI891" s="101"/>
      <c r="AJ891" s="106"/>
    </row>
    <row r="892" spans="2:36" s="126" customFormat="1" ht="17.100000000000001" customHeight="1">
      <c r="B892" s="118"/>
      <c r="C892" s="119"/>
      <c r="D892" s="120"/>
      <c r="E892" s="121"/>
      <c r="F892" s="122"/>
      <c r="G892" s="123"/>
      <c r="H892" s="183"/>
      <c r="I892" s="363"/>
      <c r="J892" s="363"/>
      <c r="K892" s="124"/>
      <c r="L892" s="341"/>
      <c r="M892" s="342"/>
      <c r="N892" s="124"/>
      <c r="O892" s="341"/>
      <c r="P892" s="342"/>
      <c r="Q892" s="124"/>
      <c r="R892" s="341"/>
      <c r="S892" s="342"/>
      <c r="T892" s="124"/>
      <c r="U892" s="183"/>
      <c r="V892" s="99"/>
      <c r="W892" s="363"/>
      <c r="X892" s="363"/>
      <c r="Y892" s="124"/>
      <c r="Z892" s="101"/>
      <c r="AA892" s="183"/>
      <c r="AB892" s="99"/>
      <c r="AC892" s="363"/>
      <c r="AD892" s="363"/>
      <c r="AE892" s="124"/>
      <c r="AF892" s="364"/>
      <c r="AG892" s="363"/>
      <c r="AH892" s="143"/>
      <c r="AI892" s="101"/>
      <c r="AJ892" s="125"/>
    </row>
    <row r="893" spans="2:36" s="35" customFormat="1" ht="16.95" customHeight="1">
      <c r="B893" s="105"/>
      <c r="C893" s="54"/>
      <c r="D893" s="96"/>
      <c r="E893" s="111"/>
      <c r="F893" s="112"/>
      <c r="G893" s="113"/>
      <c r="H893" s="183"/>
      <c r="I893" s="98"/>
      <c r="J893" s="98"/>
      <c r="K893" s="101"/>
      <c r="L893" s="98"/>
      <c r="M893" s="98"/>
      <c r="N893" s="101"/>
      <c r="O893" s="98"/>
      <c r="P893" s="98"/>
      <c r="Q893" s="101"/>
      <c r="R893" s="98"/>
      <c r="S893" s="98"/>
      <c r="T893" s="101"/>
      <c r="U893" s="183"/>
      <c r="V893" s="99"/>
      <c r="W893" s="98"/>
      <c r="X893" s="98"/>
      <c r="Y893" s="101"/>
      <c r="Z893" s="101"/>
      <c r="AA893" s="183"/>
      <c r="AB893" s="99"/>
      <c r="AC893" s="98"/>
      <c r="AD893" s="98"/>
      <c r="AE893" s="101"/>
      <c r="AF893" s="98"/>
      <c r="AG893" s="98"/>
      <c r="AH893" s="99"/>
      <c r="AI893" s="101"/>
      <c r="AJ893" s="106"/>
    </row>
    <row r="894" spans="2:36" s="35" customFormat="1" ht="17.100000000000001" customHeight="1">
      <c r="B894" s="105"/>
      <c r="C894" s="54"/>
      <c r="D894" s="96"/>
      <c r="E894" s="111"/>
      <c r="F894" s="112"/>
      <c r="G894" s="113"/>
      <c r="H894" s="183"/>
      <c r="I894" s="98"/>
      <c r="J894" s="98"/>
      <c r="K894" s="101"/>
      <c r="L894" s="100"/>
      <c r="M894" s="98"/>
      <c r="N894" s="101"/>
      <c r="O894" s="100"/>
      <c r="P894" s="98"/>
      <c r="Q894" s="101"/>
      <c r="R894" s="100"/>
      <c r="S894" s="98"/>
      <c r="T894" s="101"/>
      <c r="U894" s="183"/>
      <c r="V894" s="99"/>
      <c r="W894" s="98"/>
      <c r="X894" s="98"/>
      <c r="Y894" s="101"/>
      <c r="Z894" s="101"/>
      <c r="AA894" s="183"/>
      <c r="AB894" s="99"/>
      <c r="AC894" s="98"/>
      <c r="AD894" s="98"/>
      <c r="AE894" s="101"/>
      <c r="AF894" s="100"/>
      <c r="AG894" s="98"/>
      <c r="AH894" s="99"/>
      <c r="AI894" s="101"/>
      <c r="AJ894" s="106"/>
    </row>
    <row r="895" spans="2:36" s="35" customFormat="1" ht="17.100000000000001" customHeight="1">
      <c r="B895" s="105"/>
      <c r="C895" s="54"/>
      <c r="D895" s="96"/>
      <c r="E895" s="111"/>
      <c r="F895" s="112"/>
      <c r="G895" s="113"/>
      <c r="H895" s="183"/>
      <c r="I895" s="98"/>
      <c r="J895" s="98"/>
      <c r="K895" s="101"/>
      <c r="L895" s="100"/>
      <c r="M895" s="98"/>
      <c r="N895" s="101"/>
      <c r="O895" s="100"/>
      <c r="P895" s="98"/>
      <c r="Q895" s="101"/>
      <c r="R895" s="100"/>
      <c r="S895" s="98"/>
      <c r="T895" s="101"/>
      <c r="U895" s="183"/>
      <c r="V895" s="99"/>
      <c r="W895" s="98"/>
      <c r="X895" s="98"/>
      <c r="Y895" s="101"/>
      <c r="Z895" s="101"/>
      <c r="AA895" s="183"/>
      <c r="AB895" s="99"/>
      <c r="AC895" s="98"/>
      <c r="AD895" s="98"/>
      <c r="AE895" s="101"/>
      <c r="AF895" s="100"/>
      <c r="AG895" s="98"/>
      <c r="AH895" s="99"/>
      <c r="AI895" s="101"/>
      <c r="AJ895" s="106"/>
    </row>
    <row r="896" spans="2:36" s="35" customFormat="1" ht="17.100000000000001" customHeight="1">
      <c r="B896" s="105"/>
      <c r="C896" s="54"/>
      <c r="D896" s="96"/>
      <c r="E896" s="111"/>
      <c r="F896" s="112"/>
      <c r="G896" s="113"/>
      <c r="H896" s="183"/>
      <c r="I896" s="98"/>
      <c r="J896" s="98"/>
      <c r="K896" s="101"/>
      <c r="L896" s="100"/>
      <c r="M896" s="98"/>
      <c r="N896" s="101"/>
      <c r="O896" s="100"/>
      <c r="P896" s="98"/>
      <c r="Q896" s="101"/>
      <c r="R896" s="100"/>
      <c r="S896" s="98"/>
      <c r="T896" s="101"/>
      <c r="U896" s="183"/>
      <c r="V896" s="99"/>
      <c r="W896" s="98"/>
      <c r="X896" s="98"/>
      <c r="Y896" s="101"/>
      <c r="Z896" s="101"/>
      <c r="AA896" s="183"/>
      <c r="AB896" s="99"/>
      <c r="AC896" s="98"/>
      <c r="AD896" s="98"/>
      <c r="AE896" s="101"/>
      <c r="AF896" s="100"/>
      <c r="AG896" s="98"/>
      <c r="AH896" s="99"/>
      <c r="AI896" s="101"/>
      <c r="AJ896" s="106"/>
    </row>
    <row r="897" spans="2:36" s="35" customFormat="1" ht="17.100000000000001" customHeight="1">
      <c r="B897" s="105"/>
      <c r="C897" s="54"/>
      <c r="D897" s="96"/>
      <c r="E897" s="111"/>
      <c r="F897" s="112"/>
      <c r="G897" s="113"/>
      <c r="H897" s="183"/>
      <c r="I897" s="98"/>
      <c r="J897" s="98"/>
      <c r="K897" s="101"/>
      <c r="L897" s="100"/>
      <c r="M897" s="98"/>
      <c r="N897" s="101"/>
      <c r="O897" s="100"/>
      <c r="P897" s="98"/>
      <c r="Q897" s="101"/>
      <c r="R897" s="100"/>
      <c r="S897" s="98"/>
      <c r="T897" s="101"/>
      <c r="U897" s="183"/>
      <c r="V897" s="99"/>
      <c r="W897" s="98"/>
      <c r="X897" s="98"/>
      <c r="Y897" s="101"/>
      <c r="Z897" s="101"/>
      <c r="AA897" s="183"/>
      <c r="AB897" s="99"/>
      <c r="AC897" s="98"/>
      <c r="AD897" s="98"/>
      <c r="AE897" s="101"/>
      <c r="AF897" s="100"/>
      <c r="AG897" s="98"/>
      <c r="AH897" s="99"/>
      <c r="AI897" s="101"/>
      <c r="AJ897" s="106"/>
    </row>
    <row r="898" spans="2:36" s="35" customFormat="1" ht="17.100000000000001" customHeight="1">
      <c r="B898" s="105"/>
      <c r="C898" s="54"/>
      <c r="D898" s="96"/>
      <c r="E898" s="111"/>
      <c r="F898" s="112"/>
      <c r="G898" s="113"/>
      <c r="H898" s="183"/>
      <c r="I898" s="98"/>
      <c r="J898" s="98"/>
      <c r="K898" s="101"/>
      <c r="L898" s="100"/>
      <c r="M898" s="98"/>
      <c r="N898" s="101"/>
      <c r="O898" s="100"/>
      <c r="P898" s="98"/>
      <c r="Q898" s="101"/>
      <c r="R898" s="100"/>
      <c r="S898" s="98"/>
      <c r="T898" s="101"/>
      <c r="U898" s="183"/>
      <c r="V898" s="99"/>
      <c r="W898" s="98"/>
      <c r="X898" s="98"/>
      <c r="Y898" s="101"/>
      <c r="Z898" s="101"/>
      <c r="AA898" s="183"/>
      <c r="AB898" s="99"/>
      <c r="AC898" s="98"/>
      <c r="AD898" s="98"/>
      <c r="AE898" s="101"/>
      <c r="AF898" s="100"/>
      <c r="AG898" s="98"/>
      <c r="AH898" s="99"/>
      <c r="AI898" s="101"/>
      <c r="AJ898" s="106"/>
    </row>
    <row r="899" spans="2:36" s="35" customFormat="1" ht="17.100000000000001" customHeight="1">
      <c r="B899" s="105"/>
      <c r="C899" s="54"/>
      <c r="D899" s="96"/>
      <c r="E899" s="111"/>
      <c r="F899" s="112"/>
      <c r="G899" s="113"/>
      <c r="H899" s="183"/>
      <c r="I899" s="98"/>
      <c r="J899" s="98"/>
      <c r="K899" s="101"/>
      <c r="L899" s="100"/>
      <c r="M899" s="98"/>
      <c r="N899" s="101"/>
      <c r="O899" s="100"/>
      <c r="P899" s="98"/>
      <c r="Q899" s="101"/>
      <c r="R899" s="100"/>
      <c r="S899" s="98"/>
      <c r="T899" s="101"/>
      <c r="U899" s="183"/>
      <c r="V899" s="99"/>
      <c r="W899" s="98"/>
      <c r="X899" s="98"/>
      <c r="Y899" s="101"/>
      <c r="Z899" s="101"/>
      <c r="AA899" s="183"/>
      <c r="AB899" s="99"/>
      <c r="AC899" s="98"/>
      <c r="AD899" s="98"/>
      <c r="AE899" s="101"/>
      <c r="AF899" s="100"/>
      <c r="AG899" s="98"/>
      <c r="AH899" s="99"/>
      <c r="AI899" s="101"/>
      <c r="AJ899" s="106"/>
    </row>
    <row r="900" spans="2:36" s="126" customFormat="1" ht="17.100000000000001" customHeight="1">
      <c r="B900" s="118"/>
      <c r="C900" s="119"/>
      <c r="D900" s="120"/>
      <c r="E900" s="121"/>
      <c r="F900" s="122"/>
      <c r="G900" s="123"/>
      <c r="H900" s="183"/>
      <c r="I900" s="363"/>
      <c r="J900" s="363"/>
      <c r="K900" s="124"/>
      <c r="L900" s="341"/>
      <c r="M900" s="342"/>
      <c r="N900" s="124"/>
      <c r="O900" s="341"/>
      <c r="P900" s="342"/>
      <c r="Q900" s="124"/>
      <c r="R900" s="341"/>
      <c r="S900" s="342"/>
      <c r="T900" s="124"/>
      <c r="U900" s="183"/>
      <c r="V900" s="99"/>
      <c r="W900" s="363"/>
      <c r="X900" s="363"/>
      <c r="Y900" s="124"/>
      <c r="Z900" s="101"/>
      <c r="AA900" s="183"/>
      <c r="AB900" s="99"/>
      <c r="AC900" s="363"/>
      <c r="AD900" s="363"/>
      <c r="AE900" s="124"/>
      <c r="AF900" s="364"/>
      <c r="AG900" s="363"/>
      <c r="AH900" s="143"/>
      <c r="AI900" s="101"/>
      <c r="AJ900" s="125"/>
    </row>
    <row r="901" spans="2:36" s="35" customFormat="1" ht="16.95" customHeight="1">
      <c r="B901" s="105"/>
      <c r="C901" s="54"/>
      <c r="D901" s="96"/>
      <c r="E901" s="111"/>
      <c r="F901" s="112"/>
      <c r="G901" s="113"/>
      <c r="H901" s="183"/>
      <c r="I901" s="98"/>
      <c r="J901" s="98"/>
      <c r="K901" s="101"/>
      <c r="L901" s="98"/>
      <c r="M901" s="98"/>
      <c r="N901" s="101"/>
      <c r="O901" s="98"/>
      <c r="P901" s="98"/>
      <c r="Q901" s="101"/>
      <c r="R901" s="98"/>
      <c r="S901" s="98"/>
      <c r="T901" s="101"/>
      <c r="U901" s="183"/>
      <c r="V901" s="99"/>
      <c r="W901" s="98"/>
      <c r="X901" s="98"/>
      <c r="Y901" s="101"/>
      <c r="Z901" s="101"/>
      <c r="AA901" s="183"/>
      <c r="AB901" s="99"/>
      <c r="AC901" s="98"/>
      <c r="AD901" s="98"/>
      <c r="AE901" s="101"/>
      <c r="AF901" s="98"/>
      <c r="AG901" s="98"/>
      <c r="AH901" s="99"/>
      <c r="AI901" s="101"/>
      <c r="AJ901" s="106"/>
    </row>
    <row r="902" spans="2:36" s="35" customFormat="1" ht="17.100000000000001" customHeight="1">
      <c r="B902" s="105"/>
      <c r="C902" s="54"/>
      <c r="D902" s="96"/>
      <c r="E902" s="111"/>
      <c r="F902" s="112"/>
      <c r="G902" s="113"/>
      <c r="H902" s="183"/>
      <c r="I902" s="98"/>
      <c r="J902" s="98"/>
      <c r="K902" s="101"/>
      <c r="L902" s="100"/>
      <c r="M902" s="98"/>
      <c r="N902" s="101"/>
      <c r="O902" s="100"/>
      <c r="P902" s="98"/>
      <c r="Q902" s="101"/>
      <c r="R902" s="100"/>
      <c r="S902" s="98"/>
      <c r="T902" s="101"/>
      <c r="U902" s="183"/>
      <c r="V902" s="99"/>
      <c r="W902" s="98"/>
      <c r="X902" s="98"/>
      <c r="Y902" s="101"/>
      <c r="Z902" s="101"/>
      <c r="AA902" s="183"/>
      <c r="AB902" s="99"/>
      <c r="AC902" s="98"/>
      <c r="AD902" s="98"/>
      <c r="AE902" s="101"/>
      <c r="AF902" s="100"/>
      <c r="AG902" s="98"/>
      <c r="AH902" s="99"/>
      <c r="AI902" s="101"/>
      <c r="AJ902" s="106"/>
    </row>
    <row r="903" spans="2:36" s="35" customFormat="1" ht="17.100000000000001" customHeight="1">
      <c r="B903" s="105"/>
      <c r="C903" s="54"/>
      <c r="D903" s="96"/>
      <c r="E903" s="111"/>
      <c r="F903" s="112"/>
      <c r="G903" s="113"/>
      <c r="H903" s="183"/>
      <c r="I903" s="98"/>
      <c r="J903" s="98"/>
      <c r="K903" s="101"/>
      <c r="L903" s="100"/>
      <c r="M903" s="98"/>
      <c r="N903" s="101"/>
      <c r="O903" s="100"/>
      <c r="P903" s="98"/>
      <c r="Q903" s="101"/>
      <c r="R903" s="100"/>
      <c r="S903" s="98"/>
      <c r="T903" s="101"/>
      <c r="U903" s="183"/>
      <c r="V903" s="99"/>
      <c r="W903" s="98"/>
      <c r="X903" s="98"/>
      <c r="Y903" s="101"/>
      <c r="Z903" s="101"/>
      <c r="AA903" s="183"/>
      <c r="AB903" s="99"/>
      <c r="AC903" s="98"/>
      <c r="AD903" s="98"/>
      <c r="AE903" s="101"/>
      <c r="AF903" s="100"/>
      <c r="AG903" s="98"/>
      <c r="AH903" s="99"/>
      <c r="AI903" s="101"/>
      <c r="AJ903" s="106"/>
    </row>
    <row r="904" spans="2:36" s="35" customFormat="1" ht="17.100000000000001" customHeight="1">
      <c r="B904" s="105"/>
      <c r="C904" s="54"/>
      <c r="D904" s="96"/>
      <c r="E904" s="111"/>
      <c r="F904" s="112"/>
      <c r="G904" s="113"/>
      <c r="H904" s="183"/>
      <c r="I904" s="98"/>
      <c r="J904" s="98"/>
      <c r="K904" s="101"/>
      <c r="L904" s="100"/>
      <c r="M904" s="98"/>
      <c r="N904" s="101"/>
      <c r="O904" s="100"/>
      <c r="P904" s="98"/>
      <c r="Q904" s="101"/>
      <c r="R904" s="100"/>
      <c r="S904" s="98"/>
      <c r="T904" s="101"/>
      <c r="U904" s="183"/>
      <c r="V904" s="99"/>
      <c r="W904" s="98"/>
      <c r="X904" s="98"/>
      <c r="Y904" s="101"/>
      <c r="Z904" s="101"/>
      <c r="AA904" s="183"/>
      <c r="AB904" s="99"/>
      <c r="AC904" s="98"/>
      <c r="AD904" s="98"/>
      <c r="AE904" s="101"/>
      <c r="AF904" s="100"/>
      <c r="AG904" s="98"/>
      <c r="AH904" s="99"/>
      <c r="AI904" s="101"/>
      <c r="AJ904" s="106"/>
    </row>
    <row r="905" spans="2:36" s="35" customFormat="1" ht="17.100000000000001" customHeight="1">
      <c r="B905" s="105"/>
      <c r="C905" s="54"/>
      <c r="D905" s="96"/>
      <c r="E905" s="111"/>
      <c r="F905" s="112"/>
      <c r="G905" s="113"/>
      <c r="H905" s="183"/>
      <c r="I905" s="98"/>
      <c r="J905" s="98"/>
      <c r="K905" s="101"/>
      <c r="L905" s="100"/>
      <c r="M905" s="98"/>
      <c r="N905" s="101"/>
      <c r="O905" s="100"/>
      <c r="P905" s="98"/>
      <c r="Q905" s="101"/>
      <c r="R905" s="100"/>
      <c r="S905" s="98"/>
      <c r="T905" s="101"/>
      <c r="U905" s="183"/>
      <c r="V905" s="99"/>
      <c r="W905" s="98"/>
      <c r="X905" s="98"/>
      <c r="Y905" s="101"/>
      <c r="Z905" s="101"/>
      <c r="AA905" s="183"/>
      <c r="AB905" s="99"/>
      <c r="AC905" s="98"/>
      <c r="AD905" s="98"/>
      <c r="AE905" s="101"/>
      <c r="AF905" s="100"/>
      <c r="AG905" s="98"/>
      <c r="AH905" s="99"/>
      <c r="AI905" s="101"/>
      <c r="AJ905" s="106"/>
    </row>
    <row r="906" spans="2:36" s="35" customFormat="1" ht="17.100000000000001" customHeight="1">
      <c r="B906" s="105"/>
      <c r="C906" s="54"/>
      <c r="D906" s="96"/>
      <c r="E906" s="111"/>
      <c r="F906" s="112"/>
      <c r="G906" s="113"/>
      <c r="H906" s="183"/>
      <c r="I906" s="98"/>
      <c r="J906" s="98"/>
      <c r="K906" s="101"/>
      <c r="L906" s="100"/>
      <c r="M906" s="98"/>
      <c r="N906" s="101"/>
      <c r="O906" s="100"/>
      <c r="P906" s="98"/>
      <c r="Q906" s="101"/>
      <c r="R906" s="100"/>
      <c r="S906" s="98"/>
      <c r="T906" s="101"/>
      <c r="U906" s="183"/>
      <c r="V906" s="99"/>
      <c r="W906" s="98"/>
      <c r="X906" s="98"/>
      <c r="Y906" s="101"/>
      <c r="Z906" s="101"/>
      <c r="AA906" s="183"/>
      <c r="AB906" s="99"/>
      <c r="AC906" s="98"/>
      <c r="AD906" s="98"/>
      <c r="AE906" s="101"/>
      <c r="AF906" s="100"/>
      <c r="AG906" s="98"/>
      <c r="AH906" s="99"/>
      <c r="AI906" s="101"/>
      <c r="AJ906" s="106"/>
    </row>
    <row r="907" spans="2:36" s="35" customFormat="1" ht="17.100000000000001" customHeight="1">
      <c r="B907" s="105"/>
      <c r="C907" s="54"/>
      <c r="D907" s="96"/>
      <c r="E907" s="111"/>
      <c r="F907" s="112"/>
      <c r="G907" s="113"/>
      <c r="H907" s="183"/>
      <c r="I907" s="98"/>
      <c r="J907" s="98"/>
      <c r="K907" s="101"/>
      <c r="L907" s="100"/>
      <c r="M907" s="98"/>
      <c r="N907" s="101"/>
      <c r="O907" s="100"/>
      <c r="P907" s="98"/>
      <c r="Q907" s="101"/>
      <c r="R907" s="100"/>
      <c r="S907" s="98"/>
      <c r="T907" s="101"/>
      <c r="U907" s="183"/>
      <c r="V907" s="99"/>
      <c r="W907" s="98"/>
      <c r="X907" s="98"/>
      <c r="Y907" s="101"/>
      <c r="Z907" s="101"/>
      <c r="AA907" s="183"/>
      <c r="AB907" s="99"/>
      <c r="AC907" s="98"/>
      <c r="AD907" s="98"/>
      <c r="AE907" s="101"/>
      <c r="AF907" s="100"/>
      <c r="AG907" s="98"/>
      <c r="AH907" s="99"/>
      <c r="AI907" s="101"/>
      <c r="AJ907" s="106"/>
    </row>
    <row r="908" spans="2:36" s="126" customFormat="1" ht="17.100000000000001" customHeight="1">
      <c r="B908" s="118"/>
      <c r="C908" s="119"/>
      <c r="D908" s="120"/>
      <c r="E908" s="121"/>
      <c r="F908" s="122"/>
      <c r="G908" s="123"/>
      <c r="H908" s="183"/>
      <c r="I908" s="363"/>
      <c r="J908" s="363"/>
      <c r="K908" s="124"/>
      <c r="L908" s="341"/>
      <c r="M908" s="342"/>
      <c r="N908" s="124"/>
      <c r="O908" s="341"/>
      <c r="P908" s="342"/>
      <c r="Q908" s="124"/>
      <c r="R908" s="341"/>
      <c r="S908" s="342"/>
      <c r="T908" s="124"/>
      <c r="U908" s="183"/>
      <c r="V908" s="99"/>
      <c r="W908" s="363"/>
      <c r="X908" s="363"/>
      <c r="Y908" s="124"/>
      <c r="Z908" s="101"/>
      <c r="AA908" s="183"/>
      <c r="AB908" s="99"/>
      <c r="AC908" s="363"/>
      <c r="AD908" s="363"/>
      <c r="AE908" s="124"/>
      <c r="AF908" s="364"/>
      <c r="AG908" s="363"/>
      <c r="AH908" s="143"/>
      <c r="AI908" s="101"/>
      <c r="AJ908" s="125"/>
    </row>
    <row r="909" spans="2:36" s="35" customFormat="1" ht="16.95" customHeight="1">
      <c r="B909" s="248"/>
      <c r="C909" s="249"/>
      <c r="D909" s="250"/>
      <c r="E909" s="251"/>
      <c r="F909" s="112"/>
      <c r="G909" s="113"/>
      <c r="H909" s="183"/>
      <c r="I909" s="98"/>
      <c r="J909" s="98"/>
      <c r="K909" s="101"/>
      <c r="L909" s="98"/>
      <c r="M909" s="98"/>
      <c r="N909" s="101"/>
      <c r="O909" s="98"/>
      <c r="P909" s="98"/>
      <c r="Q909" s="101"/>
      <c r="R909" s="98"/>
      <c r="S909" s="98"/>
      <c r="T909" s="101"/>
      <c r="U909" s="183"/>
      <c r="V909" s="99"/>
      <c r="W909" s="98"/>
      <c r="X909" s="98"/>
      <c r="Y909" s="101"/>
      <c r="Z909" s="101"/>
      <c r="AA909" s="183"/>
      <c r="AB909" s="99"/>
      <c r="AC909" s="98"/>
      <c r="AD909" s="98"/>
      <c r="AE909" s="101"/>
      <c r="AF909" s="98"/>
      <c r="AG909" s="98"/>
      <c r="AH909" s="99"/>
      <c r="AI909" s="101"/>
      <c r="AJ909" s="106"/>
    </row>
    <row r="910" spans="2:36" s="35" customFormat="1" ht="17.100000000000001" customHeight="1">
      <c r="B910" s="105"/>
      <c r="C910" s="54"/>
      <c r="D910" s="96"/>
      <c r="E910" s="111"/>
      <c r="F910" s="112"/>
      <c r="G910" s="113"/>
      <c r="H910" s="183"/>
      <c r="I910" s="98"/>
      <c r="J910" s="98"/>
      <c r="K910" s="101"/>
      <c r="L910" s="100"/>
      <c r="M910" s="98"/>
      <c r="N910" s="101"/>
      <c r="O910" s="100"/>
      <c r="P910" s="98"/>
      <c r="Q910" s="101"/>
      <c r="R910" s="100"/>
      <c r="S910" s="98"/>
      <c r="T910" s="101"/>
      <c r="U910" s="183"/>
      <c r="V910" s="99"/>
      <c r="W910" s="98"/>
      <c r="X910" s="98"/>
      <c r="Y910" s="101"/>
      <c r="Z910" s="101"/>
      <c r="AA910" s="183"/>
      <c r="AB910" s="99"/>
      <c r="AC910" s="98"/>
      <c r="AD910" s="98"/>
      <c r="AE910" s="101"/>
      <c r="AF910" s="100"/>
      <c r="AG910" s="98"/>
      <c r="AH910" s="99"/>
      <c r="AI910" s="101"/>
      <c r="AJ910" s="106"/>
    </row>
    <row r="911" spans="2:36" s="35" customFormat="1" ht="17.100000000000001" customHeight="1">
      <c r="B911" s="105"/>
      <c r="C911" s="54"/>
      <c r="D911" s="96"/>
      <c r="E911" s="111"/>
      <c r="F911" s="112"/>
      <c r="G911" s="113"/>
      <c r="H911" s="183"/>
      <c r="I911" s="98"/>
      <c r="J911" s="98"/>
      <c r="K911" s="101"/>
      <c r="L911" s="100"/>
      <c r="M911" s="98"/>
      <c r="N911" s="101"/>
      <c r="O911" s="100"/>
      <c r="P911" s="98"/>
      <c r="Q911" s="101"/>
      <c r="R911" s="100"/>
      <c r="S911" s="98"/>
      <c r="T911" s="101"/>
      <c r="U911" s="183"/>
      <c r="V911" s="99"/>
      <c r="W911" s="98"/>
      <c r="X911" s="98"/>
      <c r="Y911" s="101"/>
      <c r="Z911" s="101"/>
      <c r="AA911" s="183"/>
      <c r="AB911" s="99"/>
      <c r="AC911" s="98"/>
      <c r="AD911" s="98"/>
      <c r="AE911" s="101"/>
      <c r="AF911" s="100"/>
      <c r="AG911" s="98"/>
      <c r="AH911" s="99"/>
      <c r="AI911" s="101"/>
      <c r="AJ911" s="106"/>
    </row>
    <row r="912" spans="2:36" s="35" customFormat="1" ht="17.100000000000001" customHeight="1">
      <c r="B912" s="105"/>
      <c r="C912" s="54"/>
      <c r="D912" s="96"/>
      <c r="E912" s="111"/>
      <c r="F912" s="112"/>
      <c r="G912" s="113"/>
      <c r="H912" s="183"/>
      <c r="I912" s="98"/>
      <c r="J912" s="98"/>
      <c r="K912" s="101"/>
      <c r="L912" s="100"/>
      <c r="M912" s="98"/>
      <c r="N912" s="101"/>
      <c r="O912" s="100"/>
      <c r="P912" s="98"/>
      <c r="Q912" s="101"/>
      <c r="R912" s="100"/>
      <c r="S912" s="98"/>
      <c r="T912" s="101"/>
      <c r="U912" s="183"/>
      <c r="V912" s="99"/>
      <c r="W912" s="98"/>
      <c r="X912" s="98"/>
      <c r="Y912" s="101"/>
      <c r="Z912" s="101"/>
      <c r="AA912" s="183"/>
      <c r="AB912" s="99"/>
      <c r="AC912" s="98"/>
      <c r="AD912" s="98"/>
      <c r="AE912" s="101"/>
      <c r="AF912" s="100"/>
      <c r="AG912" s="98"/>
      <c r="AH912" s="99"/>
      <c r="AI912" s="101"/>
      <c r="AJ912" s="106"/>
    </row>
    <row r="913" spans="2:36" s="35" customFormat="1" ht="17.100000000000001" customHeight="1">
      <c r="B913" s="105"/>
      <c r="C913" s="54"/>
      <c r="D913" s="96"/>
      <c r="E913" s="111"/>
      <c r="F913" s="112"/>
      <c r="G913" s="113"/>
      <c r="H913" s="183"/>
      <c r="I913" s="98"/>
      <c r="J913" s="98"/>
      <c r="K913" s="101"/>
      <c r="L913" s="100"/>
      <c r="M913" s="98"/>
      <c r="N913" s="101"/>
      <c r="O913" s="100"/>
      <c r="P913" s="98"/>
      <c r="Q913" s="101"/>
      <c r="R913" s="100"/>
      <c r="S913" s="98"/>
      <c r="T913" s="101"/>
      <c r="U913" s="183"/>
      <c r="V913" s="99"/>
      <c r="W913" s="98"/>
      <c r="X913" s="98"/>
      <c r="Y913" s="101"/>
      <c r="Z913" s="101"/>
      <c r="AA913" s="183"/>
      <c r="AB913" s="99"/>
      <c r="AC913" s="98"/>
      <c r="AD913" s="98"/>
      <c r="AE913" s="101"/>
      <c r="AF913" s="100"/>
      <c r="AG913" s="98"/>
      <c r="AH913" s="99"/>
      <c r="AI913" s="101"/>
      <c r="AJ913" s="106"/>
    </row>
    <row r="914" spans="2:36" s="35" customFormat="1" ht="17.100000000000001" customHeight="1">
      <c r="B914" s="105"/>
      <c r="C914" s="54"/>
      <c r="D914" s="96"/>
      <c r="E914" s="111"/>
      <c r="F914" s="112"/>
      <c r="G914" s="113"/>
      <c r="H914" s="183"/>
      <c r="I914" s="98"/>
      <c r="J914" s="98"/>
      <c r="K914" s="101"/>
      <c r="L914" s="100"/>
      <c r="M914" s="98"/>
      <c r="N914" s="101"/>
      <c r="O914" s="100"/>
      <c r="P914" s="98"/>
      <c r="Q914" s="101"/>
      <c r="R914" s="100"/>
      <c r="S914" s="98"/>
      <c r="T914" s="101"/>
      <c r="U914" s="183"/>
      <c r="V914" s="99"/>
      <c r="W914" s="98"/>
      <c r="X914" s="98"/>
      <c r="Y914" s="101"/>
      <c r="Z914" s="101"/>
      <c r="AA914" s="183"/>
      <c r="AB914" s="99"/>
      <c r="AC914" s="98"/>
      <c r="AD914" s="98"/>
      <c r="AE914" s="101"/>
      <c r="AF914" s="100"/>
      <c r="AG914" s="98"/>
      <c r="AH914" s="99"/>
      <c r="AI914" s="101"/>
      <c r="AJ914" s="106"/>
    </row>
    <row r="915" spans="2:36" s="35" customFormat="1" ht="17.100000000000001" customHeight="1">
      <c r="B915" s="105"/>
      <c r="C915" s="54"/>
      <c r="D915" s="96"/>
      <c r="E915" s="111"/>
      <c r="F915" s="112"/>
      <c r="G915" s="113"/>
      <c r="H915" s="183"/>
      <c r="I915" s="98"/>
      <c r="J915" s="98"/>
      <c r="K915" s="101"/>
      <c r="L915" s="100"/>
      <c r="M915" s="98"/>
      <c r="N915" s="101"/>
      <c r="O915" s="100"/>
      <c r="P915" s="98"/>
      <c r="Q915" s="101"/>
      <c r="R915" s="100"/>
      <c r="S915" s="98"/>
      <c r="T915" s="101"/>
      <c r="U915" s="183"/>
      <c r="V915" s="99"/>
      <c r="W915" s="98"/>
      <c r="X915" s="98"/>
      <c r="Y915" s="101"/>
      <c r="Z915" s="101"/>
      <c r="AA915" s="183"/>
      <c r="AB915" s="99"/>
      <c r="AC915" s="98"/>
      <c r="AD915" s="98"/>
      <c r="AE915" s="101"/>
      <c r="AF915" s="100"/>
      <c r="AG915" s="98"/>
      <c r="AH915" s="99"/>
      <c r="AI915" s="101"/>
      <c r="AJ915" s="106"/>
    </row>
    <row r="916" spans="2:36" s="126" customFormat="1" ht="17.100000000000001" customHeight="1" thickBot="1">
      <c r="B916" s="128"/>
      <c r="C916" s="154"/>
      <c r="D916" s="155"/>
      <c r="E916" s="156"/>
      <c r="F916" s="129"/>
      <c r="G916" s="130"/>
      <c r="H916" s="184"/>
      <c r="I916" s="361"/>
      <c r="J916" s="361"/>
      <c r="K916" s="131"/>
      <c r="L916" s="344"/>
      <c r="M916" s="345"/>
      <c r="N916" s="131"/>
      <c r="O916" s="344"/>
      <c r="P916" s="345"/>
      <c r="Q916" s="131"/>
      <c r="R916" s="344"/>
      <c r="S916" s="345"/>
      <c r="T916" s="131"/>
      <c r="U916" s="184"/>
      <c r="V916" s="160"/>
      <c r="W916" s="361"/>
      <c r="X916" s="361"/>
      <c r="Y916" s="131"/>
      <c r="Z916" s="133"/>
      <c r="AA916" s="184"/>
      <c r="AB916" s="160"/>
      <c r="AC916" s="361"/>
      <c r="AD916" s="361"/>
      <c r="AE916" s="131"/>
      <c r="AF916" s="362"/>
      <c r="AG916" s="361"/>
      <c r="AH916" s="144"/>
      <c r="AI916" s="133"/>
      <c r="AJ916" s="134"/>
    </row>
    <row r="917" spans="2:36" s="57" customFormat="1" ht="10.199999999999999" customHeight="1" thickBot="1">
      <c r="B917" s="59"/>
      <c r="C917" s="60"/>
      <c r="D917" s="60"/>
      <c r="E917" s="60"/>
      <c r="F917" s="60"/>
      <c r="G917" s="60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  <c r="AI917" s="117"/>
      <c r="AJ917" s="64"/>
    </row>
    <row r="918" spans="2:36" s="57" customFormat="1" ht="5.25" customHeight="1"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</row>
    <row r="919" spans="2:36" s="57" customFormat="1" ht="12" customHeight="1">
      <c r="B919" s="65" t="s">
        <v>39</v>
      </c>
      <c r="C919" s="14"/>
      <c r="D919" s="14"/>
      <c r="E919" s="14"/>
      <c r="F919" s="14"/>
      <c r="G919" s="14"/>
      <c r="I919" s="66"/>
      <c r="J919" s="66"/>
      <c r="L919" s="66"/>
      <c r="M919" s="66"/>
      <c r="R919" s="66"/>
      <c r="S919" s="66"/>
      <c r="W919" s="66"/>
      <c r="X919" s="66"/>
      <c r="AC919" s="66"/>
      <c r="AD919" s="66"/>
      <c r="AF919" s="66"/>
      <c r="AG919" s="66"/>
      <c r="AJ919" s="66"/>
    </row>
    <row r="920" spans="2:36" s="57" customFormat="1" ht="3" customHeight="1" thickBot="1">
      <c r="B920" s="65"/>
      <c r="C920" s="14"/>
      <c r="D920" s="14"/>
      <c r="E920" s="14"/>
      <c r="F920" s="14"/>
      <c r="G920" s="14"/>
      <c r="I920" s="66"/>
      <c r="J920" s="66"/>
      <c r="L920" s="66"/>
      <c r="M920" s="66"/>
      <c r="R920" s="66"/>
      <c r="S920" s="66"/>
      <c r="W920" s="66"/>
      <c r="X920" s="66"/>
      <c r="AC920" s="66"/>
      <c r="AD920" s="66"/>
      <c r="AF920" s="66"/>
      <c r="AG920" s="66"/>
      <c r="AJ920" s="66"/>
    </row>
    <row r="921" spans="2:36" s="57" customFormat="1" ht="15" customHeight="1">
      <c r="B921" s="65" t="s">
        <v>41</v>
      </c>
      <c r="D921" s="14"/>
      <c r="E921" s="14"/>
      <c r="F921" s="14"/>
      <c r="G921" s="14"/>
      <c r="J921" s="161"/>
      <c r="K921" s="162" t="s">
        <v>179</v>
      </c>
      <c r="L921" s="162"/>
      <c r="M921" s="163"/>
      <c r="N921" s="162"/>
      <c r="O921" s="162"/>
      <c r="P921" s="164"/>
      <c r="AJ921" s="14"/>
    </row>
    <row r="922" spans="2:36" s="67" customFormat="1" ht="15" customHeight="1">
      <c r="B922" s="68" t="s">
        <v>42</v>
      </c>
      <c r="C922" s="69" t="s">
        <v>43</v>
      </c>
      <c r="D922" s="70"/>
      <c r="E922" s="70"/>
      <c r="F922" s="70"/>
      <c r="G922" s="70"/>
      <c r="J922" s="165"/>
      <c r="K922" s="70">
        <v>1</v>
      </c>
      <c r="L922" s="67" t="s">
        <v>181</v>
      </c>
      <c r="P922" s="166"/>
      <c r="AJ922" s="69"/>
    </row>
    <row r="923" spans="2:36" s="67" customFormat="1" ht="15" customHeight="1">
      <c r="B923" s="68" t="s">
        <v>44</v>
      </c>
      <c r="C923" s="69" t="s">
        <v>45</v>
      </c>
      <c r="D923" s="70"/>
      <c r="E923" s="70"/>
      <c r="F923" s="70"/>
      <c r="G923" s="70"/>
      <c r="J923" s="165"/>
      <c r="K923" s="70">
        <v>2</v>
      </c>
      <c r="L923" s="67" t="s">
        <v>182</v>
      </c>
      <c r="P923" s="166"/>
      <c r="AJ923" s="69"/>
    </row>
    <row r="924" spans="2:36" s="67" customFormat="1" ht="15" customHeight="1">
      <c r="B924" s="68" t="s">
        <v>46</v>
      </c>
      <c r="C924" s="69" t="s">
        <v>47</v>
      </c>
      <c r="D924" s="70"/>
      <c r="E924" s="70"/>
      <c r="F924" s="70"/>
      <c r="G924" s="70"/>
      <c r="J924" s="165"/>
      <c r="K924" s="70">
        <v>3</v>
      </c>
      <c r="L924" s="67" t="s">
        <v>183</v>
      </c>
      <c r="P924" s="166"/>
      <c r="AJ924" s="69"/>
    </row>
    <row r="925" spans="2:36" s="67" customFormat="1" ht="15" customHeight="1">
      <c r="B925" s="68" t="s">
        <v>48</v>
      </c>
      <c r="C925" s="69" t="s">
        <v>49</v>
      </c>
      <c r="D925" s="70"/>
      <c r="E925" s="70"/>
      <c r="F925" s="70"/>
      <c r="G925" s="70"/>
      <c r="J925" s="165"/>
      <c r="K925" s="70">
        <v>4</v>
      </c>
      <c r="L925" s="67" t="s">
        <v>184</v>
      </c>
      <c r="P925" s="166"/>
      <c r="AJ925" s="69"/>
    </row>
    <row r="926" spans="2:36" s="67" customFormat="1" ht="15" customHeight="1">
      <c r="B926" s="68" t="s">
        <v>50</v>
      </c>
      <c r="C926" s="69" t="s">
        <v>51</v>
      </c>
      <c r="D926" s="70"/>
      <c r="E926" s="70"/>
      <c r="F926" s="70"/>
      <c r="G926" s="70"/>
      <c r="J926" s="165"/>
      <c r="P926" s="166"/>
      <c r="AJ926" s="68"/>
    </row>
    <row r="927" spans="2:36" s="67" customFormat="1" ht="15" customHeight="1">
      <c r="B927" s="68" t="s">
        <v>52</v>
      </c>
      <c r="C927" s="69" t="s">
        <v>53</v>
      </c>
      <c r="D927" s="70"/>
      <c r="E927" s="70"/>
      <c r="F927" s="70"/>
      <c r="G927" s="70"/>
      <c r="J927" s="167"/>
      <c r="K927" s="67" t="s">
        <v>185</v>
      </c>
      <c r="L927" s="70"/>
      <c r="P927" s="166"/>
      <c r="S927" s="70"/>
      <c r="X927" s="70"/>
      <c r="AD927" s="70"/>
      <c r="AG927" s="70"/>
    </row>
    <row r="928" spans="2:36" s="67" customFormat="1" ht="15" customHeight="1">
      <c r="B928" s="68" t="s">
        <v>54</v>
      </c>
      <c r="C928" s="69" t="s">
        <v>55</v>
      </c>
      <c r="D928" s="70"/>
      <c r="E928" s="70"/>
      <c r="F928" s="70"/>
      <c r="G928" s="70"/>
      <c r="J928" s="167"/>
      <c r="K928" s="70">
        <v>1</v>
      </c>
      <c r="L928" s="69" t="s">
        <v>181</v>
      </c>
      <c r="P928" s="166"/>
      <c r="S928" s="70"/>
      <c r="X928" s="70"/>
      <c r="AD928" s="70"/>
      <c r="AG928" s="70"/>
      <c r="AJ928" s="69"/>
    </row>
    <row r="929" spans="2:36" s="67" customFormat="1" ht="15" customHeight="1">
      <c r="B929" s="68" t="s">
        <v>56</v>
      </c>
      <c r="C929" s="69" t="s">
        <v>57</v>
      </c>
      <c r="D929" s="70"/>
      <c r="E929" s="70"/>
      <c r="F929" s="70"/>
      <c r="G929" s="70"/>
      <c r="J929" s="167"/>
      <c r="K929" s="70">
        <v>2</v>
      </c>
      <c r="L929" s="69" t="s">
        <v>186</v>
      </c>
      <c r="P929" s="166"/>
      <c r="S929" s="70"/>
      <c r="X929" s="70"/>
      <c r="AD929" s="70"/>
      <c r="AG929" s="70"/>
      <c r="AJ929" s="69"/>
    </row>
    <row r="930" spans="2:36" s="71" customFormat="1" ht="15" customHeight="1">
      <c r="B930" s="68" t="s">
        <v>58</v>
      </c>
      <c r="C930" s="69" t="s">
        <v>59</v>
      </c>
      <c r="D930" s="70"/>
      <c r="E930" s="70"/>
      <c r="F930" s="70"/>
      <c r="G930" s="70"/>
      <c r="J930" s="167"/>
      <c r="K930" s="70">
        <v>3</v>
      </c>
      <c r="L930" s="69" t="s">
        <v>187</v>
      </c>
      <c r="M930" s="67"/>
      <c r="P930" s="168"/>
      <c r="S930" s="70"/>
      <c r="X930" s="70"/>
      <c r="AD930" s="70"/>
      <c r="AG930" s="70"/>
    </row>
    <row r="931" spans="2:36" s="72" customFormat="1" ht="15" customHeight="1">
      <c r="B931" s="68" t="s">
        <v>60</v>
      </c>
      <c r="C931" s="69" t="s">
        <v>61</v>
      </c>
      <c r="D931" s="70"/>
      <c r="E931" s="70"/>
      <c r="F931" s="70"/>
      <c r="G931" s="70"/>
      <c r="J931" s="167"/>
      <c r="K931" s="70">
        <v>4</v>
      </c>
      <c r="L931" s="69" t="s">
        <v>188</v>
      </c>
      <c r="M931" s="67"/>
      <c r="P931" s="169"/>
      <c r="S931" s="70"/>
      <c r="X931" s="70"/>
      <c r="AD931" s="70"/>
      <c r="AG931" s="70"/>
      <c r="AJ931" s="73"/>
    </row>
    <row r="932" spans="2:36" ht="10.199999999999999" customHeight="1">
      <c r="B932" s="68"/>
      <c r="C932" s="70"/>
      <c r="D932" s="70"/>
      <c r="E932" s="70"/>
      <c r="F932" s="70"/>
      <c r="G932" s="70"/>
      <c r="J932" s="167"/>
      <c r="L932" s="70"/>
      <c r="M932" s="69"/>
      <c r="P932" s="170"/>
      <c r="S932" s="70"/>
      <c r="X932" s="70"/>
      <c r="AD932" s="70"/>
      <c r="AG932" s="70"/>
    </row>
    <row r="933" spans="2:36">
      <c r="B933" s="65" t="s">
        <v>62</v>
      </c>
      <c r="D933" s="70"/>
      <c r="E933" s="70"/>
      <c r="F933" s="70"/>
      <c r="G933" s="70"/>
      <c r="J933" s="167"/>
      <c r="K933" s="1" t="s">
        <v>189</v>
      </c>
      <c r="L933" s="70"/>
      <c r="M933" s="69"/>
      <c r="P933" s="170"/>
      <c r="S933" s="70"/>
      <c r="X933" s="70"/>
      <c r="AD933" s="70"/>
      <c r="AG933" s="70"/>
    </row>
    <row r="934" spans="2:36">
      <c r="B934" s="68" t="s">
        <v>42</v>
      </c>
      <c r="C934" s="74" t="s">
        <v>63</v>
      </c>
      <c r="D934" s="70"/>
      <c r="E934" s="70"/>
      <c r="F934" s="70"/>
      <c r="G934" s="70"/>
      <c r="J934" s="167"/>
      <c r="K934" s="70">
        <v>1</v>
      </c>
      <c r="L934" s="69" t="s">
        <v>181</v>
      </c>
      <c r="M934" s="69"/>
      <c r="P934" s="170"/>
      <c r="S934" s="70"/>
      <c r="X934" s="70"/>
      <c r="AD934" s="70"/>
      <c r="AG934" s="70"/>
    </row>
    <row r="935" spans="2:36">
      <c r="B935" s="68" t="s">
        <v>44</v>
      </c>
      <c r="C935" s="74" t="s">
        <v>64</v>
      </c>
      <c r="D935" s="70"/>
      <c r="E935" s="70"/>
      <c r="F935" s="70"/>
      <c r="G935" s="70"/>
      <c r="J935" s="165"/>
      <c r="K935" s="70">
        <v>2</v>
      </c>
      <c r="L935" s="69" t="s">
        <v>194</v>
      </c>
      <c r="M935" s="69"/>
      <c r="P935" s="170"/>
      <c r="S935" s="67"/>
      <c r="X935" s="67"/>
      <c r="AD935" s="67"/>
      <c r="AG935" s="67"/>
    </row>
    <row r="936" spans="2:36">
      <c r="B936" s="68" t="s">
        <v>46</v>
      </c>
      <c r="C936" s="74" t="s">
        <v>65</v>
      </c>
      <c r="D936" s="75"/>
      <c r="E936" s="75"/>
      <c r="F936" s="75"/>
      <c r="G936" s="75"/>
      <c r="J936" s="171"/>
      <c r="K936" s="70">
        <v>3</v>
      </c>
      <c r="L936" s="69" t="s">
        <v>195</v>
      </c>
      <c r="M936" s="69"/>
      <c r="P936" s="170"/>
      <c r="S936" s="76"/>
      <c r="X936" s="76"/>
      <c r="AD936" s="76"/>
      <c r="AG936" s="76"/>
    </row>
    <row r="937" spans="2:36">
      <c r="B937" s="77" t="s">
        <v>66</v>
      </c>
      <c r="C937" s="74" t="s">
        <v>67</v>
      </c>
      <c r="J937" s="172"/>
      <c r="K937" s="70">
        <v>4</v>
      </c>
      <c r="L937" s="69" t="s">
        <v>196</v>
      </c>
      <c r="P937" s="170"/>
    </row>
    <row r="938" spans="2:36" ht="15" thickBot="1">
      <c r="B938" s="77" t="s">
        <v>50</v>
      </c>
      <c r="C938" s="74" t="s">
        <v>68</v>
      </c>
      <c r="J938" s="173"/>
      <c r="K938" s="174">
        <v>5</v>
      </c>
      <c r="L938" s="175" t="s">
        <v>197</v>
      </c>
      <c r="M938" s="176"/>
      <c r="N938" s="176"/>
      <c r="O938" s="176"/>
      <c r="P938" s="177"/>
    </row>
    <row r="939" spans="2:36">
      <c r="B939" s="77" t="s">
        <v>52</v>
      </c>
      <c r="C939" s="74" t="s">
        <v>69</v>
      </c>
    </row>
    <row r="940" spans="2:36" ht="10.199999999999999" customHeight="1">
      <c r="B940" s="68"/>
      <c r="C940" s="70"/>
      <c r="D940" s="70"/>
      <c r="E940" s="70"/>
      <c r="F940" s="70"/>
      <c r="G940" s="70"/>
      <c r="J940" s="70"/>
      <c r="L940" s="70"/>
      <c r="M940" s="69"/>
      <c r="S940" s="70"/>
      <c r="X940" s="70"/>
      <c r="AD940" s="70"/>
      <c r="AG940" s="70"/>
    </row>
    <row r="941" spans="2:36" ht="15" thickBot="1">
      <c r="B941" s="65" t="s">
        <v>70</v>
      </c>
    </row>
    <row r="942" spans="2:36">
      <c r="B942" s="68" t="s">
        <v>42</v>
      </c>
      <c r="C942" s="78" t="s">
        <v>43</v>
      </c>
      <c r="J942" s="179" t="s">
        <v>213</v>
      </c>
      <c r="K942" s="180"/>
      <c r="L942" s="180"/>
      <c r="M942" s="180"/>
      <c r="N942" s="180"/>
      <c r="O942" s="180"/>
      <c r="P942" s="180"/>
      <c r="Q942" s="180"/>
      <c r="R942" s="180"/>
      <c r="S942" s="180"/>
      <c r="T942" s="181"/>
    </row>
    <row r="943" spans="2:36">
      <c r="B943" s="68" t="s">
        <v>44</v>
      </c>
      <c r="C943" s="78" t="s">
        <v>71</v>
      </c>
      <c r="J943" s="172">
        <v>1</v>
      </c>
      <c r="K943" s="1" t="s">
        <v>215</v>
      </c>
      <c r="T943" s="170"/>
    </row>
    <row r="944" spans="2:36">
      <c r="B944" s="68" t="s">
        <v>46</v>
      </c>
      <c r="C944" s="78" t="s">
        <v>72</v>
      </c>
      <c r="J944" s="172">
        <v>2</v>
      </c>
      <c r="K944" s="1" t="s">
        <v>216</v>
      </c>
      <c r="T944" s="170"/>
    </row>
    <row r="945" spans="2:35">
      <c r="B945" s="68" t="s">
        <v>48</v>
      </c>
      <c r="C945" s="78" t="s">
        <v>73</v>
      </c>
      <c r="J945" s="172">
        <v>3</v>
      </c>
      <c r="K945" s="1" t="s">
        <v>217</v>
      </c>
      <c r="T945" s="170"/>
    </row>
    <row r="946" spans="2:35">
      <c r="B946" s="68" t="s">
        <v>50</v>
      </c>
      <c r="C946" s="78" t="s">
        <v>74</v>
      </c>
      <c r="J946" s="172">
        <v>4</v>
      </c>
      <c r="K946" s="1" t="s">
        <v>218</v>
      </c>
      <c r="T946" s="170"/>
    </row>
    <row r="947" spans="2:35">
      <c r="B947" s="68" t="s">
        <v>52</v>
      </c>
      <c r="C947" s="78" t="s">
        <v>75</v>
      </c>
      <c r="J947" s="172"/>
      <c r="T947" s="170"/>
    </row>
    <row r="948" spans="2:35">
      <c r="B948" s="68" t="s">
        <v>54</v>
      </c>
      <c r="C948" s="78" t="s">
        <v>76</v>
      </c>
      <c r="H948" s="78"/>
      <c r="J948" s="172" t="s">
        <v>222</v>
      </c>
      <c r="K948" s="78"/>
      <c r="N948" s="78" t="s">
        <v>223</v>
      </c>
      <c r="Q948" s="78" t="s">
        <v>243</v>
      </c>
      <c r="T948" s="182"/>
      <c r="U948" s="78"/>
      <c r="V948" s="78"/>
      <c r="Y948" s="78"/>
      <c r="Z948" s="78"/>
      <c r="AA948" s="78"/>
      <c r="AB948" s="78"/>
      <c r="AE948" s="78"/>
      <c r="AH948" s="78"/>
      <c r="AI948" s="78"/>
    </row>
    <row r="949" spans="2:35">
      <c r="B949" s="68" t="s">
        <v>56</v>
      </c>
      <c r="C949" s="78" t="s">
        <v>77</v>
      </c>
      <c r="J949" s="172">
        <v>1</v>
      </c>
      <c r="K949" s="1" t="s">
        <v>181</v>
      </c>
      <c r="N949" s="1">
        <v>1</v>
      </c>
      <c r="O949" s="1" t="s">
        <v>181</v>
      </c>
      <c r="Q949" s="1">
        <v>1</v>
      </c>
      <c r="R949" s="1" t="s">
        <v>181</v>
      </c>
      <c r="T949" s="170"/>
    </row>
    <row r="950" spans="2:35">
      <c r="J950" s="172">
        <v>2</v>
      </c>
      <c r="K950" s="1" t="s">
        <v>231</v>
      </c>
      <c r="N950" s="1">
        <v>2</v>
      </c>
      <c r="O950" s="1" t="s">
        <v>235</v>
      </c>
      <c r="Q950" s="1">
        <v>2</v>
      </c>
      <c r="R950" s="1" t="s">
        <v>235</v>
      </c>
      <c r="T950" s="170"/>
    </row>
    <row r="951" spans="2:35">
      <c r="B951" s="65" t="s">
        <v>161</v>
      </c>
      <c r="J951" s="172">
        <v>3</v>
      </c>
      <c r="K951" s="1" t="s">
        <v>232</v>
      </c>
      <c r="N951" s="1">
        <v>3</v>
      </c>
      <c r="O951" s="1" t="s">
        <v>236</v>
      </c>
      <c r="Q951" s="1">
        <v>3</v>
      </c>
      <c r="R951" s="1" t="s">
        <v>244</v>
      </c>
      <c r="T951" s="170"/>
    </row>
    <row r="952" spans="2:35">
      <c r="B952" s="68" t="s">
        <v>42</v>
      </c>
      <c r="C952" s="78" t="s">
        <v>162</v>
      </c>
      <c r="J952" s="172">
        <v>4</v>
      </c>
      <c r="K952" s="1" t="s">
        <v>233</v>
      </c>
      <c r="N952" s="1">
        <v>4</v>
      </c>
      <c r="O952" s="1" t="s">
        <v>237</v>
      </c>
      <c r="Q952" s="1">
        <v>4</v>
      </c>
      <c r="R952" s="1" t="s">
        <v>245</v>
      </c>
      <c r="T952" s="170"/>
    </row>
    <row r="953" spans="2:35">
      <c r="B953" s="68" t="s">
        <v>44</v>
      </c>
      <c r="C953" s="78" t="s">
        <v>163</v>
      </c>
      <c r="J953" s="172">
        <v>5</v>
      </c>
      <c r="K953" s="1" t="s">
        <v>234</v>
      </c>
      <c r="N953" s="1">
        <v>5</v>
      </c>
      <c r="O953" s="1" t="s">
        <v>238</v>
      </c>
      <c r="T953" s="170"/>
    </row>
    <row r="954" spans="2:35">
      <c r="B954" s="68" t="s">
        <v>46</v>
      </c>
      <c r="C954" s="78" t="s">
        <v>164</v>
      </c>
      <c r="J954" s="172"/>
      <c r="T954" s="170"/>
    </row>
    <row r="955" spans="2:35">
      <c r="B955" s="68" t="s">
        <v>48</v>
      </c>
      <c r="C955" s="78" t="s">
        <v>165</v>
      </c>
      <c r="J955" s="172" t="s">
        <v>225</v>
      </c>
      <c r="N955" s="1" t="s">
        <v>227</v>
      </c>
      <c r="O955" s="70"/>
      <c r="P955" s="69"/>
      <c r="T955" s="170"/>
    </row>
    <row r="956" spans="2:35">
      <c r="B956" s="68" t="s">
        <v>50</v>
      </c>
      <c r="C956" s="78" t="s">
        <v>166</v>
      </c>
      <c r="J956" s="172">
        <v>1</v>
      </c>
      <c r="K956" s="1" t="s">
        <v>241</v>
      </c>
      <c r="N956" s="70">
        <v>1</v>
      </c>
      <c r="O956" s="69" t="s">
        <v>181</v>
      </c>
      <c r="P956" s="69"/>
      <c r="T956" s="170"/>
    </row>
    <row r="957" spans="2:35">
      <c r="B957" s="68" t="s">
        <v>52</v>
      </c>
      <c r="C957" s="78" t="s">
        <v>167</v>
      </c>
      <c r="J957" s="172">
        <v>2</v>
      </c>
      <c r="K957" s="1" t="s">
        <v>239</v>
      </c>
      <c r="N957" s="70">
        <v>2</v>
      </c>
      <c r="O957" s="69" t="s">
        <v>194</v>
      </c>
      <c r="P957" s="69"/>
      <c r="T957" s="170"/>
    </row>
    <row r="958" spans="2:35">
      <c r="B958" s="68" t="s">
        <v>54</v>
      </c>
      <c r="C958" s="78" t="s">
        <v>168</v>
      </c>
      <c r="H958" s="78"/>
      <c r="J958" s="172">
        <v>3</v>
      </c>
      <c r="K958" s="1" t="s">
        <v>240</v>
      </c>
      <c r="N958" s="70">
        <v>3</v>
      </c>
      <c r="O958" s="69" t="s">
        <v>195</v>
      </c>
      <c r="P958" s="69"/>
      <c r="Q958" s="78"/>
      <c r="T958" s="182"/>
      <c r="U958" s="78"/>
      <c r="V958" s="78"/>
      <c r="Y958" s="78"/>
      <c r="Z958" s="78"/>
      <c r="AA958" s="78"/>
      <c r="AB958" s="78"/>
      <c r="AE958" s="78"/>
      <c r="AH958" s="78"/>
      <c r="AI958" s="78"/>
    </row>
    <row r="959" spans="2:35">
      <c r="J959" s="172">
        <v>4</v>
      </c>
      <c r="K959" s="1" t="s">
        <v>242</v>
      </c>
      <c r="N959" s="70">
        <v>4</v>
      </c>
      <c r="O959" s="69" t="s">
        <v>196</v>
      </c>
      <c r="T959" s="170"/>
    </row>
    <row r="960" spans="2:35" ht="15" thickBot="1">
      <c r="J960" s="173"/>
      <c r="K960" s="176"/>
      <c r="L960" s="176"/>
      <c r="M960" s="176"/>
      <c r="N960" s="174">
        <v>5</v>
      </c>
      <c r="O960" s="175" t="s">
        <v>197</v>
      </c>
      <c r="P960" s="176"/>
      <c r="Q960" s="176"/>
      <c r="R960" s="176"/>
      <c r="S960" s="176"/>
      <c r="T960" s="177"/>
    </row>
  </sheetData>
  <mergeCells count="798">
    <mergeCell ref="I44:J44"/>
    <mergeCell ref="L44:M44"/>
    <mergeCell ref="O44:P44"/>
    <mergeCell ref="R44:S44"/>
    <mergeCell ref="W44:X44"/>
    <mergeCell ref="AC44:AD44"/>
    <mergeCell ref="AF44:AG44"/>
    <mergeCell ref="I28:J28"/>
    <mergeCell ref="L28:M28"/>
    <mergeCell ref="O28:P28"/>
    <mergeCell ref="R28:S28"/>
    <mergeCell ref="W28:X28"/>
    <mergeCell ref="AC28:AD28"/>
    <mergeCell ref="AF28:AG28"/>
    <mergeCell ref="I36:J36"/>
    <mergeCell ref="L36:M36"/>
    <mergeCell ref="O36:P36"/>
    <mergeCell ref="R36:S36"/>
    <mergeCell ref="W36:X36"/>
    <mergeCell ref="AC36:AD36"/>
    <mergeCell ref="AF36:AG36"/>
    <mergeCell ref="B6:AJ6"/>
    <mergeCell ref="C18:E18"/>
    <mergeCell ref="F18:F19"/>
    <mergeCell ref="G18:G19"/>
    <mergeCell ref="AJ18:AJ19"/>
    <mergeCell ref="H18:AI18"/>
    <mergeCell ref="AF20:AI20"/>
    <mergeCell ref="H20:K20"/>
    <mergeCell ref="U20:Y20"/>
    <mergeCell ref="AA20:AE20"/>
    <mergeCell ref="B20:G20"/>
    <mergeCell ref="L20:N20"/>
    <mergeCell ref="O20:Q20"/>
    <mergeCell ref="R20:T20"/>
    <mergeCell ref="AC52:AD52"/>
    <mergeCell ref="AF52:AG52"/>
    <mergeCell ref="I60:J60"/>
    <mergeCell ref="L60:M60"/>
    <mergeCell ref="O60:P60"/>
    <mergeCell ref="R60:S60"/>
    <mergeCell ref="W60:X60"/>
    <mergeCell ref="I52:J52"/>
    <mergeCell ref="L52:M52"/>
    <mergeCell ref="O52:P52"/>
    <mergeCell ref="R52:S52"/>
    <mergeCell ref="W52:X52"/>
    <mergeCell ref="AC68:AD68"/>
    <mergeCell ref="AF68:AG68"/>
    <mergeCell ref="I76:J76"/>
    <mergeCell ref="L76:M76"/>
    <mergeCell ref="O76:P76"/>
    <mergeCell ref="R76:S76"/>
    <mergeCell ref="W76:X76"/>
    <mergeCell ref="AC60:AD60"/>
    <mergeCell ref="AF60:AG60"/>
    <mergeCell ref="I68:J68"/>
    <mergeCell ref="L68:M68"/>
    <mergeCell ref="O68:P68"/>
    <mergeCell ref="R68:S68"/>
    <mergeCell ref="W68:X68"/>
    <mergeCell ref="AC84:AD84"/>
    <mergeCell ref="AF84:AG84"/>
    <mergeCell ref="I92:J92"/>
    <mergeCell ref="L92:M92"/>
    <mergeCell ref="O92:P92"/>
    <mergeCell ref="R92:S92"/>
    <mergeCell ref="W92:X92"/>
    <mergeCell ref="AC76:AD76"/>
    <mergeCell ref="AF76:AG76"/>
    <mergeCell ref="I84:J84"/>
    <mergeCell ref="L84:M84"/>
    <mergeCell ref="O84:P84"/>
    <mergeCell ref="R84:S84"/>
    <mergeCell ref="W84:X84"/>
    <mergeCell ref="AC100:AD100"/>
    <mergeCell ref="AF100:AG100"/>
    <mergeCell ref="I108:J108"/>
    <mergeCell ref="L108:M108"/>
    <mergeCell ref="O108:P108"/>
    <mergeCell ref="R108:S108"/>
    <mergeCell ref="W108:X108"/>
    <mergeCell ref="AC92:AD92"/>
    <mergeCell ref="AF92:AG92"/>
    <mergeCell ref="I100:J100"/>
    <mergeCell ref="L100:M100"/>
    <mergeCell ref="O100:P100"/>
    <mergeCell ref="R100:S100"/>
    <mergeCell ref="W100:X100"/>
    <mergeCell ref="AC116:AD116"/>
    <mergeCell ref="AF116:AG116"/>
    <mergeCell ref="I124:J124"/>
    <mergeCell ref="L124:M124"/>
    <mergeCell ref="O124:P124"/>
    <mergeCell ref="R124:S124"/>
    <mergeCell ref="W124:X124"/>
    <mergeCell ref="AC108:AD108"/>
    <mergeCell ref="AF108:AG108"/>
    <mergeCell ref="I116:J116"/>
    <mergeCell ref="L116:M116"/>
    <mergeCell ref="O116:P116"/>
    <mergeCell ref="R116:S116"/>
    <mergeCell ref="W116:X116"/>
    <mergeCell ref="AC132:AD132"/>
    <mergeCell ref="AF132:AG132"/>
    <mergeCell ref="I140:J140"/>
    <mergeCell ref="L140:M140"/>
    <mergeCell ref="O140:P140"/>
    <mergeCell ref="R140:S140"/>
    <mergeCell ref="W140:X140"/>
    <mergeCell ref="AC124:AD124"/>
    <mergeCell ref="AF124:AG124"/>
    <mergeCell ref="I132:J132"/>
    <mergeCell ref="L132:M132"/>
    <mergeCell ref="O132:P132"/>
    <mergeCell ref="R132:S132"/>
    <mergeCell ref="W132:X132"/>
    <mergeCell ref="AC148:AD148"/>
    <mergeCell ref="AF148:AG148"/>
    <mergeCell ref="I156:J156"/>
    <mergeCell ref="L156:M156"/>
    <mergeCell ref="O156:P156"/>
    <mergeCell ref="R156:S156"/>
    <mergeCell ref="W156:X156"/>
    <mergeCell ref="AC140:AD140"/>
    <mergeCell ref="AF140:AG140"/>
    <mergeCell ref="I148:J148"/>
    <mergeCell ref="L148:M148"/>
    <mergeCell ref="O148:P148"/>
    <mergeCell ref="R148:S148"/>
    <mergeCell ref="W148:X148"/>
    <mergeCell ref="AC164:AD164"/>
    <mergeCell ref="AF164:AG164"/>
    <mergeCell ref="I172:J172"/>
    <mergeCell ref="L172:M172"/>
    <mergeCell ref="O172:P172"/>
    <mergeCell ref="R172:S172"/>
    <mergeCell ref="W172:X172"/>
    <mergeCell ref="AC156:AD156"/>
    <mergeCell ref="AF156:AG156"/>
    <mergeCell ref="I164:J164"/>
    <mergeCell ref="L164:M164"/>
    <mergeCell ref="O164:P164"/>
    <mergeCell ref="R164:S164"/>
    <mergeCell ref="W164:X164"/>
    <mergeCell ref="AC180:AD180"/>
    <mergeCell ref="AF180:AG180"/>
    <mergeCell ref="I188:J188"/>
    <mergeCell ref="L188:M188"/>
    <mergeCell ref="O188:P188"/>
    <mergeCell ref="R188:S188"/>
    <mergeCell ref="W188:X188"/>
    <mergeCell ref="AC172:AD172"/>
    <mergeCell ref="AF172:AG172"/>
    <mergeCell ref="I180:J180"/>
    <mergeCell ref="L180:M180"/>
    <mergeCell ref="O180:P180"/>
    <mergeCell ref="R180:S180"/>
    <mergeCell ref="W180:X180"/>
    <mergeCell ref="AC196:AD196"/>
    <mergeCell ref="AF196:AG196"/>
    <mergeCell ref="I204:J204"/>
    <mergeCell ref="L204:M204"/>
    <mergeCell ref="O204:P204"/>
    <mergeCell ref="R204:S204"/>
    <mergeCell ref="W204:X204"/>
    <mergeCell ref="AC188:AD188"/>
    <mergeCell ref="AF188:AG188"/>
    <mergeCell ref="I196:J196"/>
    <mergeCell ref="L196:M196"/>
    <mergeCell ref="O196:P196"/>
    <mergeCell ref="R196:S196"/>
    <mergeCell ref="W196:X196"/>
    <mergeCell ref="AC212:AD212"/>
    <mergeCell ref="AF212:AG212"/>
    <mergeCell ref="I220:J220"/>
    <mergeCell ref="L220:M220"/>
    <mergeCell ref="O220:P220"/>
    <mergeCell ref="R220:S220"/>
    <mergeCell ref="W220:X220"/>
    <mergeCell ref="AC204:AD204"/>
    <mergeCell ref="AF204:AG204"/>
    <mergeCell ref="I212:J212"/>
    <mergeCell ref="L212:M212"/>
    <mergeCell ref="O212:P212"/>
    <mergeCell ref="R212:S212"/>
    <mergeCell ref="W212:X212"/>
    <mergeCell ref="AC228:AD228"/>
    <mergeCell ref="AF228:AG228"/>
    <mergeCell ref="AC220:AD220"/>
    <mergeCell ref="AF220:AG220"/>
    <mergeCell ref="I228:J228"/>
    <mergeCell ref="L228:M228"/>
    <mergeCell ref="O228:P228"/>
    <mergeCell ref="R228:S228"/>
    <mergeCell ref="W228:X228"/>
    <mergeCell ref="AC236:AD236"/>
    <mergeCell ref="AF236:AG236"/>
    <mergeCell ref="I244:J244"/>
    <mergeCell ref="L244:M244"/>
    <mergeCell ref="O244:P244"/>
    <mergeCell ref="R244:S244"/>
    <mergeCell ref="W244:X244"/>
    <mergeCell ref="I236:J236"/>
    <mergeCell ref="L236:M236"/>
    <mergeCell ref="O236:P236"/>
    <mergeCell ref="R236:S236"/>
    <mergeCell ref="W236:X236"/>
    <mergeCell ref="AC252:AD252"/>
    <mergeCell ref="AF252:AG252"/>
    <mergeCell ref="I260:J260"/>
    <mergeCell ref="L260:M260"/>
    <mergeCell ref="O260:P260"/>
    <mergeCell ref="R260:S260"/>
    <mergeCell ref="W260:X260"/>
    <mergeCell ref="AC244:AD244"/>
    <mergeCell ref="AF244:AG244"/>
    <mergeCell ref="I252:J252"/>
    <mergeCell ref="L252:M252"/>
    <mergeCell ref="O252:P252"/>
    <mergeCell ref="R252:S252"/>
    <mergeCell ref="W252:X252"/>
    <mergeCell ref="AC268:AD268"/>
    <mergeCell ref="AF268:AG268"/>
    <mergeCell ref="I276:J276"/>
    <mergeCell ref="L276:M276"/>
    <mergeCell ref="O276:P276"/>
    <mergeCell ref="R276:S276"/>
    <mergeCell ref="W276:X276"/>
    <mergeCell ref="AC260:AD260"/>
    <mergeCell ref="AF260:AG260"/>
    <mergeCell ref="I268:J268"/>
    <mergeCell ref="L268:M268"/>
    <mergeCell ref="O268:P268"/>
    <mergeCell ref="R268:S268"/>
    <mergeCell ref="W268:X268"/>
    <mergeCell ref="AC284:AD284"/>
    <mergeCell ref="AF284:AG284"/>
    <mergeCell ref="I292:J292"/>
    <mergeCell ref="L292:M292"/>
    <mergeCell ref="O292:P292"/>
    <mergeCell ref="R292:S292"/>
    <mergeCell ref="W292:X292"/>
    <mergeCell ref="AC276:AD276"/>
    <mergeCell ref="AF276:AG276"/>
    <mergeCell ref="I284:J284"/>
    <mergeCell ref="L284:M284"/>
    <mergeCell ref="O284:P284"/>
    <mergeCell ref="R284:S284"/>
    <mergeCell ref="W284:X284"/>
    <mergeCell ref="AC300:AD300"/>
    <mergeCell ref="AF300:AG300"/>
    <mergeCell ref="I308:J308"/>
    <mergeCell ref="L308:M308"/>
    <mergeCell ref="O308:P308"/>
    <mergeCell ref="R308:S308"/>
    <mergeCell ref="W308:X308"/>
    <mergeCell ref="AC292:AD292"/>
    <mergeCell ref="AF292:AG292"/>
    <mergeCell ref="I300:J300"/>
    <mergeCell ref="L300:M300"/>
    <mergeCell ref="O300:P300"/>
    <mergeCell ref="R300:S300"/>
    <mergeCell ref="W300:X300"/>
    <mergeCell ref="AC316:AD316"/>
    <mergeCell ref="AF316:AG316"/>
    <mergeCell ref="I324:J324"/>
    <mergeCell ref="L324:M324"/>
    <mergeCell ref="O324:P324"/>
    <mergeCell ref="R324:S324"/>
    <mergeCell ref="W324:X324"/>
    <mergeCell ref="AC308:AD308"/>
    <mergeCell ref="AF308:AG308"/>
    <mergeCell ref="I316:J316"/>
    <mergeCell ref="L316:M316"/>
    <mergeCell ref="O316:P316"/>
    <mergeCell ref="R316:S316"/>
    <mergeCell ref="W316:X316"/>
    <mergeCell ref="AC332:AD332"/>
    <mergeCell ref="AF332:AG332"/>
    <mergeCell ref="I340:J340"/>
    <mergeCell ref="L340:M340"/>
    <mergeCell ref="O340:P340"/>
    <mergeCell ref="R340:S340"/>
    <mergeCell ref="W340:X340"/>
    <mergeCell ref="AC324:AD324"/>
    <mergeCell ref="AF324:AG324"/>
    <mergeCell ref="I332:J332"/>
    <mergeCell ref="L332:M332"/>
    <mergeCell ref="O332:P332"/>
    <mergeCell ref="R332:S332"/>
    <mergeCell ref="W332:X332"/>
    <mergeCell ref="AC348:AD348"/>
    <mergeCell ref="AF348:AG348"/>
    <mergeCell ref="I356:J356"/>
    <mergeCell ref="L356:M356"/>
    <mergeCell ref="O356:P356"/>
    <mergeCell ref="R356:S356"/>
    <mergeCell ref="W356:X356"/>
    <mergeCell ref="AC340:AD340"/>
    <mergeCell ref="AF340:AG340"/>
    <mergeCell ref="I348:J348"/>
    <mergeCell ref="L348:M348"/>
    <mergeCell ref="O348:P348"/>
    <mergeCell ref="R348:S348"/>
    <mergeCell ref="W348:X348"/>
    <mergeCell ref="AC364:AD364"/>
    <mergeCell ref="AF364:AG364"/>
    <mergeCell ref="I372:J372"/>
    <mergeCell ref="L372:M372"/>
    <mergeCell ref="O372:P372"/>
    <mergeCell ref="R372:S372"/>
    <mergeCell ref="W372:X372"/>
    <mergeCell ref="AC356:AD356"/>
    <mergeCell ref="AF356:AG356"/>
    <mergeCell ref="I364:J364"/>
    <mergeCell ref="L364:M364"/>
    <mergeCell ref="O364:P364"/>
    <mergeCell ref="R364:S364"/>
    <mergeCell ref="W364:X364"/>
    <mergeCell ref="AC380:AD380"/>
    <mergeCell ref="AF380:AG380"/>
    <mergeCell ref="I388:J388"/>
    <mergeCell ref="L388:M388"/>
    <mergeCell ref="O388:P388"/>
    <mergeCell ref="R388:S388"/>
    <mergeCell ref="W388:X388"/>
    <mergeCell ref="AC372:AD372"/>
    <mergeCell ref="AF372:AG372"/>
    <mergeCell ref="I380:J380"/>
    <mergeCell ref="L380:M380"/>
    <mergeCell ref="O380:P380"/>
    <mergeCell ref="R380:S380"/>
    <mergeCell ref="W380:X380"/>
    <mergeCell ref="AC396:AD396"/>
    <mergeCell ref="AF396:AG396"/>
    <mergeCell ref="I404:J404"/>
    <mergeCell ref="L404:M404"/>
    <mergeCell ref="O404:P404"/>
    <mergeCell ref="R404:S404"/>
    <mergeCell ref="W404:X404"/>
    <mergeCell ref="AC388:AD388"/>
    <mergeCell ref="AF388:AG388"/>
    <mergeCell ref="I396:J396"/>
    <mergeCell ref="L396:M396"/>
    <mergeCell ref="O396:P396"/>
    <mergeCell ref="R396:S396"/>
    <mergeCell ref="W396:X396"/>
    <mergeCell ref="AC412:AD412"/>
    <mergeCell ref="AF412:AG412"/>
    <mergeCell ref="I420:J420"/>
    <mergeCell ref="L420:M420"/>
    <mergeCell ref="O420:P420"/>
    <mergeCell ref="R420:S420"/>
    <mergeCell ref="W420:X420"/>
    <mergeCell ref="AC404:AD404"/>
    <mergeCell ref="AF404:AG404"/>
    <mergeCell ref="I412:J412"/>
    <mergeCell ref="L412:M412"/>
    <mergeCell ref="O412:P412"/>
    <mergeCell ref="R412:S412"/>
    <mergeCell ref="W412:X412"/>
    <mergeCell ref="AC428:AD428"/>
    <mergeCell ref="AF428:AG428"/>
    <mergeCell ref="I436:J436"/>
    <mergeCell ref="L436:M436"/>
    <mergeCell ref="O436:P436"/>
    <mergeCell ref="R436:S436"/>
    <mergeCell ref="W436:X436"/>
    <mergeCell ref="AC420:AD420"/>
    <mergeCell ref="AF420:AG420"/>
    <mergeCell ref="I428:J428"/>
    <mergeCell ref="L428:M428"/>
    <mergeCell ref="O428:P428"/>
    <mergeCell ref="R428:S428"/>
    <mergeCell ref="W428:X428"/>
    <mergeCell ref="AC444:AD444"/>
    <mergeCell ref="AF444:AG444"/>
    <mergeCell ref="I452:J452"/>
    <mergeCell ref="L452:M452"/>
    <mergeCell ref="O452:P452"/>
    <mergeCell ref="R452:S452"/>
    <mergeCell ref="W452:X452"/>
    <mergeCell ref="AC436:AD436"/>
    <mergeCell ref="AF436:AG436"/>
    <mergeCell ref="I444:J444"/>
    <mergeCell ref="L444:M444"/>
    <mergeCell ref="O444:P444"/>
    <mergeCell ref="R444:S444"/>
    <mergeCell ref="W444:X444"/>
    <mergeCell ref="AC452:AD452"/>
    <mergeCell ref="AF452:AG452"/>
    <mergeCell ref="I460:J460"/>
    <mergeCell ref="L460:M460"/>
    <mergeCell ref="O460:P460"/>
    <mergeCell ref="R460:S460"/>
    <mergeCell ref="W460:X460"/>
    <mergeCell ref="AC468:AD468"/>
    <mergeCell ref="AF468:AG468"/>
    <mergeCell ref="I476:J476"/>
    <mergeCell ref="L476:M476"/>
    <mergeCell ref="O476:P476"/>
    <mergeCell ref="R476:S476"/>
    <mergeCell ref="W476:X476"/>
    <mergeCell ref="AC460:AD460"/>
    <mergeCell ref="AF460:AG460"/>
    <mergeCell ref="I468:J468"/>
    <mergeCell ref="L468:M468"/>
    <mergeCell ref="O468:P468"/>
    <mergeCell ref="R468:S468"/>
    <mergeCell ref="W468:X468"/>
    <mergeCell ref="AC484:AD484"/>
    <mergeCell ref="AF484:AG484"/>
    <mergeCell ref="I492:J492"/>
    <mergeCell ref="L492:M492"/>
    <mergeCell ref="O492:P492"/>
    <mergeCell ref="R492:S492"/>
    <mergeCell ref="W492:X492"/>
    <mergeCell ref="AC476:AD476"/>
    <mergeCell ref="AF476:AG476"/>
    <mergeCell ref="I484:J484"/>
    <mergeCell ref="L484:M484"/>
    <mergeCell ref="O484:P484"/>
    <mergeCell ref="R484:S484"/>
    <mergeCell ref="W484:X484"/>
    <mergeCell ref="AC500:AD500"/>
    <mergeCell ref="AF500:AG500"/>
    <mergeCell ref="I508:J508"/>
    <mergeCell ref="L508:M508"/>
    <mergeCell ref="O508:P508"/>
    <mergeCell ref="R508:S508"/>
    <mergeCell ref="W508:X508"/>
    <mergeCell ref="AC492:AD492"/>
    <mergeCell ref="AF492:AG492"/>
    <mergeCell ref="I500:J500"/>
    <mergeCell ref="L500:M500"/>
    <mergeCell ref="O500:P500"/>
    <mergeCell ref="R500:S500"/>
    <mergeCell ref="W500:X500"/>
    <mergeCell ref="AC516:AD516"/>
    <mergeCell ref="AF516:AG516"/>
    <mergeCell ref="I524:J524"/>
    <mergeCell ref="L524:M524"/>
    <mergeCell ref="O524:P524"/>
    <mergeCell ref="R524:S524"/>
    <mergeCell ref="W524:X524"/>
    <mergeCell ref="AC508:AD508"/>
    <mergeCell ref="AF508:AG508"/>
    <mergeCell ref="I516:J516"/>
    <mergeCell ref="L516:M516"/>
    <mergeCell ref="O516:P516"/>
    <mergeCell ref="R516:S516"/>
    <mergeCell ref="W516:X516"/>
    <mergeCell ref="AC532:AD532"/>
    <mergeCell ref="AF532:AG532"/>
    <mergeCell ref="I540:J540"/>
    <mergeCell ref="L540:M540"/>
    <mergeCell ref="O540:P540"/>
    <mergeCell ref="R540:S540"/>
    <mergeCell ref="W540:X540"/>
    <mergeCell ref="AC524:AD524"/>
    <mergeCell ref="AF524:AG524"/>
    <mergeCell ref="I532:J532"/>
    <mergeCell ref="L532:M532"/>
    <mergeCell ref="O532:P532"/>
    <mergeCell ref="R532:S532"/>
    <mergeCell ref="W532:X532"/>
    <mergeCell ref="AC548:AD548"/>
    <mergeCell ref="AF548:AG548"/>
    <mergeCell ref="I556:J556"/>
    <mergeCell ref="L556:M556"/>
    <mergeCell ref="O556:P556"/>
    <mergeCell ref="R556:S556"/>
    <mergeCell ref="W556:X556"/>
    <mergeCell ref="AC540:AD540"/>
    <mergeCell ref="AF540:AG540"/>
    <mergeCell ref="I548:J548"/>
    <mergeCell ref="L548:M548"/>
    <mergeCell ref="O548:P548"/>
    <mergeCell ref="R548:S548"/>
    <mergeCell ref="W548:X548"/>
    <mergeCell ref="AC564:AD564"/>
    <mergeCell ref="AF564:AG564"/>
    <mergeCell ref="I572:J572"/>
    <mergeCell ref="L572:M572"/>
    <mergeCell ref="O572:P572"/>
    <mergeCell ref="R572:S572"/>
    <mergeCell ref="W572:X572"/>
    <mergeCell ref="AC556:AD556"/>
    <mergeCell ref="AF556:AG556"/>
    <mergeCell ref="I564:J564"/>
    <mergeCell ref="L564:M564"/>
    <mergeCell ref="O564:P564"/>
    <mergeCell ref="R564:S564"/>
    <mergeCell ref="W564:X564"/>
    <mergeCell ref="AC580:AD580"/>
    <mergeCell ref="AF580:AG580"/>
    <mergeCell ref="I588:J588"/>
    <mergeCell ref="L588:M588"/>
    <mergeCell ref="O588:P588"/>
    <mergeCell ref="R588:S588"/>
    <mergeCell ref="W588:X588"/>
    <mergeCell ref="AC572:AD572"/>
    <mergeCell ref="AF572:AG572"/>
    <mergeCell ref="I580:J580"/>
    <mergeCell ref="L580:M580"/>
    <mergeCell ref="O580:P580"/>
    <mergeCell ref="R580:S580"/>
    <mergeCell ref="W580:X580"/>
    <mergeCell ref="AC596:AD596"/>
    <mergeCell ref="AF596:AG596"/>
    <mergeCell ref="I604:J604"/>
    <mergeCell ref="L604:M604"/>
    <mergeCell ref="O604:P604"/>
    <mergeCell ref="R604:S604"/>
    <mergeCell ref="W604:X604"/>
    <mergeCell ref="AC588:AD588"/>
    <mergeCell ref="AF588:AG588"/>
    <mergeCell ref="I596:J596"/>
    <mergeCell ref="L596:M596"/>
    <mergeCell ref="O596:P596"/>
    <mergeCell ref="R596:S596"/>
    <mergeCell ref="W596:X596"/>
    <mergeCell ref="AC612:AD612"/>
    <mergeCell ref="AF612:AG612"/>
    <mergeCell ref="I620:J620"/>
    <mergeCell ref="L620:M620"/>
    <mergeCell ref="O620:P620"/>
    <mergeCell ref="R620:S620"/>
    <mergeCell ref="W620:X620"/>
    <mergeCell ref="AC604:AD604"/>
    <mergeCell ref="AF604:AG604"/>
    <mergeCell ref="I612:J612"/>
    <mergeCell ref="L612:M612"/>
    <mergeCell ref="O612:P612"/>
    <mergeCell ref="R612:S612"/>
    <mergeCell ref="W612:X612"/>
    <mergeCell ref="AC628:AD628"/>
    <mergeCell ref="AF628:AG628"/>
    <mergeCell ref="I636:J636"/>
    <mergeCell ref="L636:M636"/>
    <mergeCell ref="O636:P636"/>
    <mergeCell ref="R636:S636"/>
    <mergeCell ref="W636:X636"/>
    <mergeCell ref="AC620:AD620"/>
    <mergeCell ref="AF620:AG620"/>
    <mergeCell ref="I628:J628"/>
    <mergeCell ref="L628:M628"/>
    <mergeCell ref="O628:P628"/>
    <mergeCell ref="R628:S628"/>
    <mergeCell ref="W628:X628"/>
    <mergeCell ref="AC644:AD644"/>
    <mergeCell ref="AF644:AG644"/>
    <mergeCell ref="I652:J652"/>
    <mergeCell ref="L652:M652"/>
    <mergeCell ref="O652:P652"/>
    <mergeCell ref="R652:S652"/>
    <mergeCell ref="W652:X652"/>
    <mergeCell ref="AC636:AD636"/>
    <mergeCell ref="AF636:AG636"/>
    <mergeCell ref="I644:J644"/>
    <mergeCell ref="L644:M644"/>
    <mergeCell ref="O644:P644"/>
    <mergeCell ref="R644:S644"/>
    <mergeCell ref="W644:X644"/>
    <mergeCell ref="AC660:AD660"/>
    <mergeCell ref="AF660:AG660"/>
    <mergeCell ref="I668:J668"/>
    <mergeCell ref="L668:M668"/>
    <mergeCell ref="O668:P668"/>
    <mergeCell ref="R668:S668"/>
    <mergeCell ref="W668:X668"/>
    <mergeCell ref="AC652:AD652"/>
    <mergeCell ref="AF652:AG652"/>
    <mergeCell ref="I660:J660"/>
    <mergeCell ref="L660:M660"/>
    <mergeCell ref="O660:P660"/>
    <mergeCell ref="R660:S660"/>
    <mergeCell ref="W660:X660"/>
    <mergeCell ref="AC676:AD676"/>
    <mergeCell ref="AF676:AG676"/>
    <mergeCell ref="I684:J684"/>
    <mergeCell ref="L684:M684"/>
    <mergeCell ref="O684:P684"/>
    <mergeCell ref="R684:S684"/>
    <mergeCell ref="W684:X684"/>
    <mergeCell ref="AC668:AD668"/>
    <mergeCell ref="AF668:AG668"/>
    <mergeCell ref="I676:J676"/>
    <mergeCell ref="L676:M676"/>
    <mergeCell ref="O676:P676"/>
    <mergeCell ref="R676:S676"/>
    <mergeCell ref="W676:X676"/>
    <mergeCell ref="AC692:AD692"/>
    <mergeCell ref="AF692:AG692"/>
    <mergeCell ref="I700:J700"/>
    <mergeCell ref="L700:M700"/>
    <mergeCell ref="O700:P700"/>
    <mergeCell ref="R700:S700"/>
    <mergeCell ref="W700:X700"/>
    <mergeCell ref="AC684:AD684"/>
    <mergeCell ref="AF684:AG684"/>
    <mergeCell ref="I692:J692"/>
    <mergeCell ref="L692:M692"/>
    <mergeCell ref="O692:P692"/>
    <mergeCell ref="R692:S692"/>
    <mergeCell ref="W692:X692"/>
    <mergeCell ref="AC708:AD708"/>
    <mergeCell ref="AF708:AG708"/>
    <mergeCell ref="I716:J716"/>
    <mergeCell ref="L716:M716"/>
    <mergeCell ref="O716:P716"/>
    <mergeCell ref="R716:S716"/>
    <mergeCell ref="W716:X716"/>
    <mergeCell ref="AC700:AD700"/>
    <mergeCell ref="AF700:AG700"/>
    <mergeCell ref="I708:J708"/>
    <mergeCell ref="L708:M708"/>
    <mergeCell ref="O708:P708"/>
    <mergeCell ref="R708:S708"/>
    <mergeCell ref="W708:X708"/>
    <mergeCell ref="AC724:AD724"/>
    <mergeCell ref="AF724:AG724"/>
    <mergeCell ref="I732:J732"/>
    <mergeCell ref="L732:M732"/>
    <mergeCell ref="O732:P732"/>
    <mergeCell ref="R732:S732"/>
    <mergeCell ref="W732:X732"/>
    <mergeCell ref="AC716:AD716"/>
    <mergeCell ref="AF716:AG716"/>
    <mergeCell ref="I724:J724"/>
    <mergeCell ref="L724:M724"/>
    <mergeCell ref="O724:P724"/>
    <mergeCell ref="R724:S724"/>
    <mergeCell ref="W724:X724"/>
    <mergeCell ref="AC740:AD740"/>
    <mergeCell ref="AF740:AG740"/>
    <mergeCell ref="I748:J748"/>
    <mergeCell ref="L748:M748"/>
    <mergeCell ref="O748:P748"/>
    <mergeCell ref="R748:S748"/>
    <mergeCell ref="W748:X748"/>
    <mergeCell ref="AC732:AD732"/>
    <mergeCell ref="AF732:AG732"/>
    <mergeCell ref="I740:J740"/>
    <mergeCell ref="L740:M740"/>
    <mergeCell ref="O740:P740"/>
    <mergeCell ref="R740:S740"/>
    <mergeCell ref="W740:X740"/>
    <mergeCell ref="AC756:AD756"/>
    <mergeCell ref="AF756:AG756"/>
    <mergeCell ref="I764:J764"/>
    <mergeCell ref="L764:M764"/>
    <mergeCell ref="O764:P764"/>
    <mergeCell ref="R764:S764"/>
    <mergeCell ref="W764:X764"/>
    <mergeCell ref="AC748:AD748"/>
    <mergeCell ref="AF748:AG748"/>
    <mergeCell ref="I756:J756"/>
    <mergeCell ref="L756:M756"/>
    <mergeCell ref="O756:P756"/>
    <mergeCell ref="R756:S756"/>
    <mergeCell ref="W756:X756"/>
    <mergeCell ref="AC772:AD772"/>
    <mergeCell ref="AF772:AG772"/>
    <mergeCell ref="I780:J780"/>
    <mergeCell ref="L780:M780"/>
    <mergeCell ref="O780:P780"/>
    <mergeCell ref="R780:S780"/>
    <mergeCell ref="W780:X780"/>
    <mergeCell ref="AC764:AD764"/>
    <mergeCell ref="AF764:AG764"/>
    <mergeCell ref="I772:J772"/>
    <mergeCell ref="L772:M772"/>
    <mergeCell ref="O772:P772"/>
    <mergeCell ref="R772:S772"/>
    <mergeCell ref="W772:X772"/>
    <mergeCell ref="AC788:AD788"/>
    <mergeCell ref="AF788:AG788"/>
    <mergeCell ref="I796:J796"/>
    <mergeCell ref="L796:M796"/>
    <mergeCell ref="O796:P796"/>
    <mergeCell ref="R796:S796"/>
    <mergeCell ref="W796:X796"/>
    <mergeCell ref="AC780:AD780"/>
    <mergeCell ref="AF780:AG780"/>
    <mergeCell ref="I788:J788"/>
    <mergeCell ref="L788:M788"/>
    <mergeCell ref="O788:P788"/>
    <mergeCell ref="R788:S788"/>
    <mergeCell ref="W788:X788"/>
    <mergeCell ref="AC804:AD804"/>
    <mergeCell ref="AF804:AG804"/>
    <mergeCell ref="I812:J812"/>
    <mergeCell ref="L812:M812"/>
    <mergeCell ref="O812:P812"/>
    <mergeCell ref="R812:S812"/>
    <mergeCell ref="W812:X812"/>
    <mergeCell ref="AC796:AD796"/>
    <mergeCell ref="AF796:AG796"/>
    <mergeCell ref="I804:J804"/>
    <mergeCell ref="L804:M804"/>
    <mergeCell ref="O804:P804"/>
    <mergeCell ref="R804:S804"/>
    <mergeCell ref="W804:X804"/>
    <mergeCell ref="AC820:AD820"/>
    <mergeCell ref="AF820:AG820"/>
    <mergeCell ref="I828:J828"/>
    <mergeCell ref="L828:M828"/>
    <mergeCell ref="O828:P828"/>
    <mergeCell ref="R828:S828"/>
    <mergeCell ref="W828:X828"/>
    <mergeCell ref="AC812:AD812"/>
    <mergeCell ref="AF812:AG812"/>
    <mergeCell ref="I820:J820"/>
    <mergeCell ref="L820:M820"/>
    <mergeCell ref="O820:P820"/>
    <mergeCell ref="R820:S820"/>
    <mergeCell ref="W820:X820"/>
    <mergeCell ref="AC836:AD836"/>
    <mergeCell ref="AF836:AG836"/>
    <mergeCell ref="AC828:AD828"/>
    <mergeCell ref="AF828:AG828"/>
    <mergeCell ref="I836:J836"/>
    <mergeCell ref="L836:M836"/>
    <mergeCell ref="O836:P836"/>
    <mergeCell ref="R836:S836"/>
    <mergeCell ref="W836:X836"/>
    <mergeCell ref="AC844:AD844"/>
    <mergeCell ref="AF844:AG844"/>
    <mergeCell ref="I852:J852"/>
    <mergeCell ref="L852:M852"/>
    <mergeCell ref="O852:P852"/>
    <mergeCell ref="R852:S852"/>
    <mergeCell ref="W852:X852"/>
    <mergeCell ref="I844:J844"/>
    <mergeCell ref="L844:M844"/>
    <mergeCell ref="O844:P844"/>
    <mergeCell ref="R844:S844"/>
    <mergeCell ref="W844:X844"/>
    <mergeCell ref="AC860:AD860"/>
    <mergeCell ref="AF860:AG860"/>
    <mergeCell ref="I868:J868"/>
    <mergeCell ref="L868:M868"/>
    <mergeCell ref="O868:P868"/>
    <mergeCell ref="R868:S868"/>
    <mergeCell ref="W868:X868"/>
    <mergeCell ref="AC852:AD852"/>
    <mergeCell ref="AF852:AG852"/>
    <mergeCell ref="I860:J860"/>
    <mergeCell ref="L860:M860"/>
    <mergeCell ref="O860:P860"/>
    <mergeCell ref="R860:S860"/>
    <mergeCell ref="W860:X860"/>
    <mergeCell ref="AC876:AD876"/>
    <mergeCell ref="AF876:AG876"/>
    <mergeCell ref="I884:J884"/>
    <mergeCell ref="L884:M884"/>
    <mergeCell ref="O884:P884"/>
    <mergeCell ref="R884:S884"/>
    <mergeCell ref="W884:X884"/>
    <mergeCell ref="AC868:AD868"/>
    <mergeCell ref="AF868:AG868"/>
    <mergeCell ref="I876:J876"/>
    <mergeCell ref="L876:M876"/>
    <mergeCell ref="O876:P876"/>
    <mergeCell ref="R876:S876"/>
    <mergeCell ref="W876:X876"/>
    <mergeCell ref="R900:S900"/>
    <mergeCell ref="W900:X900"/>
    <mergeCell ref="AC884:AD884"/>
    <mergeCell ref="AF884:AG884"/>
    <mergeCell ref="I892:J892"/>
    <mergeCell ref="L892:M892"/>
    <mergeCell ref="O892:P892"/>
    <mergeCell ref="R892:S892"/>
    <mergeCell ref="W892:X892"/>
    <mergeCell ref="AC900:AD900"/>
    <mergeCell ref="AF900:AG900"/>
    <mergeCell ref="AC892:AD892"/>
    <mergeCell ref="AF892:AG892"/>
    <mergeCell ref="I900:J900"/>
    <mergeCell ref="L900:M900"/>
    <mergeCell ref="O900:P900"/>
    <mergeCell ref="AC916:AD916"/>
    <mergeCell ref="AF916:AG916"/>
    <mergeCell ref="AC908:AD908"/>
    <mergeCell ref="AF908:AG908"/>
    <mergeCell ref="I916:J916"/>
    <mergeCell ref="L916:M916"/>
    <mergeCell ref="O916:P916"/>
    <mergeCell ref="R916:S916"/>
    <mergeCell ref="W916:X916"/>
    <mergeCell ref="I908:J908"/>
    <mergeCell ref="L908:M908"/>
    <mergeCell ref="O908:P908"/>
    <mergeCell ref="R908:S908"/>
    <mergeCell ref="W908:X908"/>
  </mergeCells>
  <conditionalFormatting sqref="G45:G916">
    <cfRule type="cellIs" dxfId="3" priority="4" stopIfTrue="1" operator="equal">
      <formula>"RB"</formula>
    </cfRule>
  </conditionalFormatting>
  <conditionalFormatting sqref="G21:G28">
    <cfRule type="cellIs" dxfId="2" priority="3" stopIfTrue="1" operator="equal">
      <formula>"RB"</formula>
    </cfRule>
  </conditionalFormatting>
  <conditionalFormatting sqref="G29:G36">
    <cfRule type="cellIs" dxfId="1" priority="2" stopIfTrue="1" operator="equal">
      <formula>"RB"</formula>
    </cfRule>
  </conditionalFormatting>
  <conditionalFormatting sqref="G37:G44">
    <cfRule type="cellIs" dxfId="0" priority="1" stopIfTrue="1" operator="equal">
      <formula>"RB"</formula>
    </cfRule>
  </conditionalFormatting>
  <dataValidations count="6">
    <dataValidation type="list" allowBlank="1" showInputMessage="1" showErrorMessage="1" sqref="H21:H916" xr:uid="{00000000-0002-0000-0600-000000000000}">
      <formula1>$J$943:$J$946</formula1>
    </dataValidation>
    <dataValidation type="list" allowBlank="1" showInputMessage="1" showErrorMessage="1" sqref="U21:U916" xr:uid="{00000000-0002-0000-0600-000001000000}">
      <formula1>$J$949:$J$953</formula1>
    </dataValidation>
    <dataValidation type="list" allowBlank="1" showInputMessage="1" showErrorMessage="1" sqref="V21:V916" xr:uid="{00000000-0002-0000-0600-000002000000}">
      <formula1>$N$949:$N$953</formula1>
    </dataValidation>
    <dataValidation type="list" allowBlank="1" showInputMessage="1" showErrorMessage="1" sqref="Z21:Z916" xr:uid="{00000000-0002-0000-0600-000003000000}">
      <formula1>$J$956:$J$959</formula1>
    </dataValidation>
    <dataValidation type="list" allowBlank="1" showInputMessage="1" showErrorMessage="1" sqref="AB21:AB916" xr:uid="{00000000-0002-0000-0600-000004000000}">
      <formula1>$N$956:$N$960</formula1>
    </dataValidation>
    <dataValidation type="list" allowBlank="1" showInputMessage="1" showErrorMessage="1" sqref="AI21:AI916" xr:uid="{00000000-0002-0000-0600-000005000000}">
      <formula1>$Q$949:$Q$952</formula1>
    </dataValidation>
  </dataValidations>
  <printOptions horizontalCentered="1"/>
  <pageMargins left="0.27559055118110237" right="0.27559055118110237" top="0.47244094488188981" bottom="0.31496062992125984" header="0.31496062992125984" footer="0.31496062992125984"/>
  <pageSetup paperSize="9" scale="50" orientation="landscape" horizontalDpi="4294967293" r:id="rId1"/>
  <rowBreaks count="16" manualBreakCount="16">
    <brk id="60" max="40" man="1"/>
    <brk id="116" max="40" man="1"/>
    <brk id="172" max="40" man="1"/>
    <brk id="228" max="36" man="1"/>
    <brk id="268" max="40" man="1"/>
    <brk id="324" max="40" man="1"/>
    <brk id="380" max="40" man="1"/>
    <brk id="436" max="40" man="1"/>
    <brk id="468" max="40" man="1"/>
    <brk id="524" max="40" man="1"/>
    <brk id="580" max="40" man="1"/>
    <brk id="636" max="40" man="1"/>
    <brk id="692" max="40" man="1"/>
    <brk id="748" max="40" man="1"/>
    <brk id="804" max="40" man="1"/>
    <brk id="860" max="4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W34"/>
  <sheetViews>
    <sheetView view="pageBreakPreview" topLeftCell="A17" zoomScale="70" zoomScaleNormal="70" zoomScaleSheetLayoutView="70" zoomScalePageLayoutView="55" workbookViewId="0">
      <selection activeCell="J17" sqref="J17"/>
    </sheetView>
  </sheetViews>
  <sheetFormatPr defaultColWidth="9.33203125" defaultRowHeight="14.4"/>
  <cols>
    <col min="1" max="1" width="1.6640625" style="190" customWidth="1"/>
    <col min="2" max="2" width="5.6640625" style="188" customWidth="1"/>
    <col min="3" max="3" width="31.6640625" style="217" customWidth="1"/>
    <col min="4" max="4" width="12.6640625" style="190" customWidth="1"/>
    <col min="5" max="5" width="10.6640625" style="190" customWidth="1"/>
    <col min="6" max="6" width="7.6640625" style="190" customWidth="1"/>
    <col min="7" max="7" width="10.6640625" style="190" customWidth="1"/>
    <col min="8" max="8" width="22.33203125" style="190" customWidth="1"/>
    <col min="9" max="9" width="12.6640625" style="190" customWidth="1"/>
    <col min="10" max="10" width="10.6640625" style="190" customWidth="1"/>
    <col min="11" max="11" width="7.6640625" style="190" customWidth="1"/>
    <col min="12" max="12" width="10.6640625" style="190" customWidth="1"/>
    <col min="13" max="13" width="23" style="190" customWidth="1"/>
    <col min="14" max="14" width="12.6640625" style="190" customWidth="1"/>
    <col min="15" max="15" width="10.6640625" style="190" customWidth="1"/>
    <col min="16" max="16" width="7.6640625" style="190" customWidth="1"/>
    <col min="17" max="17" width="10.6640625" style="190" customWidth="1"/>
    <col min="18" max="18" width="20.6640625" style="190" customWidth="1"/>
    <col min="19" max="19" width="1.6640625" style="190" customWidth="1"/>
    <col min="20" max="16384" width="9.33203125" style="190"/>
  </cols>
  <sheetData>
    <row r="1" spans="2:22">
      <c r="C1" s="189"/>
    </row>
    <row r="2" spans="2:22" ht="60" customHeight="1">
      <c r="B2" s="373" t="s">
        <v>255</v>
      </c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</row>
    <row r="3" spans="2:22" ht="22.5" customHeight="1">
      <c r="B3" s="191"/>
      <c r="C3" s="191"/>
      <c r="D3" s="191"/>
      <c r="E3" s="191"/>
      <c r="F3" s="191"/>
      <c r="G3" s="192">
        <f>22151-2035</f>
        <v>20116</v>
      </c>
      <c r="H3" s="191"/>
      <c r="I3" s="191"/>
      <c r="J3" s="191"/>
      <c r="K3" s="191"/>
      <c r="L3" s="192">
        <f>22151-2035</f>
        <v>20116</v>
      </c>
      <c r="M3" s="191"/>
      <c r="N3" s="191"/>
      <c r="O3" s="191"/>
      <c r="P3" s="191"/>
      <c r="Q3" s="192">
        <f>22151-2035</f>
        <v>20116</v>
      </c>
      <c r="R3" s="191"/>
    </row>
    <row r="4" spans="2:22" s="196" customFormat="1" ht="22.5" hidden="1" customHeight="1">
      <c r="B4" s="193"/>
      <c r="C4" s="193"/>
      <c r="D4" s="194"/>
      <c r="E4" s="194"/>
      <c r="F4" s="194"/>
      <c r="G4" s="195">
        <f>1835+200</f>
        <v>2035</v>
      </c>
      <c r="H4" s="194"/>
      <c r="I4" s="194"/>
      <c r="J4" s="194"/>
      <c r="K4" s="194"/>
      <c r="L4" s="195">
        <f>1835+200</f>
        <v>2035</v>
      </c>
      <c r="M4" s="194"/>
      <c r="N4" s="194"/>
      <c r="O4" s="194"/>
      <c r="P4" s="194"/>
      <c r="Q4" s="195">
        <f>1835+200</f>
        <v>2035</v>
      </c>
      <c r="R4" s="194"/>
    </row>
    <row r="5" spans="2:22" s="196" customFormat="1" ht="22.5" customHeight="1" thickBot="1">
      <c r="B5" s="193"/>
      <c r="C5" s="193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</row>
    <row r="6" spans="2:22" s="198" customFormat="1" ht="40.200000000000003" customHeight="1">
      <c r="B6" s="374" t="s">
        <v>160</v>
      </c>
      <c r="C6" s="376" t="s">
        <v>246</v>
      </c>
      <c r="D6" s="378" t="s">
        <v>256</v>
      </c>
      <c r="E6" s="378"/>
      <c r="F6" s="378"/>
      <c r="G6" s="378"/>
      <c r="H6" s="379"/>
      <c r="I6" s="380" t="s">
        <v>258</v>
      </c>
      <c r="J6" s="378"/>
      <c r="K6" s="378"/>
      <c r="L6" s="378"/>
      <c r="M6" s="378"/>
      <c r="N6" s="378"/>
      <c r="O6" s="378"/>
      <c r="P6" s="378"/>
      <c r="Q6" s="378"/>
      <c r="R6" s="381"/>
    </row>
    <row r="7" spans="2:22" s="198" customFormat="1" ht="52.5" customHeight="1">
      <c r="B7" s="375"/>
      <c r="C7" s="377"/>
      <c r="D7" s="199" t="s">
        <v>247</v>
      </c>
      <c r="E7" s="382" t="s">
        <v>257</v>
      </c>
      <c r="F7" s="383"/>
      <c r="G7" s="384"/>
      <c r="H7" s="197" t="s">
        <v>248</v>
      </c>
      <c r="I7" s="199" t="s">
        <v>247</v>
      </c>
      <c r="J7" s="382" t="s">
        <v>259</v>
      </c>
      <c r="K7" s="383"/>
      <c r="L7" s="384"/>
      <c r="M7" s="197" t="s">
        <v>248</v>
      </c>
      <c r="N7" s="199" t="s">
        <v>247</v>
      </c>
      <c r="O7" s="382" t="s">
        <v>260</v>
      </c>
      <c r="P7" s="383"/>
      <c r="Q7" s="384"/>
      <c r="R7" s="232" t="s">
        <v>248</v>
      </c>
    </row>
    <row r="8" spans="2:22" ht="15" customHeight="1">
      <c r="B8" s="233"/>
      <c r="C8" s="201"/>
      <c r="D8" s="200"/>
      <c r="E8" s="202"/>
      <c r="F8" s="203"/>
      <c r="G8" s="204"/>
      <c r="H8" s="205"/>
      <c r="I8" s="200"/>
      <c r="J8" s="202"/>
      <c r="K8" s="203"/>
      <c r="L8" s="204"/>
      <c r="M8" s="205"/>
      <c r="N8" s="200"/>
      <c r="O8" s="202"/>
      <c r="P8" s="203"/>
      <c r="Q8" s="204"/>
      <c r="R8" s="234"/>
    </row>
    <row r="9" spans="2:22" ht="40.200000000000003" customHeight="1">
      <c r="B9" s="371">
        <v>1</v>
      </c>
      <c r="C9" s="206" t="str">
        <f>'Link List'!F3</f>
        <v>SP TELUK KILUAN - SP. UMBAR</v>
      </c>
      <c r="D9" s="207">
        <f t="shared" ref="D9:D27" si="0">G9-E9</f>
        <v>950</v>
      </c>
      <c r="E9" s="208">
        <v>0</v>
      </c>
      <c r="F9" s="208" t="s">
        <v>249</v>
      </c>
      <c r="G9" s="208">
        <v>950</v>
      </c>
      <c r="H9" s="213" t="s">
        <v>162</v>
      </c>
      <c r="I9" s="207">
        <f t="shared" ref="I9:I26" si="1">L9-J9</f>
        <v>1000</v>
      </c>
      <c r="J9" s="208">
        <v>0</v>
      </c>
      <c r="K9" s="208" t="s">
        <v>249</v>
      </c>
      <c r="L9" s="208">
        <v>1000</v>
      </c>
      <c r="M9" s="213" t="s">
        <v>162</v>
      </c>
      <c r="N9" s="207"/>
      <c r="O9" s="208"/>
      <c r="P9" s="208"/>
      <c r="Q9" s="208"/>
      <c r="R9" s="235"/>
      <c r="S9" s="210"/>
      <c r="U9" s="218"/>
    </row>
    <row r="10" spans="2:22" ht="40.200000000000003" customHeight="1">
      <c r="B10" s="372"/>
      <c r="C10" s="211"/>
      <c r="D10" s="212">
        <f t="shared" si="0"/>
        <v>2900</v>
      </c>
      <c r="E10" s="208">
        <f t="shared" ref="E10:E25" si="2">G9</f>
        <v>950</v>
      </c>
      <c r="F10" s="208" t="s">
        <v>249</v>
      </c>
      <c r="G10" s="208">
        <v>3850</v>
      </c>
      <c r="H10" s="213" t="s">
        <v>254</v>
      </c>
      <c r="I10" s="212">
        <f t="shared" si="1"/>
        <v>2650</v>
      </c>
      <c r="J10" s="208">
        <f t="shared" ref="J10:J25" si="3">L9</f>
        <v>1000</v>
      </c>
      <c r="K10" s="208" t="s">
        <v>249</v>
      </c>
      <c r="L10" s="208">
        <v>3650</v>
      </c>
      <c r="M10" s="213" t="s">
        <v>254</v>
      </c>
      <c r="N10" s="212"/>
      <c r="O10" s="208"/>
      <c r="P10" s="208"/>
      <c r="Q10" s="208"/>
      <c r="R10" s="236"/>
      <c r="S10" s="210"/>
      <c r="V10" s="210"/>
    </row>
    <row r="11" spans="2:22" ht="40.200000000000003" customHeight="1">
      <c r="B11" s="237"/>
      <c r="C11" s="211"/>
      <c r="D11" s="212">
        <f t="shared" si="0"/>
        <v>1550</v>
      </c>
      <c r="E11" s="208">
        <f t="shared" si="2"/>
        <v>3850</v>
      </c>
      <c r="F11" s="208" t="s">
        <v>249</v>
      </c>
      <c r="G11" s="208">
        <v>5400</v>
      </c>
      <c r="H11" s="213" t="s">
        <v>162</v>
      </c>
      <c r="I11" s="212">
        <f t="shared" si="1"/>
        <v>1550</v>
      </c>
      <c r="J11" s="208">
        <f t="shared" si="3"/>
        <v>3650</v>
      </c>
      <c r="K11" s="208" t="s">
        <v>249</v>
      </c>
      <c r="L11" s="208">
        <v>5200</v>
      </c>
      <c r="M11" s="213" t="s">
        <v>162</v>
      </c>
      <c r="N11" s="212"/>
      <c r="O11" s="208"/>
      <c r="P11" s="208"/>
      <c r="Q11" s="208"/>
      <c r="R11" s="235"/>
      <c r="S11" s="210"/>
      <c r="V11" s="210"/>
    </row>
    <row r="12" spans="2:22" ht="40.200000000000003" customHeight="1">
      <c r="B12" s="238"/>
      <c r="C12" s="211"/>
      <c r="D12" s="212">
        <f t="shared" si="0"/>
        <v>3010</v>
      </c>
      <c r="E12" s="208">
        <f t="shared" si="2"/>
        <v>5400</v>
      </c>
      <c r="F12" s="208" t="s">
        <v>249</v>
      </c>
      <c r="G12" s="208">
        <v>8410</v>
      </c>
      <c r="H12" s="213" t="s">
        <v>254</v>
      </c>
      <c r="I12" s="212">
        <f t="shared" si="1"/>
        <v>2950</v>
      </c>
      <c r="J12" s="208">
        <v>5200</v>
      </c>
      <c r="K12" s="208" t="s">
        <v>249</v>
      </c>
      <c r="L12" s="311">
        <v>8150</v>
      </c>
      <c r="M12" s="213" t="s">
        <v>254</v>
      </c>
      <c r="N12" s="212"/>
      <c r="O12" s="208"/>
      <c r="P12" s="208"/>
      <c r="Q12" s="208"/>
      <c r="R12" s="236"/>
      <c r="S12" s="210"/>
      <c r="V12" s="210"/>
    </row>
    <row r="13" spans="2:22" ht="40.200000000000003" customHeight="1">
      <c r="B13" s="237"/>
      <c r="C13" s="211"/>
      <c r="D13" s="212">
        <f t="shared" si="0"/>
        <v>870</v>
      </c>
      <c r="E13" s="208">
        <f t="shared" si="2"/>
        <v>8410</v>
      </c>
      <c r="F13" s="208" t="s">
        <v>249</v>
      </c>
      <c r="G13" s="208">
        <v>9280</v>
      </c>
      <c r="H13" s="213" t="s">
        <v>162</v>
      </c>
      <c r="I13" s="212">
        <f t="shared" si="1"/>
        <v>810</v>
      </c>
      <c r="J13" s="208">
        <f t="shared" si="3"/>
        <v>8150</v>
      </c>
      <c r="K13" s="208" t="s">
        <v>249</v>
      </c>
      <c r="L13" s="208">
        <v>8960</v>
      </c>
      <c r="M13" s="213" t="s">
        <v>162</v>
      </c>
      <c r="N13" s="212"/>
      <c r="O13" s="208"/>
      <c r="P13" s="208"/>
      <c r="Q13" s="208"/>
      <c r="R13" s="235"/>
      <c r="S13" s="210"/>
      <c r="V13" s="210"/>
    </row>
    <row r="14" spans="2:22" ht="40.200000000000003" customHeight="1">
      <c r="B14" s="238"/>
      <c r="C14" s="211"/>
      <c r="D14" s="212">
        <f t="shared" si="0"/>
        <v>320</v>
      </c>
      <c r="E14" s="208">
        <f t="shared" si="2"/>
        <v>9280</v>
      </c>
      <c r="F14" s="208" t="s">
        <v>249</v>
      </c>
      <c r="G14" s="208">
        <v>9600</v>
      </c>
      <c r="H14" s="213" t="s">
        <v>254</v>
      </c>
      <c r="I14" s="212">
        <f t="shared" si="1"/>
        <v>320</v>
      </c>
      <c r="J14" s="208">
        <f t="shared" si="3"/>
        <v>8960</v>
      </c>
      <c r="K14" s="208" t="s">
        <v>249</v>
      </c>
      <c r="L14" s="208">
        <v>9280</v>
      </c>
      <c r="M14" s="213" t="s">
        <v>254</v>
      </c>
      <c r="N14" s="212"/>
      <c r="O14" s="208"/>
      <c r="P14" s="208"/>
      <c r="Q14" s="208"/>
      <c r="R14" s="236"/>
      <c r="S14" s="210"/>
    </row>
    <row r="15" spans="2:22" ht="40.200000000000003" customHeight="1">
      <c r="B15" s="237"/>
      <c r="C15" s="211"/>
      <c r="D15" s="212">
        <f t="shared" si="0"/>
        <v>700</v>
      </c>
      <c r="E15" s="208">
        <f t="shared" si="2"/>
        <v>9600</v>
      </c>
      <c r="F15" s="208" t="s">
        <v>249</v>
      </c>
      <c r="G15" s="208">
        <v>10300</v>
      </c>
      <c r="H15" s="213" t="s">
        <v>162</v>
      </c>
      <c r="I15" s="212">
        <f t="shared" si="1"/>
        <v>680</v>
      </c>
      <c r="J15" s="208">
        <f t="shared" si="3"/>
        <v>9280</v>
      </c>
      <c r="K15" s="208" t="s">
        <v>249</v>
      </c>
      <c r="L15" s="208">
        <v>9960</v>
      </c>
      <c r="M15" s="213" t="s">
        <v>162</v>
      </c>
      <c r="N15" s="212"/>
      <c r="O15" s="208"/>
      <c r="P15" s="208"/>
      <c r="Q15" s="208"/>
      <c r="R15" s="235"/>
      <c r="S15" s="210"/>
    </row>
    <row r="16" spans="2:22" ht="40.200000000000003" customHeight="1">
      <c r="B16" s="238"/>
      <c r="C16" s="222"/>
      <c r="D16" s="212">
        <f t="shared" si="0"/>
        <v>1060</v>
      </c>
      <c r="E16" s="208">
        <f t="shared" si="2"/>
        <v>10300</v>
      </c>
      <c r="F16" s="208" t="s">
        <v>249</v>
      </c>
      <c r="G16" s="208">
        <v>11360</v>
      </c>
      <c r="H16" s="213" t="s">
        <v>254</v>
      </c>
      <c r="I16" s="212">
        <f t="shared" si="1"/>
        <v>1040</v>
      </c>
      <c r="J16" s="208">
        <f t="shared" si="3"/>
        <v>9960</v>
      </c>
      <c r="K16" s="208" t="s">
        <v>249</v>
      </c>
      <c r="L16" s="208">
        <v>11000</v>
      </c>
      <c r="M16" s="213" t="s">
        <v>254</v>
      </c>
      <c r="N16" s="212"/>
      <c r="O16" s="208"/>
      <c r="P16" s="208"/>
      <c r="Q16" s="208"/>
      <c r="R16" s="236"/>
      <c r="S16" s="210"/>
    </row>
    <row r="17" spans="2:23" ht="40.200000000000003" customHeight="1">
      <c r="B17" s="237"/>
      <c r="C17" s="211"/>
      <c r="D17" s="212">
        <f t="shared" si="0"/>
        <v>290</v>
      </c>
      <c r="E17" s="208">
        <f t="shared" si="2"/>
        <v>11360</v>
      </c>
      <c r="F17" s="208" t="s">
        <v>249</v>
      </c>
      <c r="G17" s="208">
        <v>11650</v>
      </c>
      <c r="H17" s="213" t="s">
        <v>162</v>
      </c>
      <c r="I17" s="212">
        <f t="shared" si="1"/>
        <v>310</v>
      </c>
      <c r="J17" s="208">
        <f t="shared" si="3"/>
        <v>11000</v>
      </c>
      <c r="K17" s="208" t="s">
        <v>249</v>
      </c>
      <c r="L17" s="208">
        <v>11310</v>
      </c>
      <c r="M17" s="213" t="s">
        <v>162</v>
      </c>
      <c r="N17" s="212"/>
      <c r="O17" s="208"/>
      <c r="P17" s="208"/>
      <c r="Q17" s="208"/>
      <c r="R17" s="235"/>
      <c r="S17" s="210"/>
      <c r="U17" s="218"/>
    </row>
    <row r="18" spans="2:23" ht="40.200000000000003" customHeight="1">
      <c r="B18" s="238"/>
      <c r="C18" s="211"/>
      <c r="D18" s="212">
        <f t="shared" si="0"/>
        <v>3350</v>
      </c>
      <c r="E18" s="208">
        <f t="shared" si="2"/>
        <v>11650</v>
      </c>
      <c r="F18" s="208" t="s">
        <v>249</v>
      </c>
      <c r="G18" s="208">
        <v>15000</v>
      </c>
      <c r="H18" s="213" t="s">
        <v>254</v>
      </c>
      <c r="I18" s="212">
        <f t="shared" si="1"/>
        <v>3190</v>
      </c>
      <c r="J18" s="208">
        <f t="shared" si="3"/>
        <v>11310</v>
      </c>
      <c r="K18" s="208" t="s">
        <v>249</v>
      </c>
      <c r="L18" s="208">
        <v>14500</v>
      </c>
      <c r="M18" s="213" t="s">
        <v>254</v>
      </c>
      <c r="N18" s="212"/>
      <c r="O18" s="208"/>
      <c r="P18" s="208"/>
      <c r="Q18" s="208"/>
      <c r="R18" s="236"/>
      <c r="S18" s="210"/>
    </row>
    <row r="19" spans="2:23" ht="40.200000000000003" customHeight="1">
      <c r="B19" s="237"/>
      <c r="C19" s="211"/>
      <c r="D19" s="229">
        <f t="shared" si="0"/>
        <v>2150</v>
      </c>
      <c r="E19" s="230">
        <f t="shared" si="2"/>
        <v>15000</v>
      </c>
      <c r="F19" s="230" t="s">
        <v>249</v>
      </c>
      <c r="G19" s="230">
        <v>17150</v>
      </c>
      <c r="H19" s="231" t="s">
        <v>162</v>
      </c>
      <c r="I19" s="212">
        <f t="shared" si="1"/>
        <v>2650</v>
      </c>
      <c r="J19" s="311">
        <f t="shared" si="3"/>
        <v>14500</v>
      </c>
      <c r="K19" s="311" t="s">
        <v>249</v>
      </c>
      <c r="L19" s="311">
        <v>17150</v>
      </c>
      <c r="M19" s="326" t="s">
        <v>162</v>
      </c>
      <c r="N19" s="212"/>
      <c r="O19" s="208"/>
      <c r="P19" s="208"/>
      <c r="Q19" s="208"/>
      <c r="R19" s="235"/>
      <c r="S19" s="210"/>
    </row>
    <row r="20" spans="2:23" ht="40.200000000000003" customHeight="1">
      <c r="B20" s="238"/>
      <c r="C20" s="222"/>
      <c r="D20" s="212">
        <f t="shared" si="0"/>
        <v>400</v>
      </c>
      <c r="E20" s="208">
        <f t="shared" si="2"/>
        <v>17150</v>
      </c>
      <c r="F20" s="208" t="s">
        <v>249</v>
      </c>
      <c r="G20" s="208">
        <v>17550</v>
      </c>
      <c r="H20" s="213" t="s">
        <v>254</v>
      </c>
      <c r="I20" s="212">
        <f t="shared" si="1"/>
        <v>400</v>
      </c>
      <c r="J20" s="208">
        <f t="shared" si="3"/>
        <v>17150</v>
      </c>
      <c r="K20" s="208" t="s">
        <v>249</v>
      </c>
      <c r="L20" s="208">
        <v>17550</v>
      </c>
      <c r="M20" s="326" t="s">
        <v>162</v>
      </c>
      <c r="N20" s="212"/>
      <c r="O20" s="208"/>
      <c r="P20" s="208"/>
      <c r="Q20" s="208"/>
      <c r="R20" s="236"/>
      <c r="S20" s="210"/>
    </row>
    <row r="21" spans="2:23" ht="40.200000000000003" customHeight="1">
      <c r="B21" s="237"/>
      <c r="C21" s="211"/>
      <c r="D21" s="212">
        <f t="shared" si="0"/>
        <v>3800</v>
      </c>
      <c r="E21" s="208">
        <f t="shared" si="2"/>
        <v>17550</v>
      </c>
      <c r="F21" s="208" t="s">
        <v>249</v>
      </c>
      <c r="G21" s="208">
        <v>21350</v>
      </c>
      <c r="H21" s="213" t="s">
        <v>162</v>
      </c>
      <c r="I21" s="212">
        <f t="shared" si="1"/>
        <v>4230</v>
      </c>
      <c r="J21" s="208">
        <f t="shared" si="3"/>
        <v>17550</v>
      </c>
      <c r="K21" s="208" t="s">
        <v>249</v>
      </c>
      <c r="L21" s="302">
        <v>21780</v>
      </c>
      <c r="M21" s="213" t="s">
        <v>162</v>
      </c>
      <c r="N21" s="212"/>
      <c r="O21" s="208"/>
      <c r="P21" s="208"/>
      <c r="Q21" s="208"/>
      <c r="R21" s="235"/>
      <c r="S21" s="210"/>
      <c r="U21" s="218"/>
      <c r="W21" s="214"/>
    </row>
    <row r="22" spans="2:23" ht="40.200000000000003" customHeight="1">
      <c r="B22" s="238"/>
      <c r="C22" s="211"/>
      <c r="D22" s="212">
        <f t="shared" si="0"/>
        <v>900</v>
      </c>
      <c r="E22" s="208">
        <f t="shared" si="2"/>
        <v>21350</v>
      </c>
      <c r="F22" s="208" t="s">
        <v>249</v>
      </c>
      <c r="G22" s="208">
        <v>22250</v>
      </c>
      <c r="H22" s="303" t="s">
        <v>254</v>
      </c>
      <c r="I22" s="212">
        <f t="shared" si="1"/>
        <v>370</v>
      </c>
      <c r="J22" s="208">
        <f t="shared" si="3"/>
        <v>21780</v>
      </c>
      <c r="K22" s="208" t="s">
        <v>249</v>
      </c>
      <c r="L22" s="208">
        <v>22150</v>
      </c>
      <c r="M22" s="209" t="s">
        <v>164</v>
      </c>
      <c r="N22" s="212"/>
      <c r="O22" s="208"/>
      <c r="P22" s="208"/>
      <c r="Q22" s="208"/>
      <c r="R22" s="236"/>
      <c r="S22" s="210"/>
      <c r="W22" s="214"/>
    </row>
    <row r="23" spans="2:23" ht="40.200000000000003" customHeight="1">
      <c r="B23" s="237"/>
      <c r="C23" s="211"/>
      <c r="D23" s="212">
        <f t="shared" si="0"/>
        <v>350</v>
      </c>
      <c r="E23" s="208">
        <f t="shared" si="2"/>
        <v>22250</v>
      </c>
      <c r="F23" s="208" t="s">
        <v>249</v>
      </c>
      <c r="G23" s="208">
        <v>22600</v>
      </c>
      <c r="H23" s="209" t="s">
        <v>164</v>
      </c>
      <c r="I23" s="212">
        <f t="shared" si="1"/>
        <v>200</v>
      </c>
      <c r="J23" s="208">
        <f t="shared" si="3"/>
        <v>22150</v>
      </c>
      <c r="K23" s="208" t="s">
        <v>249</v>
      </c>
      <c r="L23" s="208">
        <v>22350</v>
      </c>
      <c r="M23" s="213" t="s">
        <v>162</v>
      </c>
      <c r="N23" s="212"/>
      <c r="O23" s="208"/>
      <c r="P23" s="208"/>
      <c r="Q23" s="208"/>
      <c r="R23" s="235"/>
      <c r="S23" s="210"/>
      <c r="W23" s="214"/>
    </row>
    <row r="24" spans="2:23" ht="40.200000000000003" customHeight="1">
      <c r="B24" s="238"/>
      <c r="C24" s="211"/>
      <c r="D24" s="212">
        <f t="shared" si="0"/>
        <v>200</v>
      </c>
      <c r="E24" s="208">
        <f t="shared" si="2"/>
        <v>22600</v>
      </c>
      <c r="F24" s="208" t="s">
        <v>249</v>
      </c>
      <c r="G24" s="208">
        <v>22800</v>
      </c>
      <c r="H24" s="213" t="s">
        <v>162</v>
      </c>
      <c r="I24" s="212">
        <f t="shared" si="1"/>
        <v>250</v>
      </c>
      <c r="J24" s="208">
        <f t="shared" si="3"/>
        <v>22350</v>
      </c>
      <c r="K24" s="208" t="s">
        <v>249</v>
      </c>
      <c r="L24" s="208">
        <v>22600</v>
      </c>
      <c r="M24" s="209" t="s">
        <v>164</v>
      </c>
      <c r="N24" s="212"/>
      <c r="O24" s="208"/>
      <c r="P24" s="208"/>
      <c r="Q24" s="208"/>
      <c r="R24" s="236"/>
      <c r="S24" s="210"/>
      <c r="W24" s="228"/>
    </row>
    <row r="25" spans="2:23" ht="40.200000000000003" customHeight="1">
      <c r="B25" s="237"/>
      <c r="C25" s="222"/>
      <c r="D25" s="212">
        <f t="shared" si="0"/>
        <v>280</v>
      </c>
      <c r="E25" s="208">
        <f t="shared" si="2"/>
        <v>22800</v>
      </c>
      <c r="F25" s="208" t="s">
        <v>249</v>
      </c>
      <c r="G25" s="208">
        <v>23080</v>
      </c>
      <c r="H25" s="209" t="s">
        <v>164</v>
      </c>
      <c r="I25" s="212">
        <f t="shared" si="1"/>
        <v>1400</v>
      </c>
      <c r="J25" s="208">
        <f t="shared" si="3"/>
        <v>22600</v>
      </c>
      <c r="K25" s="208" t="s">
        <v>249</v>
      </c>
      <c r="L25" s="208">
        <v>24000</v>
      </c>
      <c r="M25" s="213" t="s">
        <v>162</v>
      </c>
      <c r="N25" s="212"/>
      <c r="O25" s="208"/>
      <c r="P25" s="208"/>
      <c r="Q25" s="208"/>
      <c r="R25" s="235"/>
      <c r="S25" s="210"/>
      <c r="W25" s="214"/>
    </row>
    <row r="26" spans="2:23" ht="40.200000000000003" customHeight="1">
      <c r="B26" s="238"/>
      <c r="C26" s="222"/>
      <c r="D26" s="212">
        <f t="shared" si="0"/>
        <v>1330</v>
      </c>
      <c r="E26" s="208">
        <f>G25</f>
        <v>23080</v>
      </c>
      <c r="F26" s="208" t="s">
        <v>249</v>
      </c>
      <c r="G26" s="208">
        <v>24410</v>
      </c>
      <c r="H26" s="213" t="s">
        <v>162</v>
      </c>
      <c r="I26" s="212">
        <f t="shared" si="1"/>
        <v>1157</v>
      </c>
      <c r="J26" s="208">
        <f>L25</f>
        <v>24000</v>
      </c>
      <c r="K26" s="208" t="s">
        <v>249</v>
      </c>
      <c r="L26" s="208">
        <v>25157</v>
      </c>
      <c r="M26" s="209" t="s">
        <v>164</v>
      </c>
      <c r="N26" s="212"/>
      <c r="O26" s="208"/>
      <c r="P26" s="208"/>
      <c r="Q26" s="208"/>
      <c r="R26" s="236"/>
      <c r="S26" s="210"/>
      <c r="W26" s="228"/>
    </row>
    <row r="27" spans="2:23" ht="40.200000000000003" customHeight="1">
      <c r="B27" s="237"/>
      <c r="C27" s="222"/>
      <c r="D27" s="212">
        <f t="shared" si="0"/>
        <v>747</v>
      </c>
      <c r="E27" s="208">
        <f>G26</f>
        <v>24410</v>
      </c>
      <c r="F27" s="208" t="s">
        <v>249</v>
      </c>
      <c r="G27" s="208">
        <v>25157</v>
      </c>
      <c r="H27" s="209" t="s">
        <v>164</v>
      </c>
      <c r="I27" s="212"/>
      <c r="J27" s="208"/>
      <c r="K27" s="208"/>
      <c r="L27" s="208"/>
      <c r="M27" s="209"/>
      <c r="N27" s="212"/>
      <c r="O27" s="208"/>
      <c r="P27" s="208"/>
      <c r="Q27" s="208"/>
      <c r="R27" s="235"/>
      <c r="S27" s="210"/>
      <c r="W27" s="214"/>
    </row>
    <row r="28" spans="2:23" ht="40.200000000000003" customHeight="1">
      <c r="B28" s="238"/>
      <c r="C28" s="222"/>
      <c r="D28" s="368" t="s">
        <v>250</v>
      </c>
      <c r="E28" s="369"/>
      <c r="F28" s="369"/>
      <c r="G28" s="370"/>
      <c r="H28" s="223">
        <f>SUMIFS(D9:D27,H9:H27,"Aspal")</f>
        <v>1377</v>
      </c>
      <c r="I28" s="368" t="s">
        <v>250</v>
      </c>
      <c r="J28" s="369"/>
      <c r="K28" s="369"/>
      <c r="L28" s="370"/>
      <c r="M28" s="223">
        <f>SUMIFS(I9:I27,M9:M27,"Aspal")</f>
        <v>1777</v>
      </c>
      <c r="N28" s="368"/>
      <c r="O28" s="369"/>
      <c r="P28" s="369"/>
      <c r="Q28" s="370"/>
      <c r="R28" s="239"/>
      <c r="S28" s="210"/>
    </row>
    <row r="29" spans="2:23" ht="40.200000000000003" customHeight="1">
      <c r="B29" s="238"/>
      <c r="C29" s="211"/>
      <c r="D29" s="368" t="s">
        <v>251</v>
      </c>
      <c r="E29" s="369"/>
      <c r="F29" s="369"/>
      <c r="G29" s="370"/>
      <c r="H29" s="223">
        <f>SUMIFS(D9:D27,H9:H27,"Beton")</f>
        <v>11840</v>
      </c>
      <c r="I29" s="368" t="s">
        <v>251</v>
      </c>
      <c r="J29" s="369"/>
      <c r="K29" s="369"/>
      <c r="L29" s="370"/>
      <c r="M29" s="223">
        <f>SUMIFS(I9:I27,M9:M27,"Beton")</f>
        <v>13230</v>
      </c>
      <c r="N29" s="368"/>
      <c r="O29" s="369"/>
      <c r="P29" s="369"/>
      <c r="Q29" s="370"/>
      <c r="R29" s="239"/>
      <c r="S29" s="210"/>
    </row>
    <row r="30" spans="2:23" ht="40.200000000000003" customHeight="1">
      <c r="B30" s="238"/>
      <c r="C30" s="211"/>
      <c r="D30" s="368" t="s">
        <v>252</v>
      </c>
      <c r="E30" s="369"/>
      <c r="F30" s="369"/>
      <c r="G30" s="370"/>
      <c r="H30" s="223">
        <f>SUMIFS(D10:D27,H10:H27,"Non Aspal (Kerikil)")</f>
        <v>11940</v>
      </c>
      <c r="I30" s="368" t="s">
        <v>252</v>
      </c>
      <c r="J30" s="369"/>
      <c r="K30" s="369"/>
      <c r="L30" s="370"/>
      <c r="M30" s="223">
        <f>SUMIFS(I10:I27,M10:M27,"Non Aspal (Kerikil)")</f>
        <v>10150</v>
      </c>
      <c r="N30" s="368"/>
      <c r="O30" s="369"/>
      <c r="P30" s="369"/>
      <c r="Q30" s="370"/>
      <c r="R30" s="239"/>
      <c r="S30" s="210"/>
      <c r="U30" s="218"/>
    </row>
    <row r="31" spans="2:23" ht="40.200000000000003" customHeight="1">
      <c r="B31" s="238"/>
      <c r="C31" s="211"/>
      <c r="D31" s="365" t="s">
        <v>253</v>
      </c>
      <c r="E31" s="366"/>
      <c r="F31" s="366"/>
      <c r="G31" s="367"/>
      <c r="H31" s="223">
        <f>SUM(H28:H30)</f>
        <v>25157</v>
      </c>
      <c r="I31" s="365" t="s">
        <v>253</v>
      </c>
      <c r="J31" s="366"/>
      <c r="K31" s="366"/>
      <c r="L31" s="367"/>
      <c r="M31" s="223">
        <f>SUM(M28:M30)</f>
        <v>25157</v>
      </c>
      <c r="N31" s="368"/>
      <c r="O31" s="369"/>
      <c r="P31" s="369"/>
      <c r="Q31" s="370"/>
      <c r="R31" s="239"/>
      <c r="S31" s="210"/>
    </row>
    <row r="32" spans="2:23" ht="40.200000000000003" customHeight="1">
      <c r="B32" s="240"/>
      <c r="C32" s="224"/>
      <c r="D32" s="225"/>
      <c r="E32" s="226"/>
      <c r="F32" s="226"/>
      <c r="G32" s="226"/>
      <c r="H32" s="227"/>
      <c r="I32" s="225"/>
      <c r="J32" s="226"/>
      <c r="K32" s="226"/>
      <c r="L32" s="226"/>
      <c r="M32" s="227"/>
      <c r="N32" s="225"/>
      <c r="O32" s="226"/>
      <c r="P32" s="226"/>
      <c r="Q32" s="226"/>
      <c r="R32" s="241"/>
      <c r="S32" s="210"/>
    </row>
    <row r="33" spans="2:19" ht="40.200000000000003" customHeight="1" thickBot="1">
      <c r="B33" s="242"/>
      <c r="C33" s="243"/>
      <c r="D33" s="244"/>
      <c r="E33" s="245"/>
      <c r="F33" s="245"/>
      <c r="G33" s="245"/>
      <c r="H33" s="246"/>
      <c r="I33" s="244"/>
      <c r="J33" s="245"/>
      <c r="K33" s="245"/>
      <c r="L33" s="245"/>
      <c r="M33" s="246"/>
      <c r="N33" s="244"/>
      <c r="O33" s="245"/>
      <c r="P33" s="245"/>
      <c r="Q33" s="245"/>
      <c r="R33" s="247"/>
      <c r="S33" s="210"/>
    </row>
    <row r="34" spans="2:19" ht="19.95" customHeight="1">
      <c r="B34" s="214"/>
      <c r="C34" s="215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</row>
  </sheetData>
  <mergeCells count="21">
    <mergeCell ref="D28:G28"/>
    <mergeCell ref="I28:L28"/>
    <mergeCell ref="N28:Q28"/>
    <mergeCell ref="B9:B10"/>
    <mergeCell ref="B2:R2"/>
    <mergeCell ref="B6:B7"/>
    <mergeCell ref="C6:C7"/>
    <mergeCell ref="D6:H6"/>
    <mergeCell ref="I6:R6"/>
    <mergeCell ref="E7:G7"/>
    <mergeCell ref="J7:L7"/>
    <mergeCell ref="O7:Q7"/>
    <mergeCell ref="D31:G31"/>
    <mergeCell ref="I31:L31"/>
    <mergeCell ref="N31:Q31"/>
    <mergeCell ref="D29:G29"/>
    <mergeCell ref="I29:L29"/>
    <mergeCell ref="N29:Q29"/>
    <mergeCell ref="D30:G30"/>
    <mergeCell ref="I30:L30"/>
    <mergeCell ref="N30:Q30"/>
  </mergeCells>
  <printOptions horizontalCentered="1"/>
  <pageMargins left="0.43307086614173229" right="3.937007874015748E-2" top="0.47244094488188981" bottom="0.74803149606299213" header="0.31496062992125984" footer="0.31496062992125984"/>
  <pageSetup paperSize="9" scale="40" orientation="portrait" horizontalDpi="4294967293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P113"/>
  <sheetViews>
    <sheetView view="pageBreakPreview" topLeftCell="A52" zoomScale="50" zoomScaleNormal="100" zoomScaleSheetLayoutView="50" workbookViewId="0">
      <selection activeCell="H21" sqref="H21"/>
    </sheetView>
  </sheetViews>
  <sheetFormatPr defaultRowHeight="14.4"/>
  <cols>
    <col min="1" max="1" width="1.109375" style="4" customWidth="1"/>
    <col min="2" max="2" width="1.6640625" style="1" customWidth="1"/>
    <col min="3" max="3" width="8.6640625" style="2" customWidth="1"/>
    <col min="4" max="4" width="3.6640625" style="3" customWidth="1"/>
    <col min="5" max="5" width="8.6640625" style="2" customWidth="1"/>
    <col min="6" max="6" width="1.6640625" style="1" customWidth="1"/>
    <col min="7" max="7" width="15.6640625" style="1" customWidth="1"/>
    <col min="8" max="10" width="5.6640625" style="1" customWidth="1"/>
    <col min="11" max="11" width="15.6640625" style="1" customWidth="1"/>
    <col min="12" max="14" width="5.6640625" style="1" customWidth="1"/>
    <col min="15" max="15" width="15.6640625" style="1" customWidth="1"/>
    <col min="16" max="18" width="5.6640625" style="1" customWidth="1"/>
    <col min="19" max="19" width="15.6640625" style="1" customWidth="1"/>
    <col min="20" max="22" width="5.6640625" style="1" customWidth="1"/>
    <col min="23" max="23" width="15.6640625" style="1" customWidth="1"/>
    <col min="24" max="26" width="5.6640625" style="1" customWidth="1"/>
    <col min="27" max="27" width="15.6640625" style="1" customWidth="1"/>
    <col min="28" max="30" width="5.6640625" style="1" customWidth="1"/>
    <col min="31" max="31" width="15.6640625" style="1" customWidth="1"/>
    <col min="32" max="34" width="5.6640625" style="1" customWidth="1"/>
    <col min="35" max="35" width="15.6640625" style="1" customWidth="1"/>
    <col min="36" max="38" width="5.6640625" style="1" customWidth="1"/>
    <col min="39" max="39" width="15.6640625" style="1" customWidth="1"/>
    <col min="40" max="42" width="5.6640625" style="1" customWidth="1"/>
    <col min="43" max="43" width="2.6640625" style="1" customWidth="1"/>
    <col min="44" max="44" width="15.6640625" style="1" customWidth="1"/>
    <col min="45" max="47" width="5.6640625" style="1" customWidth="1"/>
    <col min="48" max="48" width="15.6640625" style="1" customWidth="1"/>
    <col min="49" max="51" width="5.6640625" style="1" customWidth="1"/>
    <col min="52" max="52" width="15.6640625" style="1" customWidth="1"/>
    <col min="53" max="55" width="5.6640625" style="1" customWidth="1"/>
    <col min="56" max="56" width="15.6640625" style="1" customWidth="1"/>
    <col min="57" max="59" width="5.6640625" style="1" customWidth="1"/>
    <col min="60" max="60" width="15.6640625" style="1" customWidth="1"/>
    <col min="61" max="63" width="5.6640625" style="1" customWidth="1"/>
    <col min="64" max="64" width="15.6640625" style="1" customWidth="1"/>
    <col min="65" max="67" width="5.6640625" style="1" customWidth="1"/>
    <col min="68" max="68" width="2.6640625" style="1" customWidth="1"/>
    <col min="69" max="69" width="15.6640625" style="1" customWidth="1"/>
    <col min="70" max="72" width="5.6640625" style="1" customWidth="1"/>
    <col min="73" max="73" width="15.6640625" style="1" customWidth="1"/>
    <col min="74" max="76" width="5.6640625" style="1" customWidth="1"/>
    <col min="77" max="77" width="15.6640625" style="1" customWidth="1"/>
    <col min="78" max="80" width="5.6640625" style="1" customWidth="1"/>
    <col min="81" max="81" width="15.6640625" style="1" customWidth="1"/>
    <col min="82" max="84" width="5.6640625" style="1" customWidth="1"/>
    <col min="85" max="85" width="15.6640625" style="1" customWidth="1"/>
    <col min="86" max="88" width="5.6640625" style="1" customWidth="1"/>
    <col min="89" max="89" width="15.6640625" style="1" customWidth="1"/>
    <col min="90" max="92" width="5.6640625" style="1" customWidth="1"/>
    <col min="93" max="93" width="10.6640625" style="1" customWidth="1"/>
    <col min="94" max="94" width="1" style="4" customWidth="1"/>
    <col min="95" max="327" width="8.88671875" style="4"/>
    <col min="328" max="328" width="7.5546875" style="4" customWidth="1"/>
    <col min="329" max="329" width="7.33203125" style="4" customWidth="1"/>
    <col min="330" max="330" width="9.6640625" style="4" customWidth="1"/>
    <col min="331" max="332" width="6.6640625" style="4" customWidth="1"/>
    <col min="333" max="342" width="6.33203125" style="4" customWidth="1"/>
    <col min="343" max="343" width="9.109375" style="4" customWidth="1"/>
    <col min="344" max="349" width="7.6640625" style="4" customWidth="1"/>
    <col min="350" max="350" width="1.88671875" style="4" customWidth="1"/>
    <col min="351" max="583" width="8.88671875" style="4"/>
    <col min="584" max="584" width="7.5546875" style="4" customWidth="1"/>
    <col min="585" max="585" width="7.33203125" style="4" customWidth="1"/>
    <col min="586" max="586" width="9.6640625" style="4" customWidth="1"/>
    <col min="587" max="588" width="6.6640625" style="4" customWidth="1"/>
    <col min="589" max="598" width="6.33203125" style="4" customWidth="1"/>
    <col min="599" max="599" width="9.109375" style="4" customWidth="1"/>
    <col min="600" max="605" width="7.6640625" style="4" customWidth="1"/>
    <col min="606" max="606" width="1.88671875" style="4" customWidth="1"/>
    <col min="607" max="839" width="8.88671875" style="4"/>
    <col min="840" max="840" width="7.5546875" style="4" customWidth="1"/>
    <col min="841" max="841" width="7.33203125" style="4" customWidth="1"/>
    <col min="842" max="842" width="9.6640625" style="4" customWidth="1"/>
    <col min="843" max="844" width="6.6640625" style="4" customWidth="1"/>
    <col min="845" max="854" width="6.33203125" style="4" customWidth="1"/>
    <col min="855" max="855" width="9.109375" style="4" customWidth="1"/>
    <col min="856" max="861" width="7.6640625" style="4" customWidth="1"/>
    <col min="862" max="862" width="1.88671875" style="4" customWidth="1"/>
    <col min="863" max="1095" width="8.88671875" style="4"/>
    <col min="1096" max="1096" width="7.5546875" style="4" customWidth="1"/>
    <col min="1097" max="1097" width="7.33203125" style="4" customWidth="1"/>
    <col min="1098" max="1098" width="9.6640625" style="4" customWidth="1"/>
    <col min="1099" max="1100" width="6.6640625" style="4" customWidth="1"/>
    <col min="1101" max="1110" width="6.33203125" style="4" customWidth="1"/>
    <col min="1111" max="1111" width="9.109375" style="4" customWidth="1"/>
    <col min="1112" max="1117" width="7.6640625" style="4" customWidth="1"/>
    <col min="1118" max="1118" width="1.88671875" style="4" customWidth="1"/>
    <col min="1119" max="1351" width="8.88671875" style="4"/>
    <col min="1352" max="1352" width="7.5546875" style="4" customWidth="1"/>
    <col min="1353" max="1353" width="7.33203125" style="4" customWidth="1"/>
    <col min="1354" max="1354" width="9.6640625" style="4" customWidth="1"/>
    <col min="1355" max="1356" width="6.6640625" style="4" customWidth="1"/>
    <col min="1357" max="1366" width="6.33203125" style="4" customWidth="1"/>
    <col min="1367" max="1367" width="9.109375" style="4" customWidth="1"/>
    <col min="1368" max="1373" width="7.6640625" style="4" customWidth="1"/>
    <col min="1374" max="1374" width="1.88671875" style="4" customWidth="1"/>
    <col min="1375" max="1607" width="8.88671875" style="4"/>
    <col min="1608" max="1608" width="7.5546875" style="4" customWidth="1"/>
    <col min="1609" max="1609" width="7.33203125" style="4" customWidth="1"/>
    <col min="1610" max="1610" width="9.6640625" style="4" customWidth="1"/>
    <col min="1611" max="1612" width="6.6640625" style="4" customWidth="1"/>
    <col min="1613" max="1622" width="6.33203125" style="4" customWidth="1"/>
    <col min="1623" max="1623" width="9.109375" style="4" customWidth="1"/>
    <col min="1624" max="1629" width="7.6640625" style="4" customWidth="1"/>
    <col min="1630" max="1630" width="1.88671875" style="4" customWidth="1"/>
    <col min="1631" max="1863" width="8.88671875" style="4"/>
    <col min="1864" max="1864" width="7.5546875" style="4" customWidth="1"/>
    <col min="1865" max="1865" width="7.33203125" style="4" customWidth="1"/>
    <col min="1866" max="1866" width="9.6640625" style="4" customWidth="1"/>
    <col min="1867" max="1868" width="6.6640625" style="4" customWidth="1"/>
    <col min="1869" max="1878" width="6.33203125" style="4" customWidth="1"/>
    <col min="1879" max="1879" width="9.109375" style="4" customWidth="1"/>
    <col min="1880" max="1885" width="7.6640625" style="4" customWidth="1"/>
    <col min="1886" max="1886" width="1.88671875" style="4" customWidth="1"/>
    <col min="1887" max="2119" width="8.88671875" style="4"/>
    <col min="2120" max="2120" width="7.5546875" style="4" customWidth="1"/>
    <col min="2121" max="2121" width="7.33203125" style="4" customWidth="1"/>
    <col min="2122" max="2122" width="9.6640625" style="4" customWidth="1"/>
    <col min="2123" max="2124" width="6.6640625" style="4" customWidth="1"/>
    <col min="2125" max="2134" width="6.33203125" style="4" customWidth="1"/>
    <col min="2135" max="2135" width="9.109375" style="4" customWidth="1"/>
    <col min="2136" max="2141" width="7.6640625" style="4" customWidth="1"/>
    <col min="2142" max="2142" width="1.88671875" style="4" customWidth="1"/>
    <col min="2143" max="2375" width="8.88671875" style="4"/>
    <col min="2376" max="2376" width="7.5546875" style="4" customWidth="1"/>
    <col min="2377" max="2377" width="7.33203125" style="4" customWidth="1"/>
    <col min="2378" max="2378" width="9.6640625" style="4" customWidth="1"/>
    <col min="2379" max="2380" width="6.6640625" style="4" customWidth="1"/>
    <col min="2381" max="2390" width="6.33203125" style="4" customWidth="1"/>
    <col min="2391" max="2391" width="9.109375" style="4" customWidth="1"/>
    <col min="2392" max="2397" width="7.6640625" style="4" customWidth="1"/>
    <col min="2398" max="2398" width="1.88671875" style="4" customWidth="1"/>
    <col min="2399" max="2631" width="8.88671875" style="4"/>
    <col min="2632" max="2632" width="7.5546875" style="4" customWidth="1"/>
    <col min="2633" max="2633" width="7.33203125" style="4" customWidth="1"/>
    <col min="2634" max="2634" width="9.6640625" style="4" customWidth="1"/>
    <col min="2635" max="2636" width="6.6640625" style="4" customWidth="1"/>
    <col min="2637" max="2646" width="6.33203125" style="4" customWidth="1"/>
    <col min="2647" max="2647" width="9.109375" style="4" customWidth="1"/>
    <col min="2648" max="2653" width="7.6640625" style="4" customWidth="1"/>
    <col min="2654" max="2654" width="1.88671875" style="4" customWidth="1"/>
    <col min="2655" max="2887" width="8.88671875" style="4"/>
    <col min="2888" max="2888" width="7.5546875" style="4" customWidth="1"/>
    <col min="2889" max="2889" width="7.33203125" style="4" customWidth="1"/>
    <col min="2890" max="2890" width="9.6640625" style="4" customWidth="1"/>
    <col min="2891" max="2892" width="6.6640625" style="4" customWidth="1"/>
    <col min="2893" max="2902" width="6.33203125" style="4" customWidth="1"/>
    <col min="2903" max="2903" width="9.109375" style="4" customWidth="1"/>
    <col min="2904" max="2909" width="7.6640625" style="4" customWidth="1"/>
    <col min="2910" max="2910" width="1.88671875" style="4" customWidth="1"/>
    <col min="2911" max="3143" width="8.88671875" style="4"/>
    <col min="3144" max="3144" width="7.5546875" style="4" customWidth="1"/>
    <col min="3145" max="3145" width="7.33203125" style="4" customWidth="1"/>
    <col min="3146" max="3146" width="9.6640625" style="4" customWidth="1"/>
    <col min="3147" max="3148" width="6.6640625" style="4" customWidth="1"/>
    <col min="3149" max="3158" width="6.33203125" style="4" customWidth="1"/>
    <col min="3159" max="3159" width="9.109375" style="4" customWidth="1"/>
    <col min="3160" max="3165" width="7.6640625" style="4" customWidth="1"/>
    <col min="3166" max="3166" width="1.88671875" style="4" customWidth="1"/>
    <col min="3167" max="3399" width="8.88671875" style="4"/>
    <col min="3400" max="3400" width="7.5546875" style="4" customWidth="1"/>
    <col min="3401" max="3401" width="7.33203125" style="4" customWidth="1"/>
    <col min="3402" max="3402" width="9.6640625" style="4" customWidth="1"/>
    <col min="3403" max="3404" width="6.6640625" style="4" customWidth="1"/>
    <col min="3405" max="3414" width="6.33203125" style="4" customWidth="1"/>
    <col min="3415" max="3415" width="9.109375" style="4" customWidth="1"/>
    <col min="3416" max="3421" width="7.6640625" style="4" customWidth="1"/>
    <col min="3422" max="3422" width="1.88671875" style="4" customWidth="1"/>
    <col min="3423" max="3655" width="8.88671875" style="4"/>
    <col min="3656" max="3656" width="7.5546875" style="4" customWidth="1"/>
    <col min="3657" max="3657" width="7.33203125" style="4" customWidth="1"/>
    <col min="3658" max="3658" width="9.6640625" style="4" customWidth="1"/>
    <col min="3659" max="3660" width="6.6640625" style="4" customWidth="1"/>
    <col min="3661" max="3670" width="6.33203125" style="4" customWidth="1"/>
    <col min="3671" max="3671" width="9.109375" style="4" customWidth="1"/>
    <col min="3672" max="3677" width="7.6640625" style="4" customWidth="1"/>
    <col min="3678" max="3678" width="1.88671875" style="4" customWidth="1"/>
    <col min="3679" max="3911" width="8.88671875" style="4"/>
    <col min="3912" max="3912" width="7.5546875" style="4" customWidth="1"/>
    <col min="3913" max="3913" width="7.33203125" style="4" customWidth="1"/>
    <col min="3914" max="3914" width="9.6640625" style="4" customWidth="1"/>
    <col min="3915" max="3916" width="6.6640625" style="4" customWidth="1"/>
    <col min="3917" max="3926" width="6.33203125" style="4" customWidth="1"/>
    <col min="3927" max="3927" width="9.109375" style="4" customWidth="1"/>
    <col min="3928" max="3933" width="7.6640625" style="4" customWidth="1"/>
    <col min="3934" max="3934" width="1.88671875" style="4" customWidth="1"/>
    <col min="3935" max="4167" width="8.88671875" style="4"/>
    <col min="4168" max="4168" width="7.5546875" style="4" customWidth="1"/>
    <col min="4169" max="4169" width="7.33203125" style="4" customWidth="1"/>
    <col min="4170" max="4170" width="9.6640625" style="4" customWidth="1"/>
    <col min="4171" max="4172" width="6.6640625" style="4" customWidth="1"/>
    <col min="4173" max="4182" width="6.33203125" style="4" customWidth="1"/>
    <col min="4183" max="4183" width="9.109375" style="4" customWidth="1"/>
    <col min="4184" max="4189" width="7.6640625" style="4" customWidth="1"/>
    <col min="4190" max="4190" width="1.88671875" style="4" customWidth="1"/>
    <col min="4191" max="4423" width="8.88671875" style="4"/>
    <col min="4424" max="4424" width="7.5546875" style="4" customWidth="1"/>
    <col min="4425" max="4425" width="7.33203125" style="4" customWidth="1"/>
    <col min="4426" max="4426" width="9.6640625" style="4" customWidth="1"/>
    <col min="4427" max="4428" width="6.6640625" style="4" customWidth="1"/>
    <col min="4429" max="4438" width="6.33203125" style="4" customWidth="1"/>
    <col min="4439" max="4439" width="9.109375" style="4" customWidth="1"/>
    <col min="4440" max="4445" width="7.6640625" style="4" customWidth="1"/>
    <col min="4446" max="4446" width="1.88671875" style="4" customWidth="1"/>
    <col min="4447" max="4679" width="8.88671875" style="4"/>
    <col min="4680" max="4680" width="7.5546875" style="4" customWidth="1"/>
    <col min="4681" max="4681" width="7.33203125" style="4" customWidth="1"/>
    <col min="4682" max="4682" width="9.6640625" style="4" customWidth="1"/>
    <col min="4683" max="4684" width="6.6640625" style="4" customWidth="1"/>
    <col min="4685" max="4694" width="6.33203125" style="4" customWidth="1"/>
    <col min="4695" max="4695" width="9.109375" style="4" customWidth="1"/>
    <col min="4696" max="4701" width="7.6640625" style="4" customWidth="1"/>
    <col min="4702" max="4702" width="1.88671875" style="4" customWidth="1"/>
    <col min="4703" max="4935" width="8.88671875" style="4"/>
    <col min="4936" max="4936" width="7.5546875" style="4" customWidth="1"/>
    <col min="4937" max="4937" width="7.33203125" style="4" customWidth="1"/>
    <col min="4938" max="4938" width="9.6640625" style="4" customWidth="1"/>
    <col min="4939" max="4940" width="6.6640625" style="4" customWidth="1"/>
    <col min="4941" max="4950" width="6.33203125" style="4" customWidth="1"/>
    <col min="4951" max="4951" width="9.109375" style="4" customWidth="1"/>
    <col min="4952" max="4957" width="7.6640625" style="4" customWidth="1"/>
    <col min="4958" max="4958" width="1.88671875" style="4" customWidth="1"/>
    <col min="4959" max="5191" width="8.88671875" style="4"/>
    <col min="5192" max="5192" width="7.5546875" style="4" customWidth="1"/>
    <col min="5193" max="5193" width="7.33203125" style="4" customWidth="1"/>
    <col min="5194" max="5194" width="9.6640625" style="4" customWidth="1"/>
    <col min="5195" max="5196" width="6.6640625" style="4" customWidth="1"/>
    <col min="5197" max="5206" width="6.33203125" style="4" customWidth="1"/>
    <col min="5207" max="5207" width="9.109375" style="4" customWidth="1"/>
    <col min="5208" max="5213" width="7.6640625" style="4" customWidth="1"/>
    <col min="5214" max="5214" width="1.88671875" style="4" customWidth="1"/>
    <col min="5215" max="5447" width="8.88671875" style="4"/>
    <col min="5448" max="5448" width="7.5546875" style="4" customWidth="1"/>
    <col min="5449" max="5449" width="7.33203125" style="4" customWidth="1"/>
    <col min="5450" max="5450" width="9.6640625" style="4" customWidth="1"/>
    <col min="5451" max="5452" width="6.6640625" style="4" customWidth="1"/>
    <col min="5453" max="5462" width="6.33203125" style="4" customWidth="1"/>
    <col min="5463" max="5463" width="9.109375" style="4" customWidth="1"/>
    <col min="5464" max="5469" width="7.6640625" style="4" customWidth="1"/>
    <col min="5470" max="5470" width="1.88671875" style="4" customWidth="1"/>
    <col min="5471" max="5703" width="8.88671875" style="4"/>
    <col min="5704" max="5704" width="7.5546875" style="4" customWidth="1"/>
    <col min="5705" max="5705" width="7.33203125" style="4" customWidth="1"/>
    <col min="5706" max="5706" width="9.6640625" style="4" customWidth="1"/>
    <col min="5707" max="5708" width="6.6640625" style="4" customWidth="1"/>
    <col min="5709" max="5718" width="6.33203125" style="4" customWidth="1"/>
    <col min="5719" max="5719" width="9.109375" style="4" customWidth="1"/>
    <col min="5720" max="5725" width="7.6640625" style="4" customWidth="1"/>
    <col min="5726" max="5726" width="1.88671875" style="4" customWidth="1"/>
    <col min="5727" max="5959" width="8.88671875" style="4"/>
    <col min="5960" max="5960" width="7.5546875" style="4" customWidth="1"/>
    <col min="5961" max="5961" width="7.33203125" style="4" customWidth="1"/>
    <col min="5962" max="5962" width="9.6640625" style="4" customWidth="1"/>
    <col min="5963" max="5964" width="6.6640625" style="4" customWidth="1"/>
    <col min="5965" max="5974" width="6.33203125" style="4" customWidth="1"/>
    <col min="5975" max="5975" width="9.109375" style="4" customWidth="1"/>
    <col min="5976" max="5981" width="7.6640625" style="4" customWidth="1"/>
    <col min="5982" max="5982" width="1.88671875" style="4" customWidth="1"/>
    <col min="5983" max="6215" width="8.88671875" style="4"/>
    <col min="6216" max="6216" width="7.5546875" style="4" customWidth="1"/>
    <col min="6217" max="6217" width="7.33203125" style="4" customWidth="1"/>
    <col min="6218" max="6218" width="9.6640625" style="4" customWidth="1"/>
    <col min="6219" max="6220" width="6.6640625" style="4" customWidth="1"/>
    <col min="6221" max="6230" width="6.33203125" style="4" customWidth="1"/>
    <col min="6231" max="6231" width="9.109375" style="4" customWidth="1"/>
    <col min="6232" max="6237" width="7.6640625" style="4" customWidth="1"/>
    <col min="6238" max="6238" width="1.88671875" style="4" customWidth="1"/>
    <col min="6239" max="6471" width="8.88671875" style="4"/>
    <col min="6472" max="6472" width="7.5546875" style="4" customWidth="1"/>
    <col min="6473" max="6473" width="7.33203125" style="4" customWidth="1"/>
    <col min="6474" max="6474" width="9.6640625" style="4" customWidth="1"/>
    <col min="6475" max="6476" width="6.6640625" style="4" customWidth="1"/>
    <col min="6477" max="6486" width="6.33203125" style="4" customWidth="1"/>
    <col min="6487" max="6487" width="9.109375" style="4" customWidth="1"/>
    <col min="6488" max="6493" width="7.6640625" style="4" customWidth="1"/>
    <col min="6494" max="6494" width="1.88671875" style="4" customWidth="1"/>
    <col min="6495" max="6727" width="8.88671875" style="4"/>
    <col min="6728" max="6728" width="7.5546875" style="4" customWidth="1"/>
    <col min="6729" max="6729" width="7.33203125" style="4" customWidth="1"/>
    <col min="6730" max="6730" width="9.6640625" style="4" customWidth="1"/>
    <col min="6731" max="6732" width="6.6640625" style="4" customWidth="1"/>
    <col min="6733" max="6742" width="6.33203125" style="4" customWidth="1"/>
    <col min="6743" max="6743" width="9.109375" style="4" customWidth="1"/>
    <col min="6744" max="6749" width="7.6640625" style="4" customWidth="1"/>
    <col min="6750" max="6750" width="1.88671875" style="4" customWidth="1"/>
    <col min="6751" max="6983" width="8.88671875" style="4"/>
    <col min="6984" max="6984" width="7.5546875" style="4" customWidth="1"/>
    <col min="6985" max="6985" width="7.33203125" style="4" customWidth="1"/>
    <col min="6986" max="6986" width="9.6640625" style="4" customWidth="1"/>
    <col min="6987" max="6988" width="6.6640625" style="4" customWidth="1"/>
    <col min="6989" max="6998" width="6.33203125" style="4" customWidth="1"/>
    <col min="6999" max="6999" width="9.109375" style="4" customWidth="1"/>
    <col min="7000" max="7005" width="7.6640625" style="4" customWidth="1"/>
    <col min="7006" max="7006" width="1.88671875" style="4" customWidth="1"/>
    <col min="7007" max="7239" width="8.88671875" style="4"/>
    <col min="7240" max="7240" width="7.5546875" style="4" customWidth="1"/>
    <col min="7241" max="7241" width="7.33203125" style="4" customWidth="1"/>
    <col min="7242" max="7242" width="9.6640625" style="4" customWidth="1"/>
    <col min="7243" max="7244" width="6.6640625" style="4" customWidth="1"/>
    <col min="7245" max="7254" width="6.33203125" style="4" customWidth="1"/>
    <col min="7255" max="7255" width="9.109375" style="4" customWidth="1"/>
    <col min="7256" max="7261" width="7.6640625" style="4" customWidth="1"/>
    <col min="7262" max="7262" width="1.88671875" style="4" customWidth="1"/>
    <col min="7263" max="7495" width="8.88671875" style="4"/>
    <col min="7496" max="7496" width="7.5546875" style="4" customWidth="1"/>
    <col min="7497" max="7497" width="7.33203125" style="4" customWidth="1"/>
    <col min="7498" max="7498" width="9.6640625" style="4" customWidth="1"/>
    <col min="7499" max="7500" width="6.6640625" style="4" customWidth="1"/>
    <col min="7501" max="7510" width="6.33203125" style="4" customWidth="1"/>
    <col min="7511" max="7511" width="9.109375" style="4" customWidth="1"/>
    <col min="7512" max="7517" width="7.6640625" style="4" customWidth="1"/>
    <col min="7518" max="7518" width="1.88671875" style="4" customWidth="1"/>
    <col min="7519" max="7751" width="8.88671875" style="4"/>
    <col min="7752" max="7752" width="7.5546875" style="4" customWidth="1"/>
    <col min="7753" max="7753" width="7.33203125" style="4" customWidth="1"/>
    <col min="7754" max="7754" width="9.6640625" style="4" customWidth="1"/>
    <col min="7755" max="7756" width="6.6640625" style="4" customWidth="1"/>
    <col min="7757" max="7766" width="6.33203125" style="4" customWidth="1"/>
    <col min="7767" max="7767" width="9.109375" style="4" customWidth="1"/>
    <col min="7768" max="7773" width="7.6640625" style="4" customWidth="1"/>
    <col min="7774" max="7774" width="1.88671875" style="4" customWidth="1"/>
    <col min="7775" max="8007" width="8.88671875" style="4"/>
    <col min="8008" max="8008" width="7.5546875" style="4" customWidth="1"/>
    <col min="8009" max="8009" width="7.33203125" style="4" customWidth="1"/>
    <col min="8010" max="8010" width="9.6640625" style="4" customWidth="1"/>
    <col min="8011" max="8012" width="6.6640625" style="4" customWidth="1"/>
    <col min="8013" max="8022" width="6.33203125" style="4" customWidth="1"/>
    <col min="8023" max="8023" width="9.109375" style="4" customWidth="1"/>
    <col min="8024" max="8029" width="7.6640625" style="4" customWidth="1"/>
    <col min="8030" max="8030" width="1.88671875" style="4" customWidth="1"/>
    <col min="8031" max="8263" width="8.88671875" style="4"/>
    <col min="8264" max="8264" width="7.5546875" style="4" customWidth="1"/>
    <col min="8265" max="8265" width="7.33203125" style="4" customWidth="1"/>
    <col min="8266" max="8266" width="9.6640625" style="4" customWidth="1"/>
    <col min="8267" max="8268" width="6.6640625" style="4" customWidth="1"/>
    <col min="8269" max="8278" width="6.33203125" style="4" customWidth="1"/>
    <col min="8279" max="8279" width="9.109375" style="4" customWidth="1"/>
    <col min="8280" max="8285" width="7.6640625" style="4" customWidth="1"/>
    <col min="8286" max="8286" width="1.88671875" style="4" customWidth="1"/>
    <col min="8287" max="8519" width="8.88671875" style="4"/>
    <col min="8520" max="8520" width="7.5546875" style="4" customWidth="1"/>
    <col min="8521" max="8521" width="7.33203125" style="4" customWidth="1"/>
    <col min="8522" max="8522" width="9.6640625" style="4" customWidth="1"/>
    <col min="8523" max="8524" width="6.6640625" style="4" customWidth="1"/>
    <col min="8525" max="8534" width="6.33203125" style="4" customWidth="1"/>
    <col min="8535" max="8535" width="9.109375" style="4" customWidth="1"/>
    <col min="8536" max="8541" width="7.6640625" style="4" customWidth="1"/>
    <col min="8542" max="8542" width="1.88671875" style="4" customWidth="1"/>
    <col min="8543" max="8775" width="8.88671875" style="4"/>
    <col min="8776" max="8776" width="7.5546875" style="4" customWidth="1"/>
    <col min="8777" max="8777" width="7.33203125" style="4" customWidth="1"/>
    <col min="8778" max="8778" width="9.6640625" style="4" customWidth="1"/>
    <col min="8779" max="8780" width="6.6640625" style="4" customWidth="1"/>
    <col min="8781" max="8790" width="6.33203125" style="4" customWidth="1"/>
    <col min="8791" max="8791" width="9.109375" style="4" customWidth="1"/>
    <col min="8792" max="8797" width="7.6640625" style="4" customWidth="1"/>
    <col min="8798" max="8798" width="1.88671875" style="4" customWidth="1"/>
    <col min="8799" max="9031" width="8.88671875" style="4"/>
    <col min="9032" max="9032" width="7.5546875" style="4" customWidth="1"/>
    <col min="9033" max="9033" width="7.33203125" style="4" customWidth="1"/>
    <col min="9034" max="9034" width="9.6640625" style="4" customWidth="1"/>
    <col min="9035" max="9036" width="6.6640625" style="4" customWidth="1"/>
    <col min="9037" max="9046" width="6.33203125" style="4" customWidth="1"/>
    <col min="9047" max="9047" width="9.109375" style="4" customWidth="1"/>
    <col min="9048" max="9053" width="7.6640625" style="4" customWidth="1"/>
    <col min="9054" max="9054" width="1.88671875" style="4" customWidth="1"/>
    <col min="9055" max="9287" width="8.88671875" style="4"/>
    <col min="9288" max="9288" width="7.5546875" style="4" customWidth="1"/>
    <col min="9289" max="9289" width="7.33203125" style="4" customWidth="1"/>
    <col min="9290" max="9290" width="9.6640625" style="4" customWidth="1"/>
    <col min="9291" max="9292" width="6.6640625" style="4" customWidth="1"/>
    <col min="9293" max="9302" width="6.33203125" style="4" customWidth="1"/>
    <col min="9303" max="9303" width="9.109375" style="4" customWidth="1"/>
    <col min="9304" max="9309" width="7.6640625" style="4" customWidth="1"/>
    <col min="9310" max="9310" width="1.88671875" style="4" customWidth="1"/>
    <col min="9311" max="9543" width="8.88671875" style="4"/>
    <col min="9544" max="9544" width="7.5546875" style="4" customWidth="1"/>
    <col min="9545" max="9545" width="7.33203125" style="4" customWidth="1"/>
    <col min="9546" max="9546" width="9.6640625" style="4" customWidth="1"/>
    <col min="9547" max="9548" width="6.6640625" style="4" customWidth="1"/>
    <col min="9549" max="9558" width="6.33203125" style="4" customWidth="1"/>
    <col min="9559" max="9559" width="9.109375" style="4" customWidth="1"/>
    <col min="9560" max="9565" width="7.6640625" style="4" customWidth="1"/>
    <col min="9566" max="9566" width="1.88671875" style="4" customWidth="1"/>
    <col min="9567" max="9799" width="8.88671875" style="4"/>
    <col min="9800" max="9800" width="7.5546875" style="4" customWidth="1"/>
    <col min="9801" max="9801" width="7.33203125" style="4" customWidth="1"/>
    <col min="9802" max="9802" width="9.6640625" style="4" customWidth="1"/>
    <col min="9803" max="9804" width="6.6640625" style="4" customWidth="1"/>
    <col min="9805" max="9814" width="6.33203125" style="4" customWidth="1"/>
    <col min="9815" max="9815" width="9.109375" style="4" customWidth="1"/>
    <col min="9816" max="9821" width="7.6640625" style="4" customWidth="1"/>
    <col min="9822" max="9822" width="1.88671875" style="4" customWidth="1"/>
    <col min="9823" max="10055" width="8.88671875" style="4"/>
    <col min="10056" max="10056" width="7.5546875" style="4" customWidth="1"/>
    <col min="10057" max="10057" width="7.33203125" style="4" customWidth="1"/>
    <col min="10058" max="10058" width="9.6640625" style="4" customWidth="1"/>
    <col min="10059" max="10060" width="6.6640625" style="4" customWidth="1"/>
    <col min="10061" max="10070" width="6.33203125" style="4" customWidth="1"/>
    <col min="10071" max="10071" width="9.109375" style="4" customWidth="1"/>
    <col min="10072" max="10077" width="7.6640625" style="4" customWidth="1"/>
    <col min="10078" max="10078" width="1.88671875" style="4" customWidth="1"/>
    <col min="10079" max="10311" width="8.88671875" style="4"/>
    <col min="10312" max="10312" width="7.5546875" style="4" customWidth="1"/>
    <col min="10313" max="10313" width="7.33203125" style="4" customWidth="1"/>
    <col min="10314" max="10314" width="9.6640625" style="4" customWidth="1"/>
    <col min="10315" max="10316" width="6.6640625" style="4" customWidth="1"/>
    <col min="10317" max="10326" width="6.33203125" style="4" customWidth="1"/>
    <col min="10327" max="10327" width="9.109375" style="4" customWidth="1"/>
    <col min="10328" max="10333" width="7.6640625" style="4" customWidth="1"/>
    <col min="10334" max="10334" width="1.88671875" style="4" customWidth="1"/>
    <col min="10335" max="10567" width="8.88671875" style="4"/>
    <col min="10568" max="10568" width="7.5546875" style="4" customWidth="1"/>
    <col min="10569" max="10569" width="7.33203125" style="4" customWidth="1"/>
    <col min="10570" max="10570" width="9.6640625" style="4" customWidth="1"/>
    <col min="10571" max="10572" width="6.6640625" style="4" customWidth="1"/>
    <col min="10573" max="10582" width="6.33203125" style="4" customWidth="1"/>
    <col min="10583" max="10583" width="9.109375" style="4" customWidth="1"/>
    <col min="10584" max="10589" width="7.6640625" style="4" customWidth="1"/>
    <col min="10590" max="10590" width="1.88671875" style="4" customWidth="1"/>
    <col min="10591" max="10823" width="8.88671875" style="4"/>
    <col min="10824" max="10824" width="7.5546875" style="4" customWidth="1"/>
    <col min="10825" max="10825" width="7.33203125" style="4" customWidth="1"/>
    <col min="10826" max="10826" width="9.6640625" style="4" customWidth="1"/>
    <col min="10827" max="10828" width="6.6640625" style="4" customWidth="1"/>
    <col min="10829" max="10838" width="6.33203125" style="4" customWidth="1"/>
    <col min="10839" max="10839" width="9.109375" style="4" customWidth="1"/>
    <col min="10840" max="10845" width="7.6640625" style="4" customWidth="1"/>
    <col min="10846" max="10846" width="1.88671875" style="4" customWidth="1"/>
    <col min="10847" max="11079" width="8.88671875" style="4"/>
    <col min="11080" max="11080" width="7.5546875" style="4" customWidth="1"/>
    <col min="11081" max="11081" width="7.33203125" style="4" customWidth="1"/>
    <col min="11082" max="11082" width="9.6640625" style="4" customWidth="1"/>
    <col min="11083" max="11084" width="6.6640625" style="4" customWidth="1"/>
    <col min="11085" max="11094" width="6.33203125" style="4" customWidth="1"/>
    <col min="11095" max="11095" width="9.109375" style="4" customWidth="1"/>
    <col min="11096" max="11101" width="7.6640625" style="4" customWidth="1"/>
    <col min="11102" max="11102" width="1.88671875" style="4" customWidth="1"/>
    <col min="11103" max="11335" width="8.88671875" style="4"/>
    <col min="11336" max="11336" width="7.5546875" style="4" customWidth="1"/>
    <col min="11337" max="11337" width="7.33203125" style="4" customWidth="1"/>
    <col min="11338" max="11338" width="9.6640625" style="4" customWidth="1"/>
    <col min="11339" max="11340" width="6.6640625" style="4" customWidth="1"/>
    <col min="11341" max="11350" width="6.33203125" style="4" customWidth="1"/>
    <col min="11351" max="11351" width="9.109375" style="4" customWidth="1"/>
    <col min="11352" max="11357" width="7.6640625" style="4" customWidth="1"/>
    <col min="11358" max="11358" width="1.88671875" style="4" customWidth="1"/>
    <col min="11359" max="11591" width="8.88671875" style="4"/>
    <col min="11592" max="11592" width="7.5546875" style="4" customWidth="1"/>
    <col min="11593" max="11593" width="7.33203125" style="4" customWidth="1"/>
    <col min="11594" max="11594" width="9.6640625" style="4" customWidth="1"/>
    <col min="11595" max="11596" width="6.6640625" style="4" customWidth="1"/>
    <col min="11597" max="11606" width="6.33203125" style="4" customWidth="1"/>
    <col min="11607" max="11607" width="9.109375" style="4" customWidth="1"/>
    <col min="11608" max="11613" width="7.6640625" style="4" customWidth="1"/>
    <col min="11614" max="11614" width="1.88671875" style="4" customWidth="1"/>
    <col min="11615" max="11847" width="8.88671875" style="4"/>
    <col min="11848" max="11848" width="7.5546875" style="4" customWidth="1"/>
    <col min="11849" max="11849" width="7.33203125" style="4" customWidth="1"/>
    <col min="11850" max="11850" width="9.6640625" style="4" customWidth="1"/>
    <col min="11851" max="11852" width="6.6640625" style="4" customWidth="1"/>
    <col min="11853" max="11862" width="6.33203125" style="4" customWidth="1"/>
    <col min="11863" max="11863" width="9.109375" style="4" customWidth="1"/>
    <col min="11864" max="11869" width="7.6640625" style="4" customWidth="1"/>
    <col min="11870" max="11870" width="1.88671875" style="4" customWidth="1"/>
    <col min="11871" max="12103" width="8.88671875" style="4"/>
    <col min="12104" max="12104" width="7.5546875" style="4" customWidth="1"/>
    <col min="12105" max="12105" width="7.33203125" style="4" customWidth="1"/>
    <col min="12106" max="12106" width="9.6640625" style="4" customWidth="1"/>
    <col min="12107" max="12108" width="6.6640625" style="4" customWidth="1"/>
    <col min="12109" max="12118" width="6.33203125" style="4" customWidth="1"/>
    <col min="12119" max="12119" width="9.109375" style="4" customWidth="1"/>
    <col min="12120" max="12125" width="7.6640625" style="4" customWidth="1"/>
    <col min="12126" max="12126" width="1.88671875" style="4" customWidth="1"/>
    <col min="12127" max="12359" width="8.88671875" style="4"/>
    <col min="12360" max="12360" width="7.5546875" style="4" customWidth="1"/>
    <col min="12361" max="12361" width="7.33203125" style="4" customWidth="1"/>
    <col min="12362" max="12362" width="9.6640625" style="4" customWidth="1"/>
    <col min="12363" max="12364" width="6.6640625" style="4" customWidth="1"/>
    <col min="12365" max="12374" width="6.33203125" style="4" customWidth="1"/>
    <col min="12375" max="12375" width="9.109375" style="4" customWidth="1"/>
    <col min="12376" max="12381" width="7.6640625" style="4" customWidth="1"/>
    <col min="12382" max="12382" width="1.88671875" style="4" customWidth="1"/>
    <col min="12383" max="12615" width="8.88671875" style="4"/>
    <col min="12616" max="12616" width="7.5546875" style="4" customWidth="1"/>
    <col min="12617" max="12617" width="7.33203125" style="4" customWidth="1"/>
    <col min="12618" max="12618" width="9.6640625" style="4" customWidth="1"/>
    <col min="12619" max="12620" width="6.6640625" style="4" customWidth="1"/>
    <col min="12621" max="12630" width="6.33203125" style="4" customWidth="1"/>
    <col min="12631" max="12631" width="9.109375" style="4" customWidth="1"/>
    <col min="12632" max="12637" width="7.6640625" style="4" customWidth="1"/>
    <col min="12638" max="12638" width="1.88671875" style="4" customWidth="1"/>
    <col min="12639" max="12871" width="8.88671875" style="4"/>
    <col min="12872" max="12872" width="7.5546875" style="4" customWidth="1"/>
    <col min="12873" max="12873" width="7.33203125" style="4" customWidth="1"/>
    <col min="12874" max="12874" width="9.6640625" style="4" customWidth="1"/>
    <col min="12875" max="12876" width="6.6640625" style="4" customWidth="1"/>
    <col min="12877" max="12886" width="6.33203125" style="4" customWidth="1"/>
    <col min="12887" max="12887" width="9.109375" style="4" customWidth="1"/>
    <col min="12888" max="12893" width="7.6640625" style="4" customWidth="1"/>
    <col min="12894" max="12894" width="1.88671875" style="4" customWidth="1"/>
    <col min="12895" max="13127" width="8.88671875" style="4"/>
    <col min="13128" max="13128" width="7.5546875" style="4" customWidth="1"/>
    <col min="13129" max="13129" width="7.33203125" style="4" customWidth="1"/>
    <col min="13130" max="13130" width="9.6640625" style="4" customWidth="1"/>
    <col min="13131" max="13132" width="6.6640625" style="4" customWidth="1"/>
    <col min="13133" max="13142" width="6.33203125" style="4" customWidth="1"/>
    <col min="13143" max="13143" width="9.109375" style="4" customWidth="1"/>
    <col min="13144" max="13149" width="7.6640625" style="4" customWidth="1"/>
    <col min="13150" max="13150" width="1.88671875" style="4" customWidth="1"/>
    <col min="13151" max="13383" width="8.88671875" style="4"/>
    <col min="13384" max="13384" width="7.5546875" style="4" customWidth="1"/>
    <col min="13385" max="13385" width="7.33203125" style="4" customWidth="1"/>
    <col min="13386" max="13386" width="9.6640625" style="4" customWidth="1"/>
    <col min="13387" max="13388" width="6.6640625" style="4" customWidth="1"/>
    <col min="13389" max="13398" width="6.33203125" style="4" customWidth="1"/>
    <col min="13399" max="13399" width="9.109375" style="4" customWidth="1"/>
    <col min="13400" max="13405" width="7.6640625" style="4" customWidth="1"/>
    <col min="13406" max="13406" width="1.88671875" style="4" customWidth="1"/>
    <col min="13407" max="13639" width="8.88671875" style="4"/>
    <col min="13640" max="13640" width="7.5546875" style="4" customWidth="1"/>
    <col min="13641" max="13641" width="7.33203125" style="4" customWidth="1"/>
    <col min="13642" max="13642" width="9.6640625" style="4" customWidth="1"/>
    <col min="13643" max="13644" width="6.6640625" style="4" customWidth="1"/>
    <col min="13645" max="13654" width="6.33203125" style="4" customWidth="1"/>
    <col min="13655" max="13655" width="9.109375" style="4" customWidth="1"/>
    <col min="13656" max="13661" width="7.6640625" style="4" customWidth="1"/>
    <col min="13662" max="13662" width="1.88671875" style="4" customWidth="1"/>
    <col min="13663" max="13895" width="8.88671875" style="4"/>
    <col min="13896" max="13896" width="7.5546875" style="4" customWidth="1"/>
    <col min="13897" max="13897" width="7.33203125" style="4" customWidth="1"/>
    <col min="13898" max="13898" width="9.6640625" style="4" customWidth="1"/>
    <col min="13899" max="13900" width="6.6640625" style="4" customWidth="1"/>
    <col min="13901" max="13910" width="6.33203125" style="4" customWidth="1"/>
    <col min="13911" max="13911" width="9.109375" style="4" customWidth="1"/>
    <col min="13912" max="13917" width="7.6640625" style="4" customWidth="1"/>
    <col min="13918" max="13918" width="1.88671875" style="4" customWidth="1"/>
    <col min="13919" max="14151" width="8.88671875" style="4"/>
    <col min="14152" max="14152" width="7.5546875" style="4" customWidth="1"/>
    <col min="14153" max="14153" width="7.33203125" style="4" customWidth="1"/>
    <col min="14154" max="14154" width="9.6640625" style="4" customWidth="1"/>
    <col min="14155" max="14156" width="6.6640625" style="4" customWidth="1"/>
    <col min="14157" max="14166" width="6.33203125" style="4" customWidth="1"/>
    <col min="14167" max="14167" width="9.109375" style="4" customWidth="1"/>
    <col min="14168" max="14173" width="7.6640625" style="4" customWidth="1"/>
    <col min="14174" max="14174" width="1.88671875" style="4" customWidth="1"/>
    <col min="14175" max="14407" width="8.88671875" style="4"/>
    <col min="14408" max="14408" width="7.5546875" style="4" customWidth="1"/>
    <col min="14409" max="14409" width="7.33203125" style="4" customWidth="1"/>
    <col min="14410" max="14410" width="9.6640625" style="4" customWidth="1"/>
    <col min="14411" max="14412" width="6.6640625" style="4" customWidth="1"/>
    <col min="14413" max="14422" width="6.33203125" style="4" customWidth="1"/>
    <col min="14423" max="14423" width="9.109375" style="4" customWidth="1"/>
    <col min="14424" max="14429" width="7.6640625" style="4" customWidth="1"/>
    <col min="14430" max="14430" width="1.88671875" style="4" customWidth="1"/>
    <col min="14431" max="14663" width="8.88671875" style="4"/>
    <col min="14664" max="14664" width="7.5546875" style="4" customWidth="1"/>
    <col min="14665" max="14665" width="7.33203125" style="4" customWidth="1"/>
    <col min="14666" max="14666" width="9.6640625" style="4" customWidth="1"/>
    <col min="14667" max="14668" width="6.6640625" style="4" customWidth="1"/>
    <col min="14669" max="14678" width="6.33203125" style="4" customWidth="1"/>
    <col min="14679" max="14679" width="9.109375" style="4" customWidth="1"/>
    <col min="14680" max="14685" width="7.6640625" style="4" customWidth="1"/>
    <col min="14686" max="14686" width="1.88671875" style="4" customWidth="1"/>
    <col min="14687" max="14919" width="8.88671875" style="4"/>
    <col min="14920" max="14920" width="7.5546875" style="4" customWidth="1"/>
    <col min="14921" max="14921" width="7.33203125" style="4" customWidth="1"/>
    <col min="14922" max="14922" width="9.6640625" style="4" customWidth="1"/>
    <col min="14923" max="14924" width="6.6640625" style="4" customWidth="1"/>
    <col min="14925" max="14934" width="6.33203125" style="4" customWidth="1"/>
    <col min="14935" max="14935" width="9.109375" style="4" customWidth="1"/>
    <col min="14936" max="14941" width="7.6640625" style="4" customWidth="1"/>
    <col min="14942" max="14942" width="1.88671875" style="4" customWidth="1"/>
    <col min="14943" max="15175" width="8.88671875" style="4"/>
    <col min="15176" max="15176" width="7.5546875" style="4" customWidth="1"/>
    <col min="15177" max="15177" width="7.33203125" style="4" customWidth="1"/>
    <col min="15178" max="15178" width="9.6640625" style="4" customWidth="1"/>
    <col min="15179" max="15180" width="6.6640625" style="4" customWidth="1"/>
    <col min="15181" max="15190" width="6.33203125" style="4" customWidth="1"/>
    <col min="15191" max="15191" width="9.109375" style="4" customWidth="1"/>
    <col min="15192" max="15197" width="7.6640625" style="4" customWidth="1"/>
    <col min="15198" max="15198" width="1.88671875" style="4" customWidth="1"/>
    <col min="15199" max="15431" width="8.88671875" style="4"/>
    <col min="15432" max="15432" width="7.5546875" style="4" customWidth="1"/>
    <col min="15433" max="15433" width="7.33203125" style="4" customWidth="1"/>
    <col min="15434" max="15434" width="9.6640625" style="4" customWidth="1"/>
    <col min="15435" max="15436" width="6.6640625" style="4" customWidth="1"/>
    <col min="15437" max="15446" width="6.33203125" style="4" customWidth="1"/>
    <col min="15447" max="15447" width="9.109375" style="4" customWidth="1"/>
    <col min="15448" max="15453" width="7.6640625" style="4" customWidth="1"/>
    <col min="15454" max="15454" width="1.88671875" style="4" customWidth="1"/>
    <col min="15455" max="15687" width="8.88671875" style="4"/>
    <col min="15688" max="15688" width="7.5546875" style="4" customWidth="1"/>
    <col min="15689" max="15689" width="7.33203125" style="4" customWidth="1"/>
    <col min="15690" max="15690" width="9.6640625" style="4" customWidth="1"/>
    <col min="15691" max="15692" width="6.6640625" style="4" customWidth="1"/>
    <col min="15693" max="15702" width="6.33203125" style="4" customWidth="1"/>
    <col min="15703" max="15703" width="9.109375" style="4" customWidth="1"/>
    <col min="15704" max="15709" width="7.6640625" style="4" customWidth="1"/>
    <col min="15710" max="15710" width="1.88671875" style="4" customWidth="1"/>
    <col min="15711" max="15943" width="8.88671875" style="4"/>
    <col min="15944" max="15944" width="7.5546875" style="4" customWidth="1"/>
    <col min="15945" max="15945" width="7.33203125" style="4" customWidth="1"/>
    <col min="15946" max="15946" width="9.6640625" style="4" customWidth="1"/>
    <col min="15947" max="15948" width="6.6640625" style="4" customWidth="1"/>
    <col min="15949" max="15958" width="6.33203125" style="4" customWidth="1"/>
    <col min="15959" max="15959" width="9.109375" style="4" customWidth="1"/>
    <col min="15960" max="15965" width="7.6640625" style="4" customWidth="1"/>
    <col min="15966" max="15966" width="1.88671875" style="4" customWidth="1"/>
    <col min="15967" max="16199" width="8.88671875" style="4"/>
    <col min="16200" max="16200" width="7.5546875" style="4" customWidth="1"/>
    <col min="16201" max="16201" width="7.33203125" style="4" customWidth="1"/>
    <col min="16202" max="16202" width="9.6640625" style="4" customWidth="1"/>
    <col min="16203" max="16204" width="6.6640625" style="4" customWidth="1"/>
    <col min="16205" max="16214" width="6.33203125" style="4" customWidth="1"/>
    <col min="16215" max="16215" width="9.109375" style="4" customWidth="1"/>
    <col min="16216" max="16221" width="7.6640625" style="4" customWidth="1"/>
    <col min="16222" max="16222" width="1.88671875" style="4" customWidth="1"/>
    <col min="16223" max="16384" width="8.88671875" style="4"/>
  </cols>
  <sheetData>
    <row r="1" spans="2:94" ht="8.25" customHeight="1"/>
    <row r="2" spans="2:94" ht="15" customHeight="1">
      <c r="C2" s="5" t="s">
        <v>0</v>
      </c>
      <c r="D2" s="5"/>
    </row>
    <row r="3" spans="2:94" ht="15" customHeight="1">
      <c r="C3" s="5" t="s">
        <v>1</v>
      </c>
      <c r="D3" s="5"/>
    </row>
    <row r="4" spans="2:94" ht="9" customHeight="1">
      <c r="D4" s="6"/>
    </row>
    <row r="5" spans="2:94" ht="6" customHeight="1"/>
    <row r="6" spans="2:94" ht="16.95" customHeight="1">
      <c r="B6" s="7" t="s">
        <v>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8"/>
    </row>
    <row r="7" spans="2:94" ht="6.75" customHeight="1" thickBot="1"/>
    <row r="8" spans="2:94" s="14" customFormat="1" ht="4.5" customHeight="1">
      <c r="B8" s="9"/>
      <c r="C8" s="10"/>
      <c r="D8" s="11"/>
      <c r="E8" s="10"/>
      <c r="F8" s="10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3"/>
    </row>
    <row r="9" spans="2:94" s="14" customFormat="1" ht="15" customHeight="1">
      <c r="B9" s="15" t="s">
        <v>3</v>
      </c>
      <c r="C9" s="16"/>
      <c r="D9" s="17" t="s">
        <v>4</v>
      </c>
      <c r="E9" s="16"/>
      <c r="F9" s="18"/>
      <c r="G9" s="19"/>
      <c r="H9" s="20"/>
      <c r="I9" s="21"/>
      <c r="J9" s="21"/>
      <c r="K9" s="19"/>
      <c r="L9" s="20"/>
      <c r="M9" s="21"/>
      <c r="N9" s="21"/>
      <c r="O9" s="19"/>
      <c r="P9" s="20"/>
      <c r="Q9" s="21"/>
      <c r="R9" s="21"/>
      <c r="S9" s="19"/>
      <c r="T9" s="20"/>
      <c r="U9" s="21"/>
      <c r="V9" s="21"/>
      <c r="W9" s="19"/>
      <c r="X9" s="20"/>
      <c r="Y9" s="21"/>
      <c r="Z9" s="21"/>
      <c r="AA9" s="19"/>
      <c r="AB9" s="20"/>
      <c r="AC9" s="21"/>
      <c r="AD9" s="21"/>
      <c r="AE9" s="19"/>
      <c r="AF9" s="20"/>
      <c r="AG9" s="21"/>
      <c r="AH9" s="21"/>
      <c r="AI9" s="19"/>
      <c r="AJ9" s="20"/>
      <c r="AK9" s="21"/>
      <c r="AL9" s="21"/>
      <c r="AM9" s="19"/>
      <c r="AN9" s="20"/>
      <c r="AO9" s="21"/>
      <c r="AP9" s="21"/>
      <c r="AQ9" s="21"/>
      <c r="AR9" s="19"/>
      <c r="AS9" s="20"/>
      <c r="AT9" s="21"/>
      <c r="AU9" s="21"/>
      <c r="AV9" s="19"/>
      <c r="AW9" s="20"/>
      <c r="AX9" s="21"/>
      <c r="AY9" s="21"/>
      <c r="AZ9" s="19"/>
      <c r="BA9" s="20"/>
      <c r="BB9" s="21"/>
      <c r="BC9" s="21"/>
      <c r="BD9" s="19"/>
      <c r="BE9" s="20"/>
      <c r="BF9" s="21"/>
      <c r="BG9" s="21"/>
      <c r="BH9" s="19"/>
      <c r="BI9" s="20"/>
      <c r="BJ9" s="21"/>
      <c r="BK9" s="21"/>
      <c r="BL9" s="19"/>
      <c r="BM9" s="20"/>
      <c r="BN9" s="21"/>
      <c r="BO9" s="21"/>
      <c r="BP9" s="21"/>
      <c r="BQ9" s="19"/>
      <c r="BR9" s="20"/>
      <c r="BS9" s="21"/>
      <c r="BT9" s="21"/>
      <c r="BU9" s="19"/>
      <c r="BV9" s="20"/>
      <c r="BW9" s="21"/>
      <c r="BX9" s="21"/>
      <c r="BY9" s="19"/>
      <c r="BZ9" s="20"/>
      <c r="CA9" s="21"/>
      <c r="CB9" s="21"/>
      <c r="CC9" s="19"/>
      <c r="CD9" s="20"/>
      <c r="CE9" s="21"/>
      <c r="CF9" s="21"/>
      <c r="CG9" s="19"/>
      <c r="CH9" s="20"/>
      <c r="CI9" s="21"/>
      <c r="CJ9" s="21"/>
      <c r="CK9" s="19"/>
      <c r="CL9" s="20"/>
      <c r="CM9" s="21"/>
      <c r="CN9" s="21"/>
      <c r="CO9" s="22"/>
    </row>
    <row r="10" spans="2:94" s="14" customFormat="1" ht="6.9" customHeight="1" thickBot="1">
      <c r="B10" s="15"/>
      <c r="C10" s="16"/>
      <c r="D10" s="17"/>
      <c r="E10" s="16"/>
      <c r="F10" s="23"/>
      <c r="G10" s="24"/>
      <c r="H10" s="25"/>
      <c r="I10" s="25"/>
      <c r="J10" s="25"/>
      <c r="K10" s="24"/>
      <c r="L10" s="25"/>
      <c r="M10" s="25"/>
      <c r="N10" s="25"/>
      <c r="O10" s="24"/>
      <c r="P10" s="25"/>
      <c r="Q10" s="25"/>
      <c r="R10" s="25"/>
      <c r="S10" s="24"/>
      <c r="T10" s="25"/>
      <c r="U10" s="25"/>
      <c r="V10" s="25"/>
      <c r="W10" s="24"/>
      <c r="X10" s="25"/>
      <c r="Y10" s="25"/>
      <c r="Z10" s="25"/>
      <c r="AA10" s="24"/>
      <c r="AB10" s="25"/>
      <c r="AC10" s="25"/>
      <c r="AD10" s="25"/>
      <c r="AE10" s="24"/>
      <c r="AF10" s="25"/>
      <c r="AG10" s="25"/>
      <c r="AH10" s="25"/>
      <c r="AI10" s="24"/>
      <c r="AJ10" s="25"/>
      <c r="AK10" s="25"/>
      <c r="AL10" s="25"/>
      <c r="AM10" s="24"/>
      <c r="AN10" s="25"/>
      <c r="AO10" s="25"/>
      <c r="AP10" s="25"/>
      <c r="AQ10" s="25"/>
      <c r="AR10" s="24"/>
      <c r="AS10" s="25"/>
      <c r="AT10" s="25"/>
      <c r="AU10" s="25"/>
      <c r="AV10" s="24"/>
      <c r="AW10" s="25"/>
      <c r="AX10" s="25"/>
      <c r="AY10" s="25"/>
      <c r="AZ10" s="24"/>
      <c r="BA10" s="25"/>
      <c r="BB10" s="25"/>
      <c r="BC10" s="25"/>
      <c r="BD10" s="24"/>
      <c r="BE10" s="25"/>
      <c r="BF10" s="25"/>
      <c r="BG10" s="25"/>
      <c r="BH10" s="24"/>
      <c r="BI10" s="25"/>
      <c r="BJ10" s="25"/>
      <c r="BK10" s="25"/>
      <c r="BL10" s="24"/>
      <c r="BM10" s="25"/>
      <c r="BN10" s="25"/>
      <c r="BO10" s="25"/>
      <c r="BP10" s="25"/>
      <c r="BQ10" s="24"/>
      <c r="BR10" s="25"/>
      <c r="BS10" s="25"/>
      <c r="BT10" s="25"/>
      <c r="BU10" s="24"/>
      <c r="BV10" s="25"/>
      <c r="BW10" s="25"/>
      <c r="BX10" s="25"/>
      <c r="BY10" s="24"/>
      <c r="BZ10" s="25"/>
      <c r="CA10" s="25"/>
      <c r="CB10" s="25"/>
      <c r="CC10" s="24"/>
      <c r="CD10" s="25"/>
      <c r="CE10" s="25"/>
      <c r="CF10" s="25"/>
      <c r="CG10" s="24"/>
      <c r="CH10" s="25"/>
      <c r="CI10" s="25"/>
      <c r="CJ10" s="25"/>
      <c r="CK10" s="24"/>
      <c r="CL10" s="25"/>
      <c r="CM10" s="25"/>
      <c r="CN10" s="25"/>
      <c r="CO10" s="26"/>
    </row>
    <row r="11" spans="2:94" s="14" customFormat="1" ht="6.9" customHeight="1">
      <c r="B11" s="9"/>
      <c r="C11" s="10"/>
      <c r="D11" s="11"/>
      <c r="E11" s="10"/>
      <c r="F11" s="27"/>
      <c r="G11" s="28"/>
      <c r="H11" s="12"/>
      <c r="I11" s="12"/>
      <c r="J11" s="12"/>
      <c r="K11" s="28"/>
      <c r="L11" s="12"/>
      <c r="M11" s="12"/>
      <c r="N11" s="12"/>
      <c r="O11" s="28"/>
      <c r="P11" s="12"/>
      <c r="Q11" s="12"/>
      <c r="R11" s="12"/>
      <c r="S11" s="28"/>
      <c r="T11" s="12"/>
      <c r="U11" s="12"/>
      <c r="V11" s="12"/>
      <c r="W11" s="28"/>
      <c r="X11" s="12"/>
      <c r="Y11" s="12"/>
      <c r="Z11" s="12"/>
      <c r="AA11" s="28"/>
      <c r="AB11" s="12"/>
      <c r="AC11" s="12"/>
      <c r="AD11" s="12"/>
      <c r="AE11" s="28"/>
      <c r="AF11" s="12"/>
      <c r="AG11" s="12"/>
      <c r="AH11" s="12"/>
      <c r="AI11" s="28"/>
      <c r="AJ11" s="12"/>
      <c r="AK11" s="12"/>
      <c r="AL11" s="12"/>
      <c r="AM11" s="28"/>
      <c r="AN11" s="12"/>
      <c r="AO11" s="12"/>
      <c r="AP11" s="12"/>
      <c r="AQ11" s="12"/>
      <c r="AR11" s="28"/>
      <c r="AS11" s="12"/>
      <c r="AT11" s="12"/>
      <c r="AU11" s="12"/>
      <c r="AV11" s="28"/>
      <c r="AW11" s="12"/>
      <c r="AX11" s="12"/>
      <c r="AY11" s="12"/>
      <c r="AZ11" s="28"/>
      <c r="BA11" s="12"/>
      <c r="BB11" s="12"/>
      <c r="BC11" s="12"/>
      <c r="BD11" s="28"/>
      <c r="BE11" s="12"/>
      <c r="BF11" s="12"/>
      <c r="BG11" s="12"/>
      <c r="BH11" s="28"/>
      <c r="BI11" s="12"/>
      <c r="BJ11" s="12"/>
      <c r="BK11" s="12"/>
      <c r="BL11" s="28"/>
      <c r="BM11" s="12"/>
      <c r="BN11" s="12"/>
      <c r="BO11" s="12"/>
      <c r="BP11" s="12"/>
      <c r="BQ11" s="28"/>
      <c r="BR11" s="12"/>
      <c r="BS11" s="12"/>
      <c r="BT11" s="12"/>
      <c r="BU11" s="28"/>
      <c r="BV11" s="12"/>
      <c r="BW11" s="12"/>
      <c r="BX11" s="12"/>
      <c r="BY11" s="28"/>
      <c r="BZ11" s="12"/>
      <c r="CA11" s="12"/>
      <c r="CB11" s="12"/>
      <c r="CC11" s="28"/>
      <c r="CD11" s="12"/>
      <c r="CE11" s="12"/>
      <c r="CF11" s="12"/>
      <c r="CG11" s="28"/>
      <c r="CH11" s="12"/>
      <c r="CI11" s="12"/>
      <c r="CJ11" s="12"/>
      <c r="CK11" s="28"/>
      <c r="CL11" s="12"/>
      <c r="CM11" s="12"/>
      <c r="CN11" s="12"/>
      <c r="CO11" s="13"/>
    </row>
    <row r="12" spans="2:94" s="14" customFormat="1" ht="15" customHeight="1">
      <c r="B12" s="15" t="s">
        <v>5</v>
      </c>
      <c r="C12" s="16"/>
      <c r="D12" s="17" t="s">
        <v>4</v>
      </c>
      <c r="E12" s="16"/>
      <c r="F12" s="18"/>
      <c r="G12" s="29"/>
      <c r="H12" s="30"/>
      <c r="I12" s="21"/>
      <c r="J12" s="21"/>
      <c r="K12" s="29"/>
      <c r="L12" s="30"/>
      <c r="M12" s="21"/>
      <c r="N12" s="21"/>
      <c r="O12" s="29"/>
      <c r="P12" s="30"/>
      <c r="Q12" s="21"/>
      <c r="R12" s="21"/>
      <c r="S12" s="29"/>
      <c r="T12" s="30"/>
      <c r="U12" s="21"/>
      <c r="V12" s="21"/>
      <c r="W12" s="29"/>
      <c r="X12" s="30"/>
      <c r="Y12" s="21"/>
      <c r="Z12" s="21"/>
      <c r="AA12" s="29"/>
      <c r="AB12" s="30"/>
      <c r="AC12" s="21"/>
      <c r="AD12" s="21"/>
      <c r="AE12" s="29"/>
      <c r="AF12" s="30"/>
      <c r="AG12" s="21"/>
      <c r="AH12" s="21"/>
      <c r="AI12" s="29"/>
      <c r="AJ12" s="30"/>
      <c r="AK12" s="21"/>
      <c r="AL12" s="21"/>
      <c r="AM12" s="29"/>
      <c r="AN12" s="30"/>
      <c r="AO12" s="21"/>
      <c r="AP12" s="21"/>
      <c r="AQ12" s="21"/>
      <c r="AR12" s="29"/>
      <c r="AS12" s="30"/>
      <c r="AT12" s="21"/>
      <c r="AU12" s="21"/>
      <c r="AV12" s="29"/>
      <c r="AW12" s="30"/>
      <c r="AX12" s="21"/>
      <c r="AY12" s="21"/>
      <c r="AZ12" s="29"/>
      <c r="BA12" s="30"/>
      <c r="BB12" s="21"/>
      <c r="BC12" s="21"/>
      <c r="BD12" s="29"/>
      <c r="BE12" s="30"/>
      <c r="BF12" s="21"/>
      <c r="BG12" s="21"/>
      <c r="BH12" s="29"/>
      <c r="BI12" s="30"/>
      <c r="BJ12" s="21"/>
      <c r="BK12" s="21"/>
      <c r="BL12" s="29"/>
      <c r="BM12" s="30"/>
      <c r="BN12" s="21"/>
      <c r="BO12" s="21"/>
      <c r="BP12" s="21"/>
      <c r="BQ12" s="29"/>
      <c r="BR12" s="30"/>
      <c r="BS12" s="21"/>
      <c r="BT12" s="21"/>
      <c r="BU12" s="29"/>
      <c r="BV12" s="30"/>
      <c r="BW12" s="21"/>
      <c r="BX12" s="21"/>
      <c r="BY12" s="29"/>
      <c r="BZ12" s="30"/>
      <c r="CA12" s="21"/>
      <c r="CB12" s="21"/>
      <c r="CC12" s="29"/>
      <c r="CD12" s="30"/>
      <c r="CE12" s="21"/>
      <c r="CF12" s="21"/>
      <c r="CG12" s="29"/>
      <c r="CH12" s="30"/>
      <c r="CI12" s="21"/>
      <c r="CJ12" s="21"/>
      <c r="CK12" s="29"/>
      <c r="CL12" s="30"/>
      <c r="CM12" s="21"/>
      <c r="CN12" s="21"/>
      <c r="CO12" s="22"/>
    </row>
    <row r="13" spans="2:94" s="14" customFormat="1" ht="6.9" customHeight="1" thickBot="1">
      <c r="B13" s="15"/>
      <c r="C13" s="16"/>
      <c r="D13" s="31"/>
      <c r="E13" s="32"/>
      <c r="F13" s="23"/>
      <c r="G13" s="24"/>
      <c r="H13" s="25"/>
      <c r="I13" s="25"/>
      <c r="J13" s="25"/>
      <c r="K13" s="24"/>
      <c r="L13" s="25"/>
      <c r="M13" s="25"/>
      <c r="N13" s="25"/>
      <c r="O13" s="24"/>
      <c r="P13" s="25"/>
      <c r="Q13" s="25"/>
      <c r="R13" s="25"/>
      <c r="S13" s="24"/>
      <c r="T13" s="25"/>
      <c r="U13" s="25"/>
      <c r="V13" s="25"/>
      <c r="W13" s="24"/>
      <c r="X13" s="25"/>
      <c r="Y13" s="25"/>
      <c r="Z13" s="25"/>
      <c r="AA13" s="24"/>
      <c r="AB13" s="25"/>
      <c r="AC13" s="25"/>
      <c r="AD13" s="25"/>
      <c r="AE13" s="24"/>
      <c r="AF13" s="25"/>
      <c r="AG13" s="25"/>
      <c r="AH13" s="25"/>
      <c r="AI13" s="24"/>
      <c r="AJ13" s="25"/>
      <c r="AK13" s="25"/>
      <c r="AL13" s="25"/>
      <c r="AM13" s="24"/>
      <c r="AN13" s="25"/>
      <c r="AO13" s="25"/>
      <c r="AP13" s="25"/>
      <c r="AQ13" s="25"/>
      <c r="AR13" s="24"/>
      <c r="AS13" s="25"/>
      <c r="AT13" s="25"/>
      <c r="AU13" s="25"/>
      <c r="AV13" s="24"/>
      <c r="AW13" s="25"/>
      <c r="AX13" s="25"/>
      <c r="AY13" s="25"/>
      <c r="AZ13" s="24"/>
      <c r="BA13" s="25"/>
      <c r="BB13" s="25"/>
      <c r="BC13" s="25"/>
      <c r="BD13" s="24"/>
      <c r="BE13" s="25"/>
      <c r="BF13" s="25"/>
      <c r="BG13" s="25"/>
      <c r="BH13" s="24"/>
      <c r="BI13" s="25"/>
      <c r="BJ13" s="25"/>
      <c r="BK13" s="25"/>
      <c r="BL13" s="24"/>
      <c r="BM13" s="25"/>
      <c r="BN13" s="25"/>
      <c r="BO13" s="25"/>
      <c r="BP13" s="25"/>
      <c r="BQ13" s="24"/>
      <c r="BR13" s="25"/>
      <c r="BS13" s="25"/>
      <c r="BT13" s="25"/>
      <c r="BU13" s="24"/>
      <c r="BV13" s="25"/>
      <c r="BW13" s="25"/>
      <c r="BX13" s="25"/>
      <c r="BY13" s="24"/>
      <c r="BZ13" s="25"/>
      <c r="CA13" s="25"/>
      <c r="CB13" s="25"/>
      <c r="CC13" s="24"/>
      <c r="CD13" s="25"/>
      <c r="CE13" s="25"/>
      <c r="CF13" s="25"/>
      <c r="CG13" s="24"/>
      <c r="CH13" s="25"/>
      <c r="CI13" s="25"/>
      <c r="CJ13" s="25"/>
      <c r="CK13" s="24"/>
      <c r="CL13" s="25"/>
      <c r="CM13" s="25"/>
      <c r="CN13" s="25"/>
      <c r="CO13" s="26"/>
    </row>
    <row r="14" spans="2:94" s="14" customFormat="1" ht="6.9" customHeight="1">
      <c r="B14" s="9"/>
      <c r="C14" s="10"/>
      <c r="D14" s="11"/>
      <c r="E14" s="10"/>
      <c r="F14" s="27"/>
      <c r="G14" s="28"/>
      <c r="H14" s="12"/>
      <c r="I14" s="12"/>
      <c r="J14" s="12"/>
      <c r="K14" s="28"/>
      <c r="L14" s="12"/>
      <c r="M14" s="12"/>
      <c r="N14" s="12"/>
      <c r="O14" s="28"/>
      <c r="P14" s="12"/>
      <c r="Q14" s="12"/>
      <c r="R14" s="12"/>
      <c r="S14" s="28"/>
      <c r="T14" s="12"/>
      <c r="U14" s="12"/>
      <c r="V14" s="12"/>
      <c r="W14" s="28"/>
      <c r="X14" s="12"/>
      <c r="Y14" s="12"/>
      <c r="Z14" s="12"/>
      <c r="AA14" s="28"/>
      <c r="AB14" s="12"/>
      <c r="AC14" s="12"/>
      <c r="AD14" s="12"/>
      <c r="AE14" s="28"/>
      <c r="AF14" s="12"/>
      <c r="AG14" s="12"/>
      <c r="AH14" s="12"/>
      <c r="AI14" s="28"/>
      <c r="AJ14" s="12"/>
      <c r="AK14" s="12"/>
      <c r="AL14" s="12"/>
      <c r="AM14" s="28"/>
      <c r="AN14" s="12"/>
      <c r="AO14" s="12"/>
      <c r="AP14" s="12"/>
      <c r="AQ14" s="12"/>
      <c r="AR14" s="28"/>
      <c r="AS14" s="12"/>
      <c r="AT14" s="12"/>
      <c r="AU14" s="12"/>
      <c r="AV14" s="28"/>
      <c r="AW14" s="12"/>
      <c r="AX14" s="12"/>
      <c r="AY14" s="12"/>
      <c r="AZ14" s="28"/>
      <c r="BA14" s="12"/>
      <c r="BB14" s="12"/>
      <c r="BC14" s="12"/>
      <c r="BD14" s="28"/>
      <c r="BE14" s="12"/>
      <c r="BF14" s="12"/>
      <c r="BG14" s="12"/>
      <c r="BH14" s="28"/>
      <c r="BI14" s="12"/>
      <c r="BJ14" s="12"/>
      <c r="BK14" s="12"/>
      <c r="BL14" s="28"/>
      <c r="BM14" s="12"/>
      <c r="BN14" s="12"/>
      <c r="BO14" s="12"/>
      <c r="BP14" s="12"/>
      <c r="BQ14" s="28"/>
      <c r="BR14" s="12"/>
      <c r="BS14" s="12"/>
      <c r="BT14" s="12"/>
      <c r="BU14" s="28"/>
      <c r="BV14" s="12"/>
      <c r="BW14" s="12"/>
      <c r="BX14" s="12"/>
      <c r="BY14" s="28"/>
      <c r="BZ14" s="12"/>
      <c r="CA14" s="12"/>
      <c r="CB14" s="12"/>
      <c r="CC14" s="28"/>
      <c r="CD14" s="12"/>
      <c r="CE14" s="12"/>
      <c r="CF14" s="12"/>
      <c r="CG14" s="28"/>
      <c r="CH14" s="12"/>
      <c r="CI14" s="12"/>
      <c r="CJ14" s="12"/>
      <c r="CK14" s="28"/>
      <c r="CL14" s="12"/>
      <c r="CM14" s="12"/>
      <c r="CN14" s="12"/>
      <c r="CO14" s="13"/>
    </row>
    <row r="15" spans="2:94" s="14" customFormat="1" ht="15" customHeight="1">
      <c r="B15" s="15" t="s">
        <v>6</v>
      </c>
      <c r="C15" s="16"/>
      <c r="D15" s="17" t="s">
        <v>4</v>
      </c>
      <c r="E15" s="16"/>
      <c r="F15" s="18"/>
      <c r="G15" s="29"/>
      <c r="H15" s="30"/>
      <c r="I15" s="21"/>
      <c r="J15" s="21"/>
      <c r="K15" s="29"/>
      <c r="L15" s="30"/>
      <c r="M15" s="21"/>
      <c r="N15" s="21"/>
      <c r="O15" s="29"/>
      <c r="P15" s="30"/>
      <c r="Q15" s="21"/>
      <c r="R15" s="21"/>
      <c r="S15" s="29"/>
      <c r="T15" s="30"/>
      <c r="U15" s="21"/>
      <c r="V15" s="21"/>
      <c r="W15" s="29"/>
      <c r="X15" s="30"/>
      <c r="Y15" s="21"/>
      <c r="Z15" s="21"/>
      <c r="AA15" s="29"/>
      <c r="AB15" s="30"/>
      <c r="AC15" s="21"/>
      <c r="AD15" s="21"/>
      <c r="AE15" s="29"/>
      <c r="AF15" s="30"/>
      <c r="AG15" s="21"/>
      <c r="AH15" s="21"/>
      <c r="AI15" s="29"/>
      <c r="AJ15" s="30"/>
      <c r="AK15" s="21"/>
      <c r="AL15" s="21"/>
      <c r="AM15" s="29"/>
      <c r="AN15" s="30"/>
      <c r="AO15" s="21"/>
      <c r="AP15" s="21"/>
      <c r="AQ15" s="21"/>
      <c r="AR15" s="29"/>
      <c r="AS15" s="30"/>
      <c r="AT15" s="21"/>
      <c r="AU15" s="21"/>
      <c r="AV15" s="29"/>
      <c r="AW15" s="30"/>
      <c r="AX15" s="21"/>
      <c r="AY15" s="21"/>
      <c r="AZ15" s="29"/>
      <c r="BA15" s="30"/>
      <c r="BB15" s="21"/>
      <c r="BC15" s="21"/>
      <c r="BD15" s="29"/>
      <c r="BE15" s="30"/>
      <c r="BF15" s="21"/>
      <c r="BG15" s="21"/>
      <c r="BH15" s="29"/>
      <c r="BI15" s="30"/>
      <c r="BJ15" s="21"/>
      <c r="BK15" s="21"/>
      <c r="BL15" s="29"/>
      <c r="BM15" s="30"/>
      <c r="BN15" s="21"/>
      <c r="BO15" s="21"/>
      <c r="BP15" s="21"/>
      <c r="BQ15" s="29"/>
      <c r="BR15" s="30"/>
      <c r="BS15" s="21"/>
      <c r="BT15" s="21"/>
      <c r="BU15" s="29"/>
      <c r="BV15" s="30"/>
      <c r="BW15" s="21"/>
      <c r="BX15" s="21"/>
      <c r="BY15" s="29"/>
      <c r="BZ15" s="30"/>
      <c r="CA15" s="21"/>
      <c r="CB15" s="21"/>
      <c r="CC15" s="29"/>
      <c r="CD15" s="30"/>
      <c r="CE15" s="21"/>
      <c r="CF15" s="21"/>
      <c r="CG15" s="29"/>
      <c r="CH15" s="30"/>
      <c r="CI15" s="21"/>
      <c r="CJ15" s="21"/>
      <c r="CK15" s="29"/>
      <c r="CL15" s="30"/>
      <c r="CM15" s="21"/>
      <c r="CN15" s="21"/>
      <c r="CO15" s="22"/>
    </row>
    <row r="16" spans="2:94" s="14" customFormat="1" ht="4.3499999999999996" customHeight="1" thickBot="1">
      <c r="B16" s="33"/>
      <c r="C16" s="32"/>
      <c r="D16" s="31"/>
      <c r="E16" s="23"/>
      <c r="F16" s="32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6"/>
    </row>
    <row r="17" spans="2:93" s="34" customFormat="1" ht="9.9" customHeight="1" thickBot="1">
      <c r="C17" s="35"/>
      <c r="D17" s="14"/>
      <c r="E17" s="35"/>
    </row>
    <row r="18" spans="2:93" s="34" customFormat="1" ht="19.95" customHeight="1">
      <c r="B18" s="385" t="s">
        <v>7</v>
      </c>
      <c r="C18" s="385"/>
      <c r="D18" s="385"/>
      <c r="E18" s="385"/>
      <c r="F18" s="386"/>
      <c r="G18" s="387" t="s">
        <v>8</v>
      </c>
      <c r="H18" s="388"/>
      <c r="I18" s="388"/>
      <c r="J18" s="388"/>
      <c r="K18" s="388"/>
      <c r="L18" s="388"/>
      <c r="M18" s="388"/>
      <c r="N18" s="388"/>
      <c r="O18" s="388"/>
      <c r="P18" s="388"/>
      <c r="Q18" s="388"/>
      <c r="R18" s="388"/>
      <c r="S18" s="388"/>
      <c r="T18" s="388"/>
      <c r="U18" s="388"/>
      <c r="V18" s="388"/>
      <c r="W18" s="388"/>
      <c r="X18" s="388"/>
      <c r="Y18" s="388"/>
      <c r="Z18" s="388"/>
      <c r="AA18" s="388"/>
      <c r="AB18" s="388"/>
      <c r="AC18" s="388"/>
      <c r="AD18" s="388"/>
      <c r="AE18" s="388"/>
      <c r="AF18" s="388"/>
      <c r="AG18" s="388"/>
      <c r="AH18" s="388"/>
      <c r="AI18" s="388"/>
      <c r="AJ18" s="388"/>
      <c r="AK18" s="388"/>
      <c r="AL18" s="388"/>
      <c r="AM18" s="388"/>
      <c r="AN18" s="388"/>
      <c r="AO18" s="388"/>
      <c r="AP18" s="389"/>
      <c r="AQ18" s="36"/>
      <c r="AR18" s="390" t="s">
        <v>9</v>
      </c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6"/>
      <c r="BQ18" s="392" t="s">
        <v>10</v>
      </c>
      <c r="BR18" s="393"/>
      <c r="BS18" s="393"/>
      <c r="BT18" s="393"/>
      <c r="BU18" s="393"/>
      <c r="BV18" s="393"/>
      <c r="BW18" s="393"/>
      <c r="BX18" s="393"/>
      <c r="BY18" s="393"/>
      <c r="BZ18" s="393"/>
      <c r="CA18" s="393"/>
      <c r="CB18" s="393"/>
      <c r="CC18" s="393"/>
      <c r="CD18" s="393"/>
      <c r="CE18" s="393"/>
      <c r="CF18" s="393"/>
      <c r="CG18" s="393"/>
      <c r="CH18" s="393"/>
      <c r="CI18" s="393"/>
      <c r="CJ18" s="393"/>
      <c r="CK18" s="393"/>
      <c r="CL18" s="393"/>
      <c r="CM18" s="393"/>
      <c r="CN18" s="394"/>
      <c r="CO18" s="327" t="s">
        <v>11</v>
      </c>
    </row>
    <row r="19" spans="2:93" s="40" customFormat="1" ht="19.95" customHeight="1">
      <c r="B19" s="396" t="s">
        <v>12</v>
      </c>
      <c r="C19" s="397"/>
      <c r="D19" s="37"/>
      <c r="E19" s="398" t="s">
        <v>13</v>
      </c>
      <c r="F19" s="399"/>
      <c r="G19" s="38" t="s">
        <v>14</v>
      </c>
      <c r="H19" s="38" t="s">
        <v>15</v>
      </c>
      <c r="I19" s="38" t="s">
        <v>16</v>
      </c>
      <c r="J19" s="38" t="s">
        <v>17</v>
      </c>
      <c r="K19" s="38" t="s">
        <v>14</v>
      </c>
      <c r="L19" s="38" t="s">
        <v>15</v>
      </c>
      <c r="M19" s="38" t="s">
        <v>16</v>
      </c>
      <c r="N19" s="38" t="s">
        <v>17</v>
      </c>
      <c r="O19" s="38" t="str">
        <f>+K19</f>
        <v>TIPE KERUSAKAN</v>
      </c>
      <c r="P19" s="38" t="s">
        <v>15</v>
      </c>
      <c r="Q19" s="38" t="s">
        <v>16</v>
      </c>
      <c r="R19" s="38" t="s">
        <v>17</v>
      </c>
      <c r="S19" s="38" t="s">
        <v>14</v>
      </c>
      <c r="T19" s="38" t="s">
        <v>15</v>
      </c>
      <c r="U19" s="38" t="s">
        <v>16</v>
      </c>
      <c r="V19" s="38" t="s">
        <v>17</v>
      </c>
      <c r="W19" s="38" t="str">
        <f>+S19</f>
        <v>TIPE KERUSAKAN</v>
      </c>
      <c r="X19" s="38" t="s">
        <v>15</v>
      </c>
      <c r="Y19" s="38" t="s">
        <v>16</v>
      </c>
      <c r="Z19" s="38" t="s">
        <v>17</v>
      </c>
      <c r="AA19" s="38" t="s">
        <v>14</v>
      </c>
      <c r="AB19" s="38" t="s">
        <v>15</v>
      </c>
      <c r="AC19" s="38" t="s">
        <v>16</v>
      </c>
      <c r="AD19" s="38" t="s">
        <v>17</v>
      </c>
      <c r="AE19" s="38" t="str">
        <f>+AA19</f>
        <v>TIPE KERUSAKAN</v>
      </c>
      <c r="AF19" s="38" t="s">
        <v>15</v>
      </c>
      <c r="AG19" s="38" t="s">
        <v>16</v>
      </c>
      <c r="AH19" s="38" t="s">
        <v>17</v>
      </c>
      <c r="AI19" s="38" t="s">
        <v>14</v>
      </c>
      <c r="AJ19" s="38" t="s">
        <v>15</v>
      </c>
      <c r="AK19" s="38" t="s">
        <v>16</v>
      </c>
      <c r="AL19" s="38" t="s">
        <v>17</v>
      </c>
      <c r="AM19" s="38" t="str">
        <f>+AI19</f>
        <v>TIPE KERUSAKAN</v>
      </c>
      <c r="AN19" s="38" t="s">
        <v>15</v>
      </c>
      <c r="AO19" s="38" t="s">
        <v>16</v>
      </c>
      <c r="AP19" s="38" t="s">
        <v>17</v>
      </c>
      <c r="AQ19" s="39"/>
      <c r="AR19" s="38" t="s">
        <v>14</v>
      </c>
      <c r="AS19" s="38" t="s">
        <v>15</v>
      </c>
      <c r="AT19" s="38" t="s">
        <v>16</v>
      </c>
      <c r="AU19" s="38" t="s">
        <v>17</v>
      </c>
      <c r="AV19" s="38" t="str">
        <f>+AR19</f>
        <v>TIPE KERUSAKAN</v>
      </c>
      <c r="AW19" s="38" t="s">
        <v>15</v>
      </c>
      <c r="AX19" s="38" t="s">
        <v>16</v>
      </c>
      <c r="AY19" s="38" t="s">
        <v>17</v>
      </c>
      <c r="AZ19" s="38" t="str">
        <f>+AV19</f>
        <v>TIPE KERUSAKAN</v>
      </c>
      <c r="BA19" s="38" t="s">
        <v>15</v>
      </c>
      <c r="BB19" s="38" t="s">
        <v>16</v>
      </c>
      <c r="BC19" s="38" t="s">
        <v>17</v>
      </c>
      <c r="BD19" s="38" t="str">
        <f>+AZ19</f>
        <v>TIPE KERUSAKAN</v>
      </c>
      <c r="BE19" s="38" t="s">
        <v>15</v>
      </c>
      <c r="BF19" s="38" t="s">
        <v>16</v>
      </c>
      <c r="BG19" s="38" t="s">
        <v>17</v>
      </c>
      <c r="BH19" s="38" t="str">
        <f>+BD19</f>
        <v>TIPE KERUSAKAN</v>
      </c>
      <c r="BI19" s="38" t="s">
        <v>15</v>
      </c>
      <c r="BJ19" s="38" t="s">
        <v>16</v>
      </c>
      <c r="BK19" s="38" t="s">
        <v>17</v>
      </c>
      <c r="BL19" s="38" t="str">
        <f>+BH19</f>
        <v>TIPE KERUSAKAN</v>
      </c>
      <c r="BM19" s="38" t="s">
        <v>15</v>
      </c>
      <c r="BN19" s="38" t="s">
        <v>16</v>
      </c>
      <c r="BO19" s="38" t="s">
        <v>17</v>
      </c>
      <c r="BP19" s="39"/>
      <c r="BQ19" s="38" t="str">
        <f>+BL19</f>
        <v>TIPE KERUSAKAN</v>
      </c>
      <c r="BR19" s="38" t="s">
        <v>15</v>
      </c>
      <c r="BS19" s="38" t="s">
        <v>16</v>
      </c>
      <c r="BT19" s="38" t="s">
        <v>17</v>
      </c>
      <c r="BU19" s="38" t="str">
        <f>+BQ19</f>
        <v>TIPE KERUSAKAN</v>
      </c>
      <c r="BV19" s="38" t="s">
        <v>15</v>
      </c>
      <c r="BW19" s="38" t="s">
        <v>16</v>
      </c>
      <c r="BX19" s="38" t="s">
        <v>17</v>
      </c>
      <c r="BY19" s="38" t="str">
        <f>+BU19</f>
        <v>TIPE KERUSAKAN</v>
      </c>
      <c r="BZ19" s="38" t="s">
        <v>15</v>
      </c>
      <c r="CA19" s="38" t="s">
        <v>16</v>
      </c>
      <c r="CB19" s="38" t="s">
        <v>17</v>
      </c>
      <c r="CC19" s="38" t="str">
        <f>+BY19</f>
        <v>TIPE KERUSAKAN</v>
      </c>
      <c r="CD19" s="38" t="s">
        <v>15</v>
      </c>
      <c r="CE19" s="38" t="s">
        <v>16</v>
      </c>
      <c r="CF19" s="38" t="s">
        <v>17</v>
      </c>
      <c r="CG19" s="38" t="str">
        <f>+CC19</f>
        <v>TIPE KERUSAKAN</v>
      </c>
      <c r="CH19" s="38" t="s">
        <v>15</v>
      </c>
      <c r="CI19" s="38" t="s">
        <v>16</v>
      </c>
      <c r="CJ19" s="38" t="s">
        <v>17</v>
      </c>
      <c r="CK19" s="38" t="str">
        <f>+CG19</f>
        <v>TIPE KERUSAKAN</v>
      </c>
      <c r="CL19" s="38" t="s">
        <v>15</v>
      </c>
      <c r="CM19" s="38" t="s">
        <v>16</v>
      </c>
      <c r="CN19" s="38" t="s">
        <v>17</v>
      </c>
      <c r="CO19" s="395"/>
    </row>
    <row r="20" spans="2:93" s="34" customFormat="1" ht="10.199999999999999" customHeight="1">
      <c r="B20" s="41"/>
      <c r="C20" s="42"/>
      <c r="D20" s="42"/>
      <c r="E20" s="43"/>
      <c r="F20" s="44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6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6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7"/>
    </row>
    <row r="21" spans="2:93" s="34" customFormat="1" ht="17.100000000000001" customHeight="1">
      <c r="B21" s="48"/>
      <c r="C21" s="49">
        <v>0</v>
      </c>
      <c r="D21" s="43" t="s">
        <v>18</v>
      </c>
      <c r="E21" s="49">
        <f>+C21+100</f>
        <v>100</v>
      </c>
      <c r="F21" s="50"/>
      <c r="G21" s="51" t="s">
        <v>19</v>
      </c>
      <c r="H21" s="52">
        <v>0</v>
      </c>
      <c r="I21" s="52">
        <v>0</v>
      </c>
      <c r="J21" s="52">
        <f>+H21*I21</f>
        <v>0</v>
      </c>
      <c r="K21" s="51" t="s">
        <v>20</v>
      </c>
      <c r="L21" s="52">
        <v>0</v>
      </c>
      <c r="M21" s="52">
        <v>0</v>
      </c>
      <c r="N21" s="52">
        <f>+L21*M21</f>
        <v>0</v>
      </c>
      <c r="O21" s="51" t="s">
        <v>21</v>
      </c>
      <c r="P21" s="52">
        <v>1</v>
      </c>
      <c r="Q21" s="52">
        <v>2</v>
      </c>
      <c r="R21" s="52">
        <f>+P21*Q21</f>
        <v>2</v>
      </c>
      <c r="S21" s="51" t="s">
        <v>22</v>
      </c>
      <c r="T21" s="52">
        <v>0</v>
      </c>
      <c r="U21" s="52">
        <v>0</v>
      </c>
      <c r="V21" s="52">
        <f>+T21*U21</f>
        <v>0</v>
      </c>
      <c r="W21" s="51" t="s">
        <v>23</v>
      </c>
      <c r="X21" s="52">
        <v>0</v>
      </c>
      <c r="Y21" s="52">
        <v>0</v>
      </c>
      <c r="Z21" s="52">
        <f>+X21*Y21</f>
        <v>0</v>
      </c>
      <c r="AA21" s="51" t="s">
        <v>24</v>
      </c>
      <c r="AB21" s="52">
        <v>0</v>
      </c>
      <c r="AC21" s="52">
        <v>0</v>
      </c>
      <c r="AD21" s="52">
        <f>+AB21*AC21</f>
        <v>0</v>
      </c>
      <c r="AE21" s="51" t="s">
        <v>25</v>
      </c>
      <c r="AF21" s="52">
        <v>0</v>
      </c>
      <c r="AG21" s="52">
        <v>0</v>
      </c>
      <c r="AH21" s="52">
        <f>+AF21*AG21</f>
        <v>0</v>
      </c>
      <c r="AI21" s="51" t="s">
        <v>26</v>
      </c>
      <c r="AJ21" s="52">
        <v>0</v>
      </c>
      <c r="AK21" s="52">
        <v>0</v>
      </c>
      <c r="AL21" s="52">
        <f>+AJ21*AK21</f>
        <v>0</v>
      </c>
      <c r="AM21" s="51" t="s">
        <v>27</v>
      </c>
      <c r="AN21" s="52">
        <v>0</v>
      </c>
      <c r="AO21" s="52">
        <v>0</v>
      </c>
      <c r="AP21" s="52">
        <f>+AN21*AO21</f>
        <v>0</v>
      </c>
      <c r="AQ21" s="39"/>
      <c r="AR21" s="51" t="s">
        <v>28</v>
      </c>
      <c r="AS21" s="52">
        <v>0</v>
      </c>
      <c r="AT21" s="52">
        <v>0</v>
      </c>
      <c r="AU21" s="52">
        <f>+AS21*AT21</f>
        <v>0</v>
      </c>
      <c r="AV21" s="51" t="s">
        <v>29</v>
      </c>
      <c r="AW21" s="52">
        <v>0</v>
      </c>
      <c r="AX21" s="52">
        <v>0</v>
      </c>
      <c r="AY21" s="52">
        <f>+AW21*AX21</f>
        <v>0</v>
      </c>
      <c r="AZ21" s="51" t="s">
        <v>30</v>
      </c>
      <c r="BA21" s="52">
        <v>0</v>
      </c>
      <c r="BB21" s="52">
        <v>0</v>
      </c>
      <c r="BC21" s="52">
        <f>+BA21*BB21</f>
        <v>0</v>
      </c>
      <c r="BD21" s="51" t="s">
        <v>31</v>
      </c>
      <c r="BE21" s="52">
        <v>0</v>
      </c>
      <c r="BF21" s="52">
        <v>0</v>
      </c>
      <c r="BG21" s="52">
        <f>+BE21*BF21</f>
        <v>0</v>
      </c>
      <c r="BH21" s="51" t="s">
        <v>32</v>
      </c>
      <c r="BI21" s="52">
        <v>0</v>
      </c>
      <c r="BJ21" s="52">
        <v>0</v>
      </c>
      <c r="BK21" s="52">
        <f>+BI21*BJ21</f>
        <v>0</v>
      </c>
      <c r="BL21" s="51" t="s">
        <v>33</v>
      </c>
      <c r="BM21" s="52">
        <v>0</v>
      </c>
      <c r="BN21" s="52">
        <v>0</v>
      </c>
      <c r="BO21" s="52">
        <f>+BM21*BN21</f>
        <v>0</v>
      </c>
      <c r="BP21" s="39"/>
      <c r="BQ21" s="51" t="s">
        <v>34</v>
      </c>
      <c r="BR21" s="52">
        <v>0</v>
      </c>
      <c r="BS21" s="52">
        <v>0</v>
      </c>
      <c r="BT21" s="52">
        <f>+BR21*BS21</f>
        <v>0</v>
      </c>
      <c r="BU21" s="51" t="s">
        <v>35</v>
      </c>
      <c r="BV21" s="52">
        <v>0</v>
      </c>
      <c r="BW21" s="52">
        <v>0</v>
      </c>
      <c r="BX21" s="52">
        <f>+BV21*BW21</f>
        <v>0</v>
      </c>
      <c r="BY21" s="51" t="s">
        <v>36</v>
      </c>
      <c r="BZ21" s="52">
        <v>0</v>
      </c>
      <c r="CA21" s="52">
        <v>0</v>
      </c>
      <c r="CB21" s="52">
        <f>+BZ21*CA21</f>
        <v>0</v>
      </c>
      <c r="CC21" s="51" t="s">
        <v>25</v>
      </c>
      <c r="CD21" s="52">
        <v>0</v>
      </c>
      <c r="CE21" s="52">
        <v>0</v>
      </c>
      <c r="CF21" s="52">
        <f>+CD21*CE21</f>
        <v>0</v>
      </c>
      <c r="CG21" s="51" t="s">
        <v>26</v>
      </c>
      <c r="CH21" s="52">
        <v>0</v>
      </c>
      <c r="CI21" s="52">
        <v>0</v>
      </c>
      <c r="CJ21" s="52">
        <f>+CH21*CI21</f>
        <v>0</v>
      </c>
      <c r="CK21" s="51" t="s">
        <v>37</v>
      </c>
      <c r="CL21" s="52">
        <v>0</v>
      </c>
      <c r="CM21" s="52">
        <v>0</v>
      </c>
      <c r="CN21" s="52">
        <f>+CL21*CM21</f>
        <v>0</v>
      </c>
      <c r="CO21" s="53"/>
    </row>
    <row r="22" spans="2:93" s="34" customFormat="1" ht="17.100000000000001" customHeight="1">
      <c r="B22" s="48"/>
      <c r="C22" s="54"/>
      <c r="D22" s="43"/>
      <c r="E22" s="54"/>
      <c r="F22" s="50"/>
      <c r="G22" s="51"/>
      <c r="H22" s="55"/>
      <c r="I22" s="55"/>
      <c r="J22" s="55"/>
      <c r="K22" s="51"/>
      <c r="L22" s="55"/>
      <c r="M22" s="55"/>
      <c r="N22" s="55"/>
      <c r="O22" s="51"/>
      <c r="P22" s="55"/>
      <c r="Q22" s="55"/>
      <c r="R22" s="55"/>
      <c r="S22" s="51"/>
      <c r="T22" s="55"/>
      <c r="U22" s="55"/>
      <c r="V22" s="55"/>
      <c r="W22" s="51"/>
      <c r="X22" s="55"/>
      <c r="Y22" s="55"/>
      <c r="Z22" s="55"/>
      <c r="AA22" s="51"/>
      <c r="AB22" s="55"/>
      <c r="AC22" s="55"/>
      <c r="AD22" s="55"/>
      <c r="AE22" s="51"/>
      <c r="AF22" s="55"/>
      <c r="AG22" s="55"/>
      <c r="AH22" s="55"/>
      <c r="AI22" s="51"/>
      <c r="AJ22" s="55"/>
      <c r="AK22" s="55"/>
      <c r="AL22" s="55"/>
      <c r="AM22" s="51"/>
      <c r="AN22" s="55"/>
      <c r="AO22" s="55"/>
      <c r="AP22" s="55"/>
      <c r="AQ22" s="56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6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3"/>
    </row>
    <row r="23" spans="2:93" s="57" customFormat="1" ht="17.100000000000001" customHeight="1">
      <c r="B23" s="48"/>
      <c r="C23" s="54">
        <f>+E21</f>
        <v>100</v>
      </c>
      <c r="D23" s="43" t="s">
        <v>18</v>
      </c>
      <c r="E23" s="54">
        <f>+C23+100</f>
        <v>200</v>
      </c>
      <c r="F23" s="50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6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6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3"/>
    </row>
    <row r="24" spans="2:93" s="57" customFormat="1" ht="17.100000000000001" customHeight="1">
      <c r="B24" s="41"/>
      <c r="C24" s="49"/>
      <c r="D24" s="58"/>
      <c r="E24" s="49"/>
      <c r="F24" s="50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6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6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3"/>
    </row>
    <row r="25" spans="2:93" s="57" customFormat="1" ht="17.100000000000001" customHeight="1">
      <c r="B25" s="48"/>
      <c r="C25" s="54">
        <f t="shared" ref="C25" si="0">+E23</f>
        <v>200</v>
      </c>
      <c r="D25" s="43" t="s">
        <v>18</v>
      </c>
      <c r="E25" s="54">
        <f>+C25+100</f>
        <v>300</v>
      </c>
      <c r="F25" s="50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6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6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3"/>
    </row>
    <row r="26" spans="2:93" s="57" customFormat="1" ht="17.100000000000001" customHeight="1">
      <c r="B26" s="48"/>
      <c r="C26" s="49"/>
      <c r="D26" s="43"/>
      <c r="E26" s="49"/>
      <c r="F26" s="50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6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6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3"/>
    </row>
    <row r="27" spans="2:93" s="57" customFormat="1" ht="17.100000000000001" customHeight="1">
      <c r="B27" s="48"/>
      <c r="C27" s="54">
        <f t="shared" ref="C27" si="1">+E25</f>
        <v>300</v>
      </c>
      <c r="D27" s="43" t="s">
        <v>18</v>
      </c>
      <c r="E27" s="54">
        <f>+C27+100</f>
        <v>400</v>
      </c>
      <c r="F27" s="50"/>
      <c r="G27" s="55"/>
      <c r="H27" s="55"/>
      <c r="I27" s="55"/>
      <c r="J27" s="55"/>
      <c r="K27" s="55" t="s">
        <v>38</v>
      </c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6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6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3"/>
    </row>
    <row r="28" spans="2:93" s="57" customFormat="1" ht="17.100000000000001" customHeight="1">
      <c r="B28" s="48"/>
      <c r="C28" s="49"/>
      <c r="D28" s="58"/>
      <c r="E28" s="49"/>
      <c r="F28" s="50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6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6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3"/>
    </row>
    <row r="29" spans="2:93" s="57" customFormat="1" ht="17.100000000000001" customHeight="1">
      <c r="B29" s="48"/>
      <c r="C29" s="54">
        <f t="shared" ref="C29" si="2">+E27</f>
        <v>400</v>
      </c>
      <c r="D29" s="43" t="s">
        <v>18</v>
      </c>
      <c r="E29" s="54">
        <f>+C29+100</f>
        <v>500</v>
      </c>
      <c r="F29" s="50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6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6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3"/>
    </row>
    <row r="30" spans="2:93" s="57" customFormat="1" ht="17.100000000000001" customHeight="1">
      <c r="B30" s="48"/>
      <c r="C30" s="49"/>
      <c r="D30" s="43"/>
      <c r="E30" s="49"/>
      <c r="F30" s="50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6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6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3"/>
    </row>
    <row r="31" spans="2:93" s="57" customFormat="1" ht="17.100000000000001" customHeight="1">
      <c r="B31" s="48"/>
      <c r="C31" s="54">
        <f t="shared" ref="C31" si="3">+E29</f>
        <v>500</v>
      </c>
      <c r="D31" s="43" t="s">
        <v>18</v>
      </c>
      <c r="E31" s="54">
        <f>+C31+100</f>
        <v>600</v>
      </c>
      <c r="F31" s="50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6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6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3"/>
    </row>
    <row r="32" spans="2:93" s="57" customFormat="1" ht="17.100000000000001" customHeight="1">
      <c r="B32" s="48"/>
      <c r="C32" s="49"/>
      <c r="D32" s="58"/>
      <c r="E32" s="49"/>
      <c r="F32" s="50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6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6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3"/>
    </row>
    <row r="33" spans="2:93" s="34" customFormat="1" ht="17.100000000000001" customHeight="1">
      <c r="B33" s="48"/>
      <c r="C33" s="54">
        <f t="shared" ref="C33" si="4">+E31</f>
        <v>600</v>
      </c>
      <c r="D33" s="43" t="s">
        <v>18</v>
      </c>
      <c r="E33" s="54">
        <f>+C33+100</f>
        <v>700</v>
      </c>
      <c r="F33" s="50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6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6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3"/>
    </row>
    <row r="34" spans="2:93" s="57" customFormat="1" ht="17.100000000000001" customHeight="1">
      <c r="B34" s="48"/>
      <c r="C34" s="49"/>
      <c r="D34" s="43"/>
      <c r="E34" s="49"/>
      <c r="F34" s="50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6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6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3"/>
    </row>
    <row r="35" spans="2:93" s="57" customFormat="1" ht="17.100000000000001" customHeight="1">
      <c r="B35" s="48"/>
      <c r="C35" s="54">
        <f t="shared" ref="C35" si="5">+E33</f>
        <v>700</v>
      </c>
      <c r="D35" s="43" t="s">
        <v>18</v>
      </c>
      <c r="E35" s="54">
        <f>+C35+100</f>
        <v>800</v>
      </c>
      <c r="F35" s="50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6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6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3"/>
    </row>
    <row r="36" spans="2:93" s="57" customFormat="1" ht="17.100000000000001" customHeight="1">
      <c r="B36" s="48"/>
      <c r="C36" s="49"/>
      <c r="D36" s="58"/>
      <c r="E36" s="49"/>
      <c r="F36" s="50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6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6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3"/>
    </row>
    <row r="37" spans="2:93" s="57" customFormat="1" ht="17.100000000000001" customHeight="1">
      <c r="B37" s="48"/>
      <c r="C37" s="54">
        <f t="shared" ref="C37" si="6">+E35</f>
        <v>800</v>
      </c>
      <c r="D37" s="43" t="s">
        <v>18</v>
      </c>
      <c r="E37" s="54">
        <f>+C37+100</f>
        <v>900</v>
      </c>
      <c r="F37" s="50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6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6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3"/>
    </row>
    <row r="38" spans="2:93" s="57" customFormat="1" ht="17.100000000000001" customHeight="1">
      <c r="B38" s="48"/>
      <c r="C38" s="49"/>
      <c r="D38" s="43"/>
      <c r="E38" s="49"/>
      <c r="F38" s="50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6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6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3"/>
    </row>
    <row r="39" spans="2:93" s="57" customFormat="1" ht="17.100000000000001" customHeight="1">
      <c r="B39" s="48"/>
      <c r="C39" s="54">
        <f t="shared" ref="C39" si="7">+E37</f>
        <v>900</v>
      </c>
      <c r="D39" s="43" t="s">
        <v>18</v>
      </c>
      <c r="E39" s="54">
        <f>+C39+100</f>
        <v>1000</v>
      </c>
      <c r="F39" s="50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6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6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3"/>
    </row>
    <row r="40" spans="2:93" s="57" customFormat="1" ht="17.100000000000001" customHeight="1">
      <c r="B40" s="48"/>
      <c r="C40" s="49"/>
      <c r="D40" s="58"/>
      <c r="E40" s="49"/>
      <c r="F40" s="50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6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6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3"/>
    </row>
    <row r="41" spans="2:93" s="57" customFormat="1" ht="17.100000000000001" customHeight="1">
      <c r="B41" s="48"/>
      <c r="C41" s="54">
        <f t="shared" ref="C41" si="8">+E39</f>
        <v>1000</v>
      </c>
      <c r="D41" s="43" t="s">
        <v>18</v>
      </c>
      <c r="E41" s="54">
        <f>+C41+100</f>
        <v>1100</v>
      </c>
      <c r="F41" s="50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6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6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3"/>
    </row>
    <row r="42" spans="2:93" s="57" customFormat="1" ht="17.100000000000001" customHeight="1">
      <c r="B42" s="48"/>
      <c r="C42" s="49"/>
      <c r="D42" s="43"/>
      <c r="E42" s="49"/>
      <c r="F42" s="50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6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6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3"/>
    </row>
    <row r="43" spans="2:93" s="57" customFormat="1" ht="17.100000000000001" customHeight="1">
      <c r="B43" s="48"/>
      <c r="C43" s="54">
        <f t="shared" ref="C43" si="9">+E41</f>
        <v>1100</v>
      </c>
      <c r="D43" s="43" t="s">
        <v>18</v>
      </c>
      <c r="E43" s="54">
        <f>+C43+100</f>
        <v>1200</v>
      </c>
      <c r="F43" s="50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6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6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3"/>
    </row>
    <row r="44" spans="2:93" s="57" customFormat="1" ht="17.100000000000001" customHeight="1">
      <c r="B44" s="48"/>
      <c r="C44" s="49"/>
      <c r="D44" s="58"/>
      <c r="E44" s="49"/>
      <c r="F44" s="50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6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6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3"/>
    </row>
    <row r="45" spans="2:93" s="57" customFormat="1" ht="17.100000000000001" customHeight="1">
      <c r="B45" s="48"/>
      <c r="C45" s="54">
        <f t="shared" ref="C45" si="10">+E43</f>
        <v>1200</v>
      </c>
      <c r="D45" s="43" t="s">
        <v>18</v>
      </c>
      <c r="E45" s="54">
        <f>+C45+100</f>
        <v>1300</v>
      </c>
      <c r="F45" s="50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6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6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3"/>
    </row>
    <row r="46" spans="2:93" s="57" customFormat="1" ht="17.100000000000001" customHeight="1">
      <c r="B46" s="48"/>
      <c r="C46" s="49"/>
      <c r="D46" s="43"/>
      <c r="E46" s="49"/>
      <c r="F46" s="50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6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6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3"/>
    </row>
    <row r="47" spans="2:93" s="57" customFormat="1" ht="17.100000000000001" customHeight="1">
      <c r="B47" s="48"/>
      <c r="C47" s="54">
        <f t="shared" ref="C47" si="11">+E45</f>
        <v>1300</v>
      </c>
      <c r="D47" s="43" t="s">
        <v>18</v>
      </c>
      <c r="E47" s="54">
        <f>+C47+100</f>
        <v>1400</v>
      </c>
      <c r="F47" s="50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6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6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3"/>
    </row>
    <row r="48" spans="2:93" s="57" customFormat="1" ht="17.100000000000001" customHeight="1">
      <c r="B48" s="48"/>
      <c r="C48" s="49"/>
      <c r="D48" s="58"/>
      <c r="E48" s="49"/>
      <c r="F48" s="50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6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6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3"/>
    </row>
    <row r="49" spans="2:93" s="57" customFormat="1" ht="17.100000000000001" customHeight="1">
      <c r="B49" s="48"/>
      <c r="C49" s="54">
        <f t="shared" ref="C49" si="12">+E47</f>
        <v>1400</v>
      </c>
      <c r="D49" s="43" t="s">
        <v>18</v>
      </c>
      <c r="E49" s="54">
        <f>+C49+100</f>
        <v>1500</v>
      </c>
      <c r="F49" s="50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6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6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3"/>
    </row>
    <row r="50" spans="2:93" s="57" customFormat="1" ht="17.100000000000001" customHeight="1">
      <c r="B50" s="48"/>
      <c r="C50" s="49"/>
      <c r="D50" s="43"/>
      <c r="E50" s="49"/>
      <c r="F50" s="50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6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6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3"/>
    </row>
    <row r="51" spans="2:93" s="57" customFormat="1" ht="17.100000000000001" customHeight="1">
      <c r="B51" s="48"/>
      <c r="C51" s="54">
        <f t="shared" ref="C51" si="13">+E49</f>
        <v>1500</v>
      </c>
      <c r="D51" s="43" t="s">
        <v>18</v>
      </c>
      <c r="E51" s="54">
        <f>+C51+100</f>
        <v>1600</v>
      </c>
      <c r="F51" s="50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6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6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3"/>
    </row>
    <row r="52" spans="2:93" s="57" customFormat="1" ht="17.100000000000001" customHeight="1">
      <c r="B52" s="48"/>
      <c r="C52" s="49"/>
      <c r="D52" s="58"/>
      <c r="E52" s="49"/>
      <c r="F52" s="50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6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6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3"/>
    </row>
    <row r="53" spans="2:93" s="57" customFormat="1" ht="17.100000000000001" customHeight="1">
      <c r="B53" s="48"/>
      <c r="C53" s="54">
        <f t="shared" ref="C53" si="14">+E51</f>
        <v>1600</v>
      </c>
      <c r="D53" s="43" t="s">
        <v>18</v>
      </c>
      <c r="E53" s="54">
        <f>+C53+100</f>
        <v>1700</v>
      </c>
      <c r="F53" s="50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6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6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3"/>
    </row>
    <row r="54" spans="2:93" s="34" customFormat="1" ht="17.100000000000001" customHeight="1">
      <c r="B54" s="48"/>
      <c r="C54" s="49"/>
      <c r="D54" s="43"/>
      <c r="E54" s="49"/>
      <c r="F54" s="50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6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6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3"/>
    </row>
    <row r="55" spans="2:93" s="57" customFormat="1" ht="17.100000000000001" customHeight="1">
      <c r="B55" s="48"/>
      <c r="C55" s="54">
        <f t="shared" ref="C55" si="15">+E53</f>
        <v>1700</v>
      </c>
      <c r="D55" s="43" t="s">
        <v>18</v>
      </c>
      <c r="E55" s="54">
        <f t="shared" ref="E55" si="16">+C55+100</f>
        <v>1800</v>
      </c>
      <c r="F55" s="50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6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6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3"/>
    </row>
    <row r="56" spans="2:93" s="57" customFormat="1" ht="17.100000000000001" customHeight="1">
      <c r="B56" s="41"/>
      <c r="C56" s="49"/>
      <c r="D56" s="58"/>
      <c r="E56" s="49"/>
      <c r="F56" s="50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6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6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3"/>
    </row>
    <row r="57" spans="2:93" s="57" customFormat="1" ht="17.100000000000001" customHeight="1">
      <c r="B57" s="48"/>
      <c r="C57" s="54">
        <f t="shared" ref="C57" si="17">+E55</f>
        <v>1800</v>
      </c>
      <c r="D57" s="43" t="s">
        <v>18</v>
      </c>
      <c r="E57" s="54">
        <f>+C57+100</f>
        <v>1900</v>
      </c>
      <c r="F57" s="50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6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6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3"/>
    </row>
    <row r="58" spans="2:93" s="57" customFormat="1" ht="17.100000000000001" customHeight="1">
      <c r="B58" s="48"/>
      <c r="C58" s="49"/>
      <c r="D58" s="43"/>
      <c r="E58" s="49"/>
      <c r="F58" s="50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6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6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3"/>
    </row>
    <row r="59" spans="2:93" s="57" customFormat="1" ht="17.100000000000001" customHeight="1">
      <c r="B59" s="48"/>
      <c r="C59" s="54">
        <f t="shared" ref="C59" si="18">+E57</f>
        <v>1900</v>
      </c>
      <c r="D59" s="43" t="s">
        <v>18</v>
      </c>
      <c r="E59" s="54">
        <f>+C59+100</f>
        <v>2000</v>
      </c>
      <c r="F59" s="50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6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6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3"/>
    </row>
    <row r="60" spans="2:93" s="57" customFormat="1" ht="17.100000000000001" customHeight="1">
      <c r="B60" s="48"/>
      <c r="C60" s="49"/>
      <c r="D60" s="58"/>
      <c r="E60" s="49"/>
      <c r="F60" s="50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6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6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3"/>
    </row>
    <row r="61" spans="2:93" s="57" customFormat="1" ht="17.100000000000001" customHeight="1">
      <c r="B61" s="48"/>
      <c r="C61" s="54">
        <f t="shared" ref="C61" si="19">+E59</f>
        <v>2000</v>
      </c>
      <c r="D61" s="43" t="s">
        <v>18</v>
      </c>
      <c r="E61" s="54">
        <f>+C61+100</f>
        <v>2100</v>
      </c>
      <c r="F61" s="50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6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6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3"/>
    </row>
    <row r="62" spans="2:93" s="57" customFormat="1" ht="17.100000000000001" customHeight="1">
      <c r="B62" s="48"/>
      <c r="C62" s="49"/>
      <c r="D62" s="43"/>
      <c r="E62" s="49"/>
      <c r="F62" s="50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6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6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3"/>
    </row>
    <row r="63" spans="2:93" s="57" customFormat="1" ht="17.100000000000001" customHeight="1">
      <c r="B63" s="48"/>
      <c r="C63" s="54">
        <f t="shared" ref="C63" si="20">+E61</f>
        <v>2100</v>
      </c>
      <c r="D63" s="43" t="s">
        <v>18</v>
      </c>
      <c r="E63" s="54">
        <f>+C63+100</f>
        <v>2200</v>
      </c>
      <c r="F63" s="50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6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6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3"/>
    </row>
    <row r="64" spans="2:93" s="57" customFormat="1" ht="17.100000000000001" customHeight="1">
      <c r="B64" s="48"/>
      <c r="C64" s="49"/>
      <c r="D64" s="58"/>
      <c r="E64" s="49"/>
      <c r="F64" s="50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6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6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3"/>
    </row>
    <row r="65" spans="2:93" s="34" customFormat="1" ht="17.100000000000001" customHeight="1">
      <c r="B65" s="48"/>
      <c r="C65" s="54">
        <f t="shared" ref="C65" si="21">+E63</f>
        <v>2200</v>
      </c>
      <c r="D65" s="43" t="s">
        <v>18</v>
      </c>
      <c r="E65" s="54">
        <f>+C65+100</f>
        <v>2300</v>
      </c>
      <c r="F65" s="50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6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6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3"/>
    </row>
    <row r="66" spans="2:93" s="57" customFormat="1" ht="17.100000000000001" customHeight="1">
      <c r="B66" s="48"/>
      <c r="C66" s="49"/>
      <c r="D66" s="43"/>
      <c r="E66" s="49"/>
      <c r="F66" s="50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6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6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3"/>
    </row>
    <row r="67" spans="2:93" s="57" customFormat="1" ht="17.100000000000001" customHeight="1">
      <c r="B67" s="48"/>
      <c r="C67" s="54">
        <f t="shared" ref="C67" si="22">+E65</f>
        <v>2300</v>
      </c>
      <c r="D67" s="43" t="s">
        <v>18</v>
      </c>
      <c r="E67" s="54">
        <f>+C67+100</f>
        <v>2400</v>
      </c>
      <c r="F67" s="50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6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6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3"/>
    </row>
    <row r="68" spans="2:93" s="57" customFormat="1" ht="17.100000000000001" customHeight="1">
      <c r="B68" s="48"/>
      <c r="C68" s="49"/>
      <c r="D68" s="58"/>
      <c r="E68" s="49"/>
      <c r="F68" s="50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6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6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3"/>
    </row>
    <row r="69" spans="2:93" s="57" customFormat="1" ht="17.100000000000001" customHeight="1">
      <c r="B69" s="48"/>
      <c r="C69" s="54">
        <f t="shared" ref="C69" si="23">+E67</f>
        <v>2400</v>
      </c>
      <c r="D69" s="43" t="s">
        <v>18</v>
      </c>
      <c r="E69" s="54">
        <f>+C69+100</f>
        <v>2500</v>
      </c>
      <c r="F69" s="50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6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6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3"/>
    </row>
    <row r="70" spans="2:93" s="57" customFormat="1" ht="17.100000000000001" customHeight="1">
      <c r="B70" s="48"/>
      <c r="C70" s="49"/>
      <c r="D70" s="43"/>
      <c r="E70" s="49"/>
      <c r="F70" s="50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6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6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3"/>
    </row>
    <row r="71" spans="2:93" s="57" customFormat="1" ht="17.100000000000001" customHeight="1">
      <c r="B71" s="48"/>
      <c r="C71" s="54">
        <f t="shared" ref="C71" si="24">+E69</f>
        <v>2500</v>
      </c>
      <c r="D71" s="43" t="s">
        <v>18</v>
      </c>
      <c r="E71" s="54">
        <f>+C71+100</f>
        <v>2600</v>
      </c>
      <c r="F71" s="50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6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6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3"/>
    </row>
    <row r="72" spans="2:93" s="57" customFormat="1" ht="17.100000000000001" customHeight="1">
      <c r="B72" s="48"/>
      <c r="C72" s="49"/>
      <c r="D72" s="58"/>
      <c r="E72" s="49"/>
      <c r="F72" s="50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6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6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3"/>
    </row>
    <row r="73" spans="2:93" s="57" customFormat="1" ht="17.100000000000001" customHeight="1">
      <c r="B73" s="48"/>
      <c r="C73" s="54">
        <f t="shared" ref="C73" si="25">+E71</f>
        <v>2600</v>
      </c>
      <c r="D73" s="43" t="s">
        <v>18</v>
      </c>
      <c r="E73" s="54">
        <f>+C73+100</f>
        <v>2700</v>
      </c>
      <c r="F73" s="50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6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6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3"/>
    </row>
    <row r="74" spans="2:93" s="57" customFormat="1" ht="17.100000000000001" customHeight="1">
      <c r="B74" s="48"/>
      <c r="C74" s="49"/>
      <c r="D74" s="43"/>
      <c r="E74" s="49"/>
      <c r="F74" s="50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6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6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3"/>
    </row>
    <row r="75" spans="2:93" s="57" customFormat="1" ht="17.100000000000001" customHeight="1">
      <c r="B75" s="48"/>
      <c r="C75" s="54">
        <f t="shared" ref="C75" si="26">+E73</f>
        <v>2700</v>
      </c>
      <c r="D75" s="43" t="s">
        <v>18</v>
      </c>
      <c r="E75" s="54">
        <f>+C75+100</f>
        <v>2800</v>
      </c>
      <c r="F75" s="50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6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6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3"/>
    </row>
    <row r="76" spans="2:93" s="57" customFormat="1" ht="17.100000000000001" customHeight="1">
      <c r="B76" s="48"/>
      <c r="C76" s="49"/>
      <c r="D76" s="58"/>
      <c r="E76" s="49"/>
      <c r="F76" s="50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6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6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3"/>
    </row>
    <row r="77" spans="2:93" s="57" customFormat="1" ht="17.100000000000001" customHeight="1">
      <c r="B77" s="48"/>
      <c r="C77" s="54">
        <f t="shared" ref="C77" si="27">+E75</f>
        <v>2800</v>
      </c>
      <c r="D77" s="43" t="s">
        <v>18</v>
      </c>
      <c r="E77" s="54">
        <f>+C77+100</f>
        <v>2900</v>
      </c>
      <c r="F77" s="50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6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6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55"/>
      <c r="CN77" s="55"/>
      <c r="CO77" s="53"/>
    </row>
    <row r="78" spans="2:93" s="57" customFormat="1" ht="17.100000000000001" customHeight="1">
      <c r="B78" s="48"/>
      <c r="C78" s="49"/>
      <c r="D78" s="43"/>
      <c r="E78" s="49"/>
      <c r="F78" s="50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6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6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  <c r="CM78" s="55"/>
      <c r="CN78" s="55"/>
      <c r="CO78" s="53"/>
    </row>
    <row r="79" spans="2:93" s="57" customFormat="1" ht="17.100000000000001" customHeight="1">
      <c r="B79" s="48"/>
      <c r="C79" s="54">
        <f t="shared" ref="C79" si="28">+E77</f>
        <v>2900</v>
      </c>
      <c r="D79" s="43" t="s">
        <v>18</v>
      </c>
      <c r="E79" s="54">
        <f>+C79+100</f>
        <v>3000</v>
      </c>
      <c r="F79" s="50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6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6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3"/>
    </row>
    <row r="80" spans="2:93" s="57" customFormat="1" ht="17.100000000000001" customHeight="1">
      <c r="B80" s="48"/>
      <c r="C80" s="49"/>
      <c r="D80" s="58"/>
      <c r="E80" s="49"/>
      <c r="F80" s="50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6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6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3"/>
    </row>
    <row r="81" spans="2:93" s="57" customFormat="1" ht="10.199999999999999" customHeight="1" thickBot="1">
      <c r="B81" s="59"/>
      <c r="C81" s="60"/>
      <c r="D81" s="60"/>
      <c r="E81" s="60"/>
      <c r="F81" s="61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3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3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4"/>
    </row>
    <row r="82" spans="2:93" s="57" customFormat="1" ht="5.25" customHeight="1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</row>
    <row r="83" spans="2:93" s="57" customFormat="1" ht="12" customHeight="1">
      <c r="B83" s="65" t="s">
        <v>39</v>
      </c>
      <c r="C83" s="14"/>
      <c r="D83" s="14"/>
      <c r="E83" s="14"/>
      <c r="F83" s="66"/>
      <c r="H83" s="66"/>
      <c r="I83" s="66"/>
      <c r="J83" s="30" t="s">
        <v>40</v>
      </c>
      <c r="K83" s="66"/>
      <c r="L83" s="66"/>
      <c r="M83" s="66"/>
      <c r="N83" s="66"/>
      <c r="T83" s="66"/>
      <c r="U83" s="66"/>
      <c r="V83" s="66"/>
      <c r="X83" s="66"/>
      <c r="Y83" s="66"/>
      <c r="Z83" s="66"/>
      <c r="AB83" s="66"/>
      <c r="AC83" s="66"/>
      <c r="AD83" s="66"/>
      <c r="AF83" s="66"/>
      <c r="AG83" s="66"/>
      <c r="AH83" s="66"/>
      <c r="AJ83" s="66"/>
      <c r="AK83" s="66"/>
      <c r="AL83" s="66"/>
      <c r="AN83" s="66"/>
      <c r="AO83" s="66"/>
      <c r="AP83" s="66"/>
      <c r="AQ83" s="66"/>
      <c r="BP83" s="66"/>
      <c r="BR83" s="66"/>
      <c r="BS83" s="66"/>
      <c r="BT83" s="66"/>
      <c r="BV83" s="66"/>
      <c r="BW83" s="66"/>
      <c r="BX83" s="66"/>
      <c r="BZ83" s="66"/>
      <c r="CA83" s="66"/>
      <c r="CB83" s="66"/>
      <c r="CD83" s="66"/>
      <c r="CE83" s="66"/>
      <c r="CF83" s="66"/>
      <c r="CH83" s="66"/>
      <c r="CI83" s="66"/>
      <c r="CJ83" s="66"/>
      <c r="CL83" s="66"/>
      <c r="CM83" s="66"/>
      <c r="CN83" s="66"/>
      <c r="CO83" s="66"/>
    </row>
    <row r="84" spans="2:93" s="57" customFormat="1" ht="3" customHeight="1">
      <c r="B84" s="65"/>
      <c r="C84" s="14"/>
      <c r="D84" s="14"/>
      <c r="E84" s="14"/>
      <c r="F84" s="66"/>
      <c r="H84" s="66"/>
      <c r="I84" s="66"/>
      <c r="J84" s="66"/>
      <c r="K84" s="66"/>
      <c r="L84" s="66"/>
      <c r="M84" s="66"/>
      <c r="N84" s="66"/>
      <c r="T84" s="66"/>
      <c r="U84" s="66"/>
      <c r="V84" s="66"/>
      <c r="X84" s="66"/>
      <c r="Y84" s="66"/>
      <c r="Z84" s="66"/>
      <c r="AB84" s="66"/>
      <c r="AC84" s="66"/>
      <c r="AD84" s="66"/>
      <c r="AF84" s="66"/>
      <c r="AG84" s="66"/>
      <c r="AH84" s="66"/>
      <c r="AJ84" s="66"/>
      <c r="AK84" s="66"/>
      <c r="AL84" s="66"/>
      <c r="AN84" s="66"/>
      <c r="AO84" s="66"/>
      <c r="AP84" s="66"/>
      <c r="AQ84" s="66"/>
      <c r="BP84" s="66"/>
      <c r="BR84" s="66"/>
      <c r="BS84" s="66"/>
      <c r="BT84" s="66"/>
      <c r="BV84" s="66"/>
      <c r="BW84" s="66"/>
      <c r="BX84" s="66"/>
      <c r="BZ84" s="66"/>
      <c r="CA84" s="66"/>
      <c r="CB84" s="66"/>
      <c r="CD84" s="66"/>
      <c r="CE84" s="66"/>
      <c r="CF84" s="66"/>
      <c r="CH84" s="66"/>
      <c r="CI84" s="66"/>
      <c r="CJ84" s="66"/>
      <c r="CL84" s="66"/>
      <c r="CM84" s="66"/>
      <c r="CN84" s="66"/>
      <c r="CO84" s="66"/>
    </row>
    <row r="85" spans="2:93" s="57" customFormat="1" ht="15" customHeight="1">
      <c r="B85" s="65" t="s">
        <v>41</v>
      </c>
      <c r="D85" s="14"/>
      <c r="E85" s="14"/>
      <c r="F85" s="66"/>
      <c r="M85" s="67"/>
      <c r="V85" s="67"/>
      <c r="Z85" s="67"/>
      <c r="AD85" s="67"/>
      <c r="AH85" s="67"/>
      <c r="AL85" s="67"/>
      <c r="AP85" s="67"/>
      <c r="AQ85" s="67"/>
      <c r="BP85" s="67"/>
      <c r="BT85" s="67"/>
      <c r="BX85" s="67"/>
      <c r="CB85" s="67"/>
      <c r="CF85" s="67"/>
      <c r="CJ85" s="67"/>
      <c r="CN85" s="67"/>
      <c r="CO85" s="14"/>
    </row>
    <row r="86" spans="2:93" s="67" customFormat="1" ht="15" customHeight="1">
      <c r="B86" s="68" t="s">
        <v>42</v>
      </c>
      <c r="C86" s="69" t="s">
        <v>43</v>
      </c>
      <c r="D86" s="70"/>
      <c r="E86" s="70"/>
      <c r="F86" s="69"/>
      <c r="J86" s="69" t="s">
        <v>19</v>
      </c>
      <c r="N86" s="67">
        <v>1</v>
      </c>
      <c r="CO86" s="69"/>
    </row>
    <row r="87" spans="2:93" s="67" customFormat="1" ht="15" customHeight="1">
      <c r="B87" s="68" t="s">
        <v>44</v>
      </c>
      <c r="C87" s="69" t="s">
        <v>45</v>
      </c>
      <c r="D87" s="70"/>
      <c r="E87" s="70"/>
      <c r="F87" s="69"/>
      <c r="J87" s="69" t="s">
        <v>20</v>
      </c>
      <c r="N87" s="67">
        <v>2</v>
      </c>
      <c r="CO87" s="69"/>
    </row>
    <row r="88" spans="2:93" s="67" customFormat="1" ht="15" customHeight="1">
      <c r="B88" s="68" t="s">
        <v>46</v>
      </c>
      <c r="C88" s="69" t="s">
        <v>47</v>
      </c>
      <c r="D88" s="70"/>
      <c r="E88" s="70"/>
      <c r="F88" s="69"/>
      <c r="J88" s="69" t="s">
        <v>21</v>
      </c>
      <c r="N88" s="67">
        <v>3</v>
      </c>
      <c r="CO88" s="69"/>
    </row>
    <row r="89" spans="2:93" s="67" customFormat="1" ht="15" customHeight="1">
      <c r="B89" s="68" t="s">
        <v>48</v>
      </c>
      <c r="C89" s="69" t="s">
        <v>49</v>
      </c>
      <c r="D89" s="70"/>
      <c r="E89" s="70"/>
      <c r="F89" s="69"/>
      <c r="J89" s="69" t="s">
        <v>22</v>
      </c>
      <c r="N89" s="67">
        <v>4</v>
      </c>
      <c r="CO89" s="69"/>
    </row>
    <row r="90" spans="2:93" s="67" customFormat="1" ht="15" customHeight="1">
      <c r="B90" s="68" t="s">
        <v>50</v>
      </c>
      <c r="C90" s="69" t="s">
        <v>51</v>
      </c>
      <c r="D90" s="70"/>
      <c r="E90" s="70"/>
      <c r="F90" s="69"/>
      <c r="J90" s="69" t="s">
        <v>23</v>
      </c>
      <c r="N90" s="67">
        <v>5</v>
      </c>
      <c r="CO90" s="68"/>
    </row>
    <row r="91" spans="2:93" s="67" customFormat="1" ht="15" customHeight="1">
      <c r="B91" s="68" t="s">
        <v>52</v>
      </c>
      <c r="C91" s="69" t="s">
        <v>53</v>
      </c>
      <c r="D91" s="70"/>
      <c r="E91" s="70"/>
      <c r="F91" s="69"/>
      <c r="I91" s="70"/>
      <c r="J91" s="69" t="s">
        <v>24</v>
      </c>
      <c r="L91" s="70"/>
      <c r="N91" s="67">
        <v>6</v>
      </c>
      <c r="U91" s="70"/>
      <c r="Y91" s="70"/>
      <c r="AC91" s="70"/>
      <c r="AG91" s="70"/>
      <c r="AK91" s="70"/>
      <c r="AO91" s="70"/>
      <c r="BS91" s="70"/>
      <c r="BW91" s="70"/>
      <c r="CA91" s="70"/>
      <c r="CE91" s="70"/>
      <c r="CI91" s="70"/>
      <c r="CM91" s="70"/>
    </row>
    <row r="92" spans="2:93" s="67" customFormat="1" ht="15" customHeight="1">
      <c r="B92" s="68" t="s">
        <v>54</v>
      </c>
      <c r="C92" s="69" t="s">
        <v>55</v>
      </c>
      <c r="D92" s="70"/>
      <c r="E92" s="70"/>
      <c r="F92" s="69"/>
      <c r="I92" s="70"/>
      <c r="J92" s="69" t="s">
        <v>25</v>
      </c>
      <c r="L92" s="70"/>
      <c r="N92" s="67">
        <v>7</v>
      </c>
      <c r="U92" s="70"/>
      <c r="Y92" s="70"/>
      <c r="AC92" s="70"/>
      <c r="AG92" s="70"/>
      <c r="AK92" s="70"/>
      <c r="AO92" s="70"/>
      <c r="BS92" s="70"/>
      <c r="BW92" s="70"/>
      <c r="CA92" s="70"/>
      <c r="CE92" s="70"/>
      <c r="CI92" s="70"/>
      <c r="CM92" s="70"/>
      <c r="CO92" s="69"/>
    </row>
    <row r="93" spans="2:93" s="67" customFormat="1" ht="15" customHeight="1">
      <c r="B93" s="68" t="s">
        <v>56</v>
      </c>
      <c r="C93" s="69" t="s">
        <v>57</v>
      </c>
      <c r="D93" s="70"/>
      <c r="E93" s="70"/>
      <c r="F93" s="69"/>
      <c r="I93" s="70"/>
      <c r="J93" s="69" t="s">
        <v>26</v>
      </c>
      <c r="L93" s="70"/>
      <c r="N93" s="67">
        <v>8</v>
      </c>
      <c r="U93" s="70"/>
      <c r="Y93" s="70"/>
      <c r="AC93" s="70"/>
      <c r="AG93" s="70"/>
      <c r="AK93" s="70"/>
      <c r="AO93" s="70"/>
      <c r="BS93" s="70"/>
      <c r="BW93" s="70"/>
      <c r="CA93" s="70"/>
      <c r="CE93" s="70"/>
      <c r="CI93" s="70"/>
      <c r="CM93" s="70"/>
      <c r="CO93" s="69"/>
    </row>
    <row r="94" spans="2:93" s="71" customFormat="1" ht="15" customHeight="1">
      <c r="B94" s="68" t="s">
        <v>58</v>
      </c>
      <c r="C94" s="69" t="s">
        <v>59</v>
      </c>
      <c r="D94" s="70"/>
      <c r="E94" s="70"/>
      <c r="F94" s="69"/>
      <c r="I94" s="70"/>
      <c r="J94" s="69" t="s">
        <v>27</v>
      </c>
      <c r="L94" s="70"/>
      <c r="M94" s="67"/>
      <c r="N94" s="67">
        <v>9</v>
      </c>
      <c r="U94" s="70"/>
      <c r="V94" s="67"/>
      <c r="Y94" s="70"/>
      <c r="Z94" s="67"/>
      <c r="AC94" s="70"/>
      <c r="AD94" s="67"/>
      <c r="AG94" s="70"/>
      <c r="AH94" s="67"/>
      <c r="AK94" s="70"/>
      <c r="AL94" s="67"/>
      <c r="AO94" s="70"/>
      <c r="AP94" s="67"/>
      <c r="AQ94" s="67"/>
      <c r="BP94" s="67"/>
      <c r="BS94" s="70"/>
      <c r="BT94" s="67"/>
      <c r="BW94" s="70"/>
      <c r="BX94" s="67"/>
      <c r="CA94" s="70"/>
      <c r="CB94" s="67"/>
      <c r="CE94" s="70"/>
      <c r="CF94" s="67"/>
      <c r="CI94" s="70"/>
      <c r="CJ94" s="67"/>
      <c r="CM94" s="70"/>
      <c r="CN94" s="67"/>
    </row>
    <row r="95" spans="2:93" s="72" customFormat="1" ht="15" customHeight="1">
      <c r="B95" s="68" t="s">
        <v>60</v>
      </c>
      <c r="C95" s="69" t="s">
        <v>61</v>
      </c>
      <c r="D95" s="70"/>
      <c r="E95" s="70"/>
      <c r="F95" s="69"/>
      <c r="I95" s="70"/>
      <c r="J95" s="69"/>
      <c r="L95" s="70"/>
      <c r="M95" s="67"/>
      <c r="N95" s="70"/>
      <c r="U95" s="70"/>
      <c r="V95" s="67"/>
      <c r="Y95" s="70"/>
      <c r="Z95" s="67"/>
      <c r="AC95" s="70"/>
      <c r="AD95" s="67"/>
      <c r="AG95" s="70"/>
      <c r="AH95" s="67"/>
      <c r="AK95" s="70"/>
      <c r="AL95" s="67"/>
      <c r="AO95" s="70"/>
      <c r="AP95" s="67"/>
      <c r="AQ95" s="67"/>
      <c r="BP95" s="67"/>
      <c r="BS95" s="70"/>
      <c r="BT95" s="67"/>
      <c r="BW95" s="70"/>
      <c r="BX95" s="67"/>
      <c r="CA95" s="70"/>
      <c r="CB95" s="67"/>
      <c r="CE95" s="70"/>
      <c r="CF95" s="67"/>
      <c r="CI95" s="70"/>
      <c r="CJ95" s="67"/>
      <c r="CM95" s="70"/>
      <c r="CN95" s="67"/>
      <c r="CO95" s="73"/>
    </row>
    <row r="96" spans="2:93" ht="10.199999999999999" customHeight="1">
      <c r="B96" s="68"/>
      <c r="C96" s="70"/>
      <c r="D96" s="70"/>
      <c r="E96" s="70"/>
      <c r="F96" s="70"/>
      <c r="I96" s="70"/>
      <c r="J96" s="67"/>
      <c r="L96" s="70"/>
      <c r="M96" s="69"/>
      <c r="N96" s="67"/>
      <c r="U96" s="70"/>
      <c r="V96" s="69"/>
      <c r="Y96" s="70"/>
      <c r="Z96" s="69"/>
      <c r="AC96" s="70"/>
      <c r="AD96" s="69"/>
      <c r="AG96" s="70"/>
      <c r="AH96" s="69"/>
      <c r="AK96" s="70"/>
      <c r="AL96" s="69"/>
      <c r="AO96" s="70"/>
      <c r="AP96" s="69"/>
      <c r="AQ96" s="69"/>
      <c r="BP96" s="69"/>
      <c r="BS96" s="70"/>
      <c r="BT96" s="69"/>
      <c r="BW96" s="70"/>
      <c r="BX96" s="69"/>
      <c r="CA96" s="70"/>
      <c r="CB96" s="69"/>
      <c r="CE96" s="70"/>
      <c r="CF96" s="69"/>
      <c r="CI96" s="70"/>
      <c r="CJ96" s="69"/>
      <c r="CM96" s="70"/>
      <c r="CN96" s="69"/>
    </row>
    <row r="97" spans="2:92">
      <c r="B97" s="65" t="s">
        <v>62</v>
      </c>
      <c r="D97" s="70"/>
      <c r="E97" s="70"/>
      <c r="F97" s="70"/>
      <c r="I97" s="70"/>
      <c r="J97" s="67"/>
      <c r="L97" s="70"/>
      <c r="M97" s="69"/>
      <c r="N97" s="67"/>
      <c r="U97" s="70"/>
      <c r="V97" s="69"/>
      <c r="Y97" s="70"/>
      <c r="Z97" s="69"/>
      <c r="AC97" s="70"/>
      <c r="AD97" s="69"/>
      <c r="AG97" s="70"/>
      <c r="AH97" s="69"/>
      <c r="AK97" s="70"/>
      <c r="AL97" s="69"/>
      <c r="AO97" s="70"/>
      <c r="AP97" s="69"/>
      <c r="AQ97" s="69"/>
      <c r="BP97" s="69"/>
      <c r="BS97" s="70"/>
      <c r="BT97" s="69"/>
      <c r="BW97" s="70"/>
      <c r="BX97" s="69"/>
      <c r="CA97" s="70"/>
      <c r="CB97" s="69"/>
      <c r="CE97" s="70"/>
      <c r="CF97" s="69"/>
      <c r="CI97" s="70"/>
      <c r="CJ97" s="69"/>
      <c r="CM97" s="70"/>
      <c r="CN97" s="69"/>
    </row>
    <row r="98" spans="2:92">
      <c r="B98" s="68" t="s">
        <v>42</v>
      </c>
      <c r="C98" s="74" t="s">
        <v>63</v>
      </c>
      <c r="D98" s="70"/>
      <c r="E98" s="70"/>
      <c r="F98" s="70"/>
      <c r="I98" s="70"/>
      <c r="J98" s="74" t="s">
        <v>28</v>
      </c>
      <c r="L98" s="70"/>
      <c r="M98" s="69"/>
      <c r="N98" s="67">
        <v>1</v>
      </c>
      <c r="U98" s="70"/>
      <c r="V98" s="69"/>
      <c r="Y98" s="70"/>
      <c r="Z98" s="69"/>
      <c r="AC98" s="70"/>
      <c r="AD98" s="69"/>
      <c r="AG98" s="70"/>
      <c r="AH98" s="69"/>
      <c r="AK98" s="70"/>
      <c r="AL98" s="69"/>
      <c r="AO98" s="70"/>
      <c r="AP98" s="69"/>
      <c r="AQ98" s="69"/>
      <c r="BP98" s="69"/>
      <c r="BS98" s="70"/>
      <c r="BT98" s="69"/>
      <c r="BW98" s="70"/>
      <c r="BX98" s="69"/>
      <c r="CA98" s="70"/>
      <c r="CB98" s="69"/>
      <c r="CE98" s="70"/>
      <c r="CF98" s="69"/>
      <c r="CI98" s="70"/>
      <c r="CJ98" s="69"/>
      <c r="CM98" s="70"/>
      <c r="CN98" s="69"/>
    </row>
    <row r="99" spans="2:92">
      <c r="B99" s="68" t="s">
        <v>44</v>
      </c>
      <c r="C99" s="74" t="s">
        <v>64</v>
      </c>
      <c r="D99" s="70"/>
      <c r="E99" s="70"/>
      <c r="F99" s="70"/>
      <c r="I99" s="67"/>
      <c r="J99" s="74" t="s">
        <v>29</v>
      </c>
      <c r="L99" s="67"/>
      <c r="M99" s="69"/>
      <c r="N99" s="67">
        <v>2</v>
      </c>
      <c r="U99" s="67"/>
      <c r="V99" s="69"/>
      <c r="Y99" s="67"/>
      <c r="Z99" s="69"/>
      <c r="AC99" s="67"/>
      <c r="AD99" s="69"/>
      <c r="AG99" s="67"/>
      <c r="AH99" s="69"/>
      <c r="AK99" s="67"/>
      <c r="AL99" s="69"/>
      <c r="AO99" s="67"/>
      <c r="AP99" s="69"/>
      <c r="AQ99" s="69"/>
      <c r="BP99" s="69"/>
      <c r="BS99" s="67"/>
      <c r="BT99" s="69"/>
      <c r="BW99" s="67"/>
      <c r="BX99" s="69"/>
      <c r="CA99" s="67"/>
      <c r="CB99" s="69"/>
      <c r="CE99" s="67"/>
      <c r="CF99" s="69"/>
      <c r="CI99" s="67"/>
      <c r="CJ99" s="69"/>
      <c r="CM99" s="67"/>
      <c r="CN99" s="69"/>
    </row>
    <row r="100" spans="2:92">
      <c r="B100" s="68" t="s">
        <v>46</v>
      </c>
      <c r="C100" s="74" t="s">
        <v>65</v>
      </c>
      <c r="D100" s="70"/>
      <c r="E100" s="75"/>
      <c r="F100" s="67"/>
      <c r="I100" s="76"/>
      <c r="J100" s="74" t="s">
        <v>30</v>
      </c>
      <c r="L100" s="76"/>
      <c r="M100" s="69"/>
      <c r="N100" s="67">
        <v>3</v>
      </c>
      <c r="U100" s="76"/>
      <c r="V100" s="69"/>
      <c r="Y100" s="76"/>
      <c r="Z100" s="69"/>
      <c r="AC100" s="76"/>
      <c r="AD100" s="69"/>
      <c r="AG100" s="76"/>
      <c r="AH100" s="69"/>
      <c r="AK100" s="76"/>
      <c r="AL100" s="69"/>
      <c r="AO100" s="76"/>
      <c r="AP100" s="69"/>
      <c r="AQ100" s="69"/>
      <c r="BP100" s="69"/>
      <c r="BS100" s="76"/>
      <c r="BT100" s="69"/>
      <c r="BW100" s="76"/>
      <c r="BX100" s="69"/>
      <c r="CA100" s="76"/>
      <c r="CB100" s="69"/>
      <c r="CE100" s="76"/>
      <c r="CF100" s="69"/>
      <c r="CI100" s="76"/>
      <c r="CJ100" s="69"/>
      <c r="CM100" s="76"/>
      <c r="CN100" s="69"/>
    </row>
    <row r="101" spans="2:92">
      <c r="B101" s="77" t="s">
        <v>66</v>
      </c>
      <c r="C101" s="74" t="s">
        <v>67</v>
      </c>
      <c r="J101" s="74" t="s">
        <v>31</v>
      </c>
      <c r="N101" s="67">
        <v>4</v>
      </c>
    </row>
    <row r="102" spans="2:92">
      <c r="B102" s="77" t="s">
        <v>50</v>
      </c>
      <c r="C102" s="74" t="s">
        <v>68</v>
      </c>
      <c r="J102" s="74" t="s">
        <v>32</v>
      </c>
      <c r="N102" s="67">
        <v>5</v>
      </c>
    </row>
    <row r="103" spans="2:92">
      <c r="B103" s="77" t="s">
        <v>52</v>
      </c>
      <c r="C103" s="74" t="s">
        <v>69</v>
      </c>
      <c r="J103" s="74" t="s">
        <v>33</v>
      </c>
      <c r="N103" s="67">
        <v>6</v>
      </c>
    </row>
    <row r="104" spans="2:92" ht="10.199999999999999" customHeight="1">
      <c r="B104" s="68"/>
      <c r="C104" s="70"/>
      <c r="D104" s="70"/>
      <c r="E104" s="70"/>
      <c r="F104" s="70"/>
      <c r="I104" s="70"/>
      <c r="J104" s="67"/>
      <c r="L104" s="70"/>
      <c r="M104" s="69"/>
      <c r="N104" s="67"/>
      <c r="U104" s="70"/>
      <c r="V104" s="69"/>
      <c r="Y104" s="70"/>
      <c r="Z104" s="69"/>
      <c r="AC104" s="70"/>
      <c r="AD104" s="69"/>
      <c r="AG104" s="70"/>
      <c r="AH104" s="69"/>
      <c r="AK104" s="70"/>
      <c r="AL104" s="69"/>
      <c r="AO104" s="70"/>
      <c r="AP104" s="69"/>
      <c r="AQ104" s="69"/>
      <c r="BP104" s="69"/>
      <c r="BS104" s="70"/>
      <c r="BT104" s="69"/>
      <c r="BW104" s="70"/>
      <c r="BX104" s="69"/>
      <c r="CA104" s="70"/>
      <c r="CB104" s="69"/>
      <c r="CE104" s="70"/>
      <c r="CF104" s="69"/>
      <c r="CI104" s="70"/>
      <c r="CJ104" s="69"/>
      <c r="CM104" s="70"/>
      <c r="CN104" s="69"/>
    </row>
    <row r="105" spans="2:92">
      <c r="B105" s="65" t="s">
        <v>70</v>
      </c>
      <c r="N105" s="67"/>
    </row>
    <row r="106" spans="2:92">
      <c r="B106" s="68" t="s">
        <v>42</v>
      </c>
      <c r="C106" s="78" t="s">
        <v>43</v>
      </c>
      <c r="J106" s="78" t="s">
        <v>34</v>
      </c>
      <c r="N106" s="67">
        <v>1</v>
      </c>
    </row>
    <row r="107" spans="2:92">
      <c r="B107" s="68" t="s">
        <v>44</v>
      </c>
      <c r="C107" s="78" t="s">
        <v>71</v>
      </c>
      <c r="J107" s="78" t="s">
        <v>35</v>
      </c>
      <c r="N107" s="67">
        <v>2</v>
      </c>
    </row>
    <row r="108" spans="2:92">
      <c r="B108" s="68" t="s">
        <v>46</v>
      </c>
      <c r="C108" s="78" t="s">
        <v>72</v>
      </c>
      <c r="J108" s="78" t="s">
        <v>36</v>
      </c>
      <c r="N108" s="67">
        <v>3</v>
      </c>
    </row>
    <row r="109" spans="2:92">
      <c r="B109" s="68" t="s">
        <v>48</v>
      </c>
      <c r="C109" s="78" t="s">
        <v>73</v>
      </c>
      <c r="J109" s="78" t="s">
        <v>25</v>
      </c>
      <c r="N109" s="67">
        <v>4</v>
      </c>
    </row>
    <row r="110" spans="2:92">
      <c r="B110" s="68" t="s">
        <v>50</v>
      </c>
      <c r="C110" s="78" t="s">
        <v>74</v>
      </c>
      <c r="J110" s="78" t="s">
        <v>26</v>
      </c>
      <c r="N110" s="67">
        <v>5</v>
      </c>
    </row>
    <row r="111" spans="2:92">
      <c r="B111" s="68" t="s">
        <v>52</v>
      </c>
      <c r="C111" s="78" t="s">
        <v>75</v>
      </c>
      <c r="J111" s="78" t="s">
        <v>37</v>
      </c>
      <c r="N111" s="67">
        <v>6</v>
      </c>
    </row>
    <row r="112" spans="2:92">
      <c r="B112" s="68" t="s">
        <v>54</v>
      </c>
      <c r="C112" s="78" t="s">
        <v>76</v>
      </c>
      <c r="G112" s="78"/>
      <c r="K112" s="78"/>
      <c r="W112" s="78"/>
      <c r="AA112" s="78"/>
      <c r="AE112" s="78"/>
      <c r="AI112" s="78"/>
      <c r="AM112" s="78"/>
    </row>
    <row r="113" spans="2:3">
      <c r="B113" s="68" t="s">
        <v>56</v>
      </c>
      <c r="C113" s="78" t="s">
        <v>77</v>
      </c>
    </row>
  </sheetData>
  <mergeCells count="7">
    <mergeCell ref="B18:F18"/>
    <mergeCell ref="G18:AP18"/>
    <mergeCell ref="AR18:BO18"/>
    <mergeCell ref="BQ18:CN18"/>
    <mergeCell ref="CO18:CO19"/>
    <mergeCell ref="B19:C19"/>
    <mergeCell ref="E19:F19"/>
  </mergeCells>
  <dataValidations count="4">
    <dataValidation type="list" allowBlank="1" showInputMessage="1" showErrorMessage="1" sqref="BQ21 BU21 BY21 CC21 CG21 CK21" xr:uid="{00000000-0002-0000-0800-000000000000}">
      <formula1>$J$106:$J$111</formula1>
    </dataValidation>
    <dataValidation type="list" allowBlank="1" showInputMessage="1" showErrorMessage="1" sqref="K21:K22 G21:G22 AE21:AE22 AI21:AI22 AM21:AM22 AA21:AA22 O21:O22 S21:S22 W21:W22" xr:uid="{00000000-0002-0000-0800-000001000000}">
      <formula1>$J$86:$J$94</formula1>
    </dataValidation>
    <dataValidation type="list" allowBlank="1" showInputMessage="1" showErrorMessage="1" sqref="AR21 AV21 AZ21 BD21 BH21 BL21" xr:uid="{00000000-0002-0000-0800-000002000000}">
      <formula1>$J$98:$J$103</formula1>
    </dataValidation>
    <dataValidation type="list" allowBlank="1" showInputMessage="1" showErrorMessage="1" sqref="AR22 BQ22 AV22 AZ22 BD22 BH22 BL22 BU22 BY22 CC22 CG22 CK22" xr:uid="{00000000-0002-0000-0800-000003000000}">
      <formula1>$C$86:$C$95</formula1>
    </dataValidation>
  </dataValidations>
  <printOptions horizontalCentered="1"/>
  <pageMargins left="0.47244094488188981" right="0.27559055118110237" top="0.47244094488188981" bottom="0.19685039370078741" header="0.31496062992125984" footer="0.31496062992125984"/>
  <pageSetup paperSize="9" scale="41" orientation="landscape" horizontalDpi="4294967293" r:id="rId1"/>
  <colBreaks count="2" manualBreakCount="2">
    <brk id="42" max="81" man="1"/>
    <brk id="67" max="8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Link List</vt:lpstr>
      <vt:lpstr>1. Rekap Back Up Aspal</vt:lpstr>
      <vt:lpstr>1. Back Up Aspal</vt:lpstr>
      <vt:lpstr>2. Rekap Back Up Beton</vt:lpstr>
      <vt:lpstr>2. Back Up Beton</vt:lpstr>
      <vt:lpstr>3. Rekap Back Up Non Aspal </vt:lpstr>
      <vt:lpstr>3. Back Up Non Aspal</vt:lpstr>
      <vt:lpstr>NOTE</vt:lpstr>
      <vt:lpstr>Back Up Rekap</vt:lpstr>
      <vt:lpstr>'1. Back Up Aspal'!Print_Area</vt:lpstr>
      <vt:lpstr>'1. Rekap Back Up Aspal'!Print_Area</vt:lpstr>
      <vt:lpstr>'2. Back Up Beton'!Print_Area</vt:lpstr>
      <vt:lpstr>'2. Rekap Back Up Beton'!Print_Area</vt:lpstr>
      <vt:lpstr>'3. Back Up Non Aspal'!Print_Area</vt:lpstr>
      <vt:lpstr>'3. Rekap Back Up Non Aspal '!Print_Area</vt:lpstr>
      <vt:lpstr>'Back Up Rekap'!Print_Area</vt:lpstr>
      <vt:lpstr>NOTE!Print_Area</vt:lpstr>
      <vt:lpstr>'1. Back Up Aspal'!Print_Titles</vt:lpstr>
      <vt:lpstr>'1. Rekap Back Up Aspal'!Print_Titles</vt:lpstr>
      <vt:lpstr>'2. Back Up Beton'!Print_Titles</vt:lpstr>
      <vt:lpstr>'2. Rekap Back Up Beton'!Print_Titles</vt:lpstr>
      <vt:lpstr>'3. Back Up Non Aspal'!Print_Titles</vt:lpstr>
      <vt:lpstr>'3. Rekap Back Up Non Aspal '!Print_Titles</vt:lpstr>
      <vt:lpstr>NOTE!Print_Titles</vt:lpstr>
      <vt:lpstr>QTemp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2025-08-04T05:13:34Z</cp:lastPrinted>
  <dcterms:created xsi:type="dcterms:W3CDTF">2024-12-02T02:28:04Z</dcterms:created>
  <dcterms:modified xsi:type="dcterms:W3CDTF">2025-12-09T03:18:56Z</dcterms:modified>
</cp:coreProperties>
</file>