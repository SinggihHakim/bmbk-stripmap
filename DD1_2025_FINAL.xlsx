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ondisi Ja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<sst xmlns="http://schemas.openxmlformats.org/spreadsheetml/2006/main" count="291" uniqueCount="261">
  <si>
    <t xml:space="preserve">DAFTAR KONDISI JALAN PROVINSI LAMPUNG</t>
  </si>
  <si>
    <t xml:space="preserve">HASIL SURVEY RUAS JALAN STATUS PROVINSI BULAN DESEMBER TAHUN 2025</t>
  </si>
  <si>
    <t xml:space="preserve">NO</t>
  </si>
  <si>
    <t xml:space="preserve">NOMOR RUAS</t>
  </si>
  <si>
    <t xml:space="preserve">NAMA RUAS</t>
  </si>
  <si>
    <t xml:space="preserve">PANJANG RUAS (KM)</t>
  </si>
  <si>
    <t xml:space="preserve">PANJANG TIAP JENIS PERMUKAAN (KM)</t>
  </si>
  <si>
    <t xml:space="preserve">PANJANG TIAP KONDISI (KM)</t>
  </si>
  <si>
    <t xml:space="preserve">KEMANTAPAN</t>
  </si>
  <si>
    <t xml:space="preserve">KET</t>
  </si>
  <si>
    <t xml:space="preserve">LINK</t>
  </si>
  <si>
    <t xml:space="preserve">SUB LINK</t>
  </si>
  <si>
    <t xml:space="preserve">ASPAL/
PENETRASI
MACADAM</t>
  </si>
  <si>
    <t xml:space="preserve">PERKERASAN
BETON</t>
  </si>
  <si>
    <t xml:space="preserve">TELFORD/
KERIKIL</t>
  </si>
  <si>
    <t xml:space="preserve">TANAH/
BELUM
TEMBUS</t>
  </si>
  <si>
    <t xml:space="preserve">BAIK</t>
  </si>
  <si>
    <t xml:space="preserve">SEDANG</t>
  </si>
  <si>
    <t xml:space="preserve">RUSAK
RINGAN</t>
  </si>
  <si>
    <t xml:space="preserve">RUSAK
BERAT</t>
  </si>
  <si>
    <t xml:space="preserve">Mantap (%)</t>
  </si>
  <si>
    <t xml:space="preserve">Tidak Mantap (%)</t>
  </si>
  <si>
    <t xml:space="preserve">1</t>
  </si>
  <si>
    <t xml:space="preserve">2A</t>
  </si>
  <si>
    <t xml:space="preserve">2B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</si>
  <si>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</si>
  <si>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</si>
  <si>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</si>
  <si>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</si>
  <si>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</si>
  <si>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</si>
  <si>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</si>
  <si>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</si>
  <si>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</si>
  <si>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</si>
  <si>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</si>
  <si>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</si>
  <si>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</si>
  <si>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KOTA BANDAR LAMPUNG</t>
  </si>
  <si>
    <t xml:space="preserve">012</t>
  </si>
  <si>
    <t xml:space="preserve">11K</t>
  </si>
  <si>
    <t xml:space="preserve">JALAN MAYJEN. H.M. RYACUDU (BANDAR LAMPUNG)</t>
  </si>
  <si>
    <t xml:space="preserve">041</t>
  </si>
  <si>
    <t xml:space="preserve">JALAN TENGGIRI (BANDAR LAMPUNG)</t>
  </si>
  <si>
    <t xml:space="preserve">12K</t>
  </si>
  <si>
    <t xml:space="preserve">JALAN R.E. MARTADINATA (BANDAR LAMPUNG)</t>
  </si>
  <si>
    <t xml:space="preserve">SUB TOTAL</t>
  </si>
  <si>
    <t xml:space="preserve">KABUPATEN PRINGSEWU</t>
  </si>
  <si>
    <t xml:space="preserve">033</t>
  </si>
  <si>
    <t xml:space="preserve">KALIREJO - PRINGSEWU</t>
  </si>
  <si>
    <t xml:space="preserve">034</t>
  </si>
  <si>
    <t xml:space="preserve">PRINGSEWU - PARDASUKA</t>
  </si>
  <si>
    <t xml:space="preserve">035</t>
  </si>
  <si>
    <t xml:space="preserve">PARDASUKA - SUKAMARA</t>
  </si>
  <si>
    <t xml:space="preserve">KABUPATEN PESAWARAN</t>
  </si>
  <si>
    <t xml:space="preserve">037</t>
  </si>
  <si>
    <t xml:space="preserve">BRANTI - GEDONG TATAAN</t>
  </si>
  <si>
    <t xml:space="preserve">038</t>
  </si>
  <si>
    <t xml:space="preserve">GEDONG TATAAN - KEDONDONG</t>
  </si>
  <si>
    <t xml:space="preserve">039</t>
  </si>
  <si>
    <t xml:space="preserve">KEDONDONG - PARDASUKA</t>
  </si>
  <si>
    <t xml:space="preserve">040</t>
  </si>
  <si>
    <t xml:space="preserve">PADANG CERMIN - KEDONDONG</t>
  </si>
  <si>
    <t xml:space="preserve">042</t>
  </si>
  <si>
    <t xml:space="preserve">LEMPASING - PADANG CERMIN</t>
  </si>
  <si>
    <t xml:space="preserve">043</t>
  </si>
  <si>
    <t xml:space="preserve">PADANG CERMIN - SP TELUK KILUAN</t>
  </si>
  <si>
    <t xml:space="preserve">KABUPATEN LAMPUNG SELATAN</t>
  </si>
  <si>
    <t xml:space="preserve">001</t>
  </si>
  <si>
    <t xml:space="preserve">JALAN ZAINAL ABIDIN PAGARALAM (KALIANDA)</t>
  </si>
  <si>
    <t xml:space="preserve">002</t>
  </si>
  <si>
    <t xml:space="preserve">KALIANDA - KUNYIR - GAYAM</t>
  </si>
  <si>
    <t xml:space="preserve">003</t>
  </si>
  <si>
    <t xml:space="preserve">GAYAM - KETAPANG</t>
  </si>
  <si>
    <t xml:space="preserve">004</t>
  </si>
  <si>
    <t xml:space="preserve">SP. SIDOMULYO - BELIMBING SARI</t>
  </si>
  <si>
    <t xml:space="preserve">013</t>
  </si>
  <si>
    <t xml:space="preserve">SP. KORPRI - SUKADAMAI</t>
  </si>
  <si>
    <t xml:space="preserve">016</t>
  </si>
  <si>
    <t xml:space="preserve">SP. KORPRI - PURWOTANI</t>
  </si>
  <si>
    <t xml:space="preserve">KABUPATEN LAMPUNG TIMUR</t>
  </si>
  <si>
    <t xml:space="preserve">005</t>
  </si>
  <si>
    <t xml:space="preserve">BELIMBING SARI - JABUNG</t>
  </si>
  <si>
    <t xml:space="preserve">006</t>
  </si>
  <si>
    <t xml:space="preserve">JABUNG - SP. LABUHAN MARINGGAI</t>
  </si>
  <si>
    <t xml:space="preserve">008</t>
  </si>
  <si>
    <t xml:space="preserve">METRO - TANJUNG KARI</t>
  </si>
  <si>
    <t xml:space="preserve">009</t>
  </si>
  <si>
    <t xml:space="preserve">NYAMPIR - TANJUNG KARI</t>
  </si>
  <si>
    <t xml:space="preserve">010</t>
  </si>
  <si>
    <t xml:space="preserve">TANJUNG KARI - PUGUNG RAHARJO</t>
  </si>
  <si>
    <t xml:space="preserve">011</t>
  </si>
  <si>
    <t xml:space="preserve">PUGUNG RAHARJO - JABUNG</t>
  </si>
  <si>
    <t xml:space="preserve">014</t>
  </si>
  <si>
    <t xml:space="preserve">SUKADAMAI - KIBANG</t>
  </si>
  <si>
    <t xml:space="preserve">024</t>
  </si>
  <si>
    <t xml:space="preserve">KOTA GAJAH - GEDONG DALEM</t>
  </si>
  <si>
    <t xml:space="preserve">KABUPATEN LAMPUNG TENGAH</t>
  </si>
  <si>
    <t xml:space="preserve">018</t>
  </si>
  <si>
    <t xml:space="preserve">METRO - KOTA GAJAH</t>
  </si>
  <si>
    <t xml:space="preserve">019</t>
  </si>
  <si>
    <t xml:space="preserve">KOTA GAJAH - SP. RANDU</t>
  </si>
  <si>
    <t xml:space="preserve">020</t>
  </si>
  <si>
    <t xml:space="preserve">SP. RANDU - SEPUTIH SURABAYA</t>
  </si>
  <si>
    <t xml:space="preserve">021</t>
  </si>
  <si>
    <t xml:space="preserve">SEPUTIH SURABAYA - SADEWA</t>
  </si>
  <si>
    <t xml:space="preserve">022</t>
  </si>
  <si>
    <t xml:space="preserve">BANDAR JAYA - SP. MANDALA</t>
  </si>
  <si>
    <t xml:space="preserve">023</t>
  </si>
  <si>
    <t xml:space="preserve">GUNUNG SUGIH - KOTA GAJAH</t>
  </si>
  <si>
    <t xml:space="preserve">025</t>
  </si>
  <si>
    <t xml:space="preserve">KALIREJO - BANGUNREJO</t>
  </si>
  <si>
    <t xml:space="preserve">026</t>
  </si>
  <si>
    <t xml:space="preserve">BANGUNREJO - WATES</t>
  </si>
  <si>
    <t xml:space="preserve">027</t>
  </si>
  <si>
    <t xml:space="preserve">WATES - METRO</t>
  </si>
  <si>
    <t xml:space="preserve">029</t>
  </si>
  <si>
    <t xml:space="preserve">GUNUNG SUGIH - PADANG RATU</t>
  </si>
  <si>
    <t xml:space="preserve">030</t>
  </si>
  <si>
    <t xml:space="preserve">PADANG RATU - PEKURUN UDIK</t>
  </si>
  <si>
    <t xml:space="preserve">032</t>
  </si>
  <si>
    <t xml:space="preserve">PADANG RATU - KALIREJO</t>
  </si>
  <si>
    <t xml:space="preserve">KOTA METRO</t>
  </si>
  <si>
    <t xml:space="preserve">007</t>
  </si>
  <si>
    <t xml:space="preserve">JALAN AHMAD YANI (METRO)</t>
  </si>
  <si>
    <t xml:space="preserve">015</t>
  </si>
  <si>
    <t xml:space="preserve">JALAN BUDI UTOMO (METRO)</t>
  </si>
  <si>
    <t xml:space="preserve">JALAN SOEKARNO HATTA (METRO)</t>
  </si>
  <si>
    <t xml:space="preserve">017</t>
  </si>
  <si>
    <t xml:space="preserve">JALAN VETERAN (METRO)</t>
  </si>
  <si>
    <t xml:space="preserve">JALAN PATTIMURA (METRO)</t>
  </si>
  <si>
    <t xml:space="preserve">028</t>
  </si>
  <si>
    <t xml:space="preserve">JALAN BRIGJEN. KATAMSO (METRO)</t>
  </si>
  <si>
    <t xml:space="preserve">KABUPATEN LAMPUNG UTARA</t>
  </si>
  <si>
    <t xml:space="preserve">031</t>
  </si>
  <si>
    <t xml:space="preserve">PEKURUN UDIK - AJI KAGUNGAN</t>
  </si>
  <si>
    <t xml:space="preserve">061</t>
  </si>
  <si>
    <t xml:space="preserve">TAMAN SISWA - RAJA ASLI</t>
  </si>
  <si>
    <t xml:space="preserve">062</t>
  </si>
  <si>
    <t xml:space="preserve">KOTA BUMI - BANDAR ABUNG</t>
  </si>
  <si>
    <t xml:space="preserve">063</t>
  </si>
  <si>
    <t xml:space="preserve">BANDAR ABUNG - BANDAR SAKTI</t>
  </si>
  <si>
    <t xml:space="preserve">066</t>
  </si>
  <si>
    <t xml:space="preserve">BANDAR ABUNG - SP. TUJOK</t>
  </si>
  <si>
    <t xml:space="preserve">067</t>
  </si>
  <si>
    <t xml:space="preserve">NEGARA RATU - SP. TUJOK</t>
  </si>
  <si>
    <t xml:space="preserve">070</t>
  </si>
  <si>
    <t xml:space="preserve">KOTA BUMI - KETAPANG</t>
  </si>
  <si>
    <t xml:space="preserve">071</t>
  </si>
  <si>
    <t xml:space="preserve">KETAPANG - NEGARA RATU</t>
  </si>
  <si>
    <t xml:space="preserve">072</t>
  </si>
  <si>
    <t xml:space="preserve">NEGARA RATU - GUNUNG BETUAH</t>
  </si>
  <si>
    <t xml:space="preserve">081</t>
  </si>
  <si>
    <t xml:space="preserve">NEGARA RATU - SP. SOPONYONO</t>
  </si>
  <si>
    <t xml:space="preserve">KABUPATEN WAY KANAN</t>
  </si>
  <si>
    <t xml:space="preserve">073</t>
  </si>
  <si>
    <t xml:space="preserve">GUNUNG BETUAH - GN LABUAN</t>
  </si>
  <si>
    <t xml:space="preserve">074</t>
  </si>
  <si>
    <t xml:space="preserve">SP. EMPAT - KASUI</t>
  </si>
  <si>
    <t xml:space="preserve">075</t>
  </si>
  <si>
    <t xml:space="preserve">KASUI - AI RINGKIH (BTS SUMATERA SELATAN)</t>
  </si>
  <si>
    <t xml:space="preserve">076</t>
  </si>
  <si>
    <t xml:space="preserve">SP. EMPAT - BLAMBANGAN UMPU</t>
  </si>
  <si>
    <t xml:space="preserve">077</t>
  </si>
  <si>
    <t xml:space="preserve">BLAMBANGAN UMPU - SRI REJEKI</t>
  </si>
  <si>
    <t xml:space="preserve">078</t>
  </si>
  <si>
    <t xml:space="preserve">SRI REJEKI - PAKUAN RATU</t>
  </si>
  <si>
    <t xml:space="preserve">079</t>
  </si>
  <si>
    <t xml:space="preserve">PAKUAN RATU - BUMIHARJO</t>
  </si>
  <si>
    <t xml:space="preserve">080</t>
  </si>
  <si>
    <t xml:space="preserve">BUMIHARJO - SP. WAY TUBA</t>
  </si>
  <si>
    <t xml:space="preserve">082</t>
  </si>
  <si>
    <t xml:space="preserve">SP. SOPONYONO - SERUPA INDAH</t>
  </si>
  <si>
    <t xml:space="preserve">083</t>
  </si>
  <si>
    <t xml:space="preserve">SERUPA INDAH - PAKUAN RATU</t>
  </si>
  <si>
    <t xml:space="preserve">084</t>
  </si>
  <si>
    <t xml:space="preserve">SERUPA INDAH - TAJAB</t>
  </si>
  <si>
    <t xml:space="preserve">088</t>
  </si>
  <si>
    <t xml:space="preserve">TEGAL MUKTI - TAJAB</t>
  </si>
  <si>
    <t xml:space="preserve">089</t>
  </si>
  <si>
    <t xml:space="preserve">TAJAB - ADIJAYA</t>
  </si>
  <si>
    <t xml:space="preserve">KABUPATEN TANGGAMUS</t>
  </si>
  <si>
    <t xml:space="preserve">036</t>
  </si>
  <si>
    <t xml:space="preserve">SUKAMARA - KURIPAN</t>
  </si>
  <si>
    <t xml:space="preserve">044</t>
  </si>
  <si>
    <t xml:space="preserve">SP TELUK KILUAN - SP. UMBAR</t>
  </si>
  <si>
    <t xml:space="preserve">045</t>
  </si>
  <si>
    <t xml:space="preserve">SP. UMBAR - PUTIH DOH</t>
  </si>
  <si>
    <t xml:space="preserve">046</t>
  </si>
  <si>
    <t xml:space="preserve">PUTIH DOH - KURIPAN</t>
  </si>
  <si>
    <t xml:space="preserve">047</t>
  </si>
  <si>
    <t xml:space="preserve">KURIPAN - SP. KOTA AGUNG</t>
  </si>
  <si>
    <t xml:space="preserve">050</t>
  </si>
  <si>
    <t xml:space="preserve">SP. BLOK 9 - SANGGI</t>
  </si>
  <si>
    <t xml:space="preserve">056</t>
  </si>
  <si>
    <t xml:space="preserve">TALANG PADANG - NGARIP</t>
  </si>
  <si>
    <t xml:space="preserve">057</t>
  </si>
  <si>
    <t xml:space="preserve">NGARIP - ULU SEMONG</t>
  </si>
  <si>
    <t xml:space="preserve">058</t>
  </si>
  <si>
    <t xml:space="preserve">ULU SEMONG - SP. TRIMULYO</t>
  </si>
  <si>
    <t xml:space="preserve">060</t>
  </si>
  <si>
    <t xml:space="preserve">TEKAD - BATUTEGI</t>
  </si>
  <si>
    <t xml:space="preserve">KABUPATEN LAMPUNG BARAT</t>
  </si>
  <si>
    <t xml:space="preserve">048</t>
  </si>
  <si>
    <t xml:space="preserve">PEKON BALAK - SUOH</t>
  </si>
  <si>
    <t xml:space="preserve">049</t>
  </si>
  <si>
    <t xml:space="preserve">SUOH - SP. BLOK 9</t>
  </si>
  <si>
    <t xml:space="preserve">051</t>
  </si>
  <si>
    <t xml:space="preserve">JALAN RADEN INTAN (LIWA)</t>
  </si>
  <si>
    <t xml:space="preserve">052</t>
  </si>
  <si>
    <t xml:space="preserve">LIWA - BTS. SUMATERA SELATAN</t>
  </si>
  <si>
    <t xml:space="preserve">059</t>
  </si>
  <si>
    <t xml:space="preserve">SP. TRIMULYO - BUNGIN - SP. TUGU SARI</t>
  </si>
  <si>
    <t xml:space="preserve">KABUPATEN PESISIR BARAT</t>
  </si>
  <si>
    <t xml:space="preserve">053</t>
  </si>
  <si>
    <t xml:space="preserve">JALAN ADAM MALIK (KRUI)</t>
  </si>
  <si>
    <t xml:space="preserve">054</t>
  </si>
  <si>
    <t xml:space="preserve">KRUI - PEKON SERAI</t>
  </si>
  <si>
    <t xml:space="preserve">055</t>
  </si>
  <si>
    <t xml:space="preserve">KOTAJAWA - KAMPUNG BARU</t>
  </si>
  <si>
    <t xml:space="preserve">KABUPATEN TULANG BAWANG</t>
  </si>
  <si>
    <t xml:space="preserve">085</t>
  </si>
  <si>
    <t xml:space="preserve">JALAN RAYA GUNUNG SAKTI (MENGGALA)</t>
  </si>
  <si>
    <t xml:space="preserve">086</t>
  </si>
  <si>
    <t xml:space="preserve">BUJUNG TENUK - PENUMANGAN</t>
  </si>
  <si>
    <t xml:space="preserve">092</t>
  </si>
  <si>
    <t xml:space="preserve">SP. UNIT VIII - GEDONG AJI</t>
  </si>
  <si>
    <t xml:space="preserve">093</t>
  </si>
  <si>
    <t xml:space="preserve">GEDONG AJI - UMBUL MESIR</t>
  </si>
  <si>
    <t xml:space="preserve">KABUPATEN TULANG BAWANG BARAT</t>
  </si>
  <si>
    <t xml:space="preserve">064</t>
  </si>
  <si>
    <t xml:space="preserve">BANDAR SAKTI - SP. DAYA MURNI</t>
  </si>
  <si>
    <t xml:space="preserve">065</t>
  </si>
  <si>
    <t xml:space="preserve">SP. DAYA MURNI - GUNUNG BATIN</t>
  </si>
  <si>
    <t xml:space="preserve">068</t>
  </si>
  <si>
    <t xml:space="preserve">SP. TUJOK - PANARAGAN JAYA</t>
  </si>
  <si>
    <t xml:space="preserve">069</t>
  </si>
  <si>
    <t xml:space="preserve">PANARAGAN JAYA - SP. PANARAGAN</t>
  </si>
  <si>
    <t xml:space="preserve">087</t>
  </si>
  <si>
    <t xml:space="preserve">PENUMANGAN - TEGAL MUKTI</t>
  </si>
  <si>
    <t xml:space="preserve">090</t>
  </si>
  <si>
    <t xml:space="preserve">ADIJAYA - TULUNG RANDU</t>
  </si>
  <si>
    <t xml:space="preserve">091</t>
  </si>
  <si>
    <t xml:space="preserve">PENUMANGAN - UNIT VI</t>
  </si>
  <si>
    <t xml:space="preserve">KABUPATEN MESUJI</t>
  </si>
  <si>
    <t xml:space="preserve">094</t>
  </si>
  <si>
    <t xml:space="preserve">SP. PEMATANG - BRABASAN</t>
  </si>
  <si>
    <t xml:space="preserve">095</t>
  </si>
  <si>
    <t xml:space="preserve">BRABASAN - WIRALAGA</t>
  </si>
  <si>
    <t xml:space="preserve">TOTAL</t>
  </si>
  <si>
    <t xml:space="preserve">KONDISI JALAN</t>
  </si>
  <si>
    <t xml:space="preserve">%</t>
  </si>
  <si>
    <t xml:space="preserve">RUSAK RINGAN</t>
  </si>
  <si>
    <t xml:space="preserve">RUSAK BERAT</t>
  </si>
  <si>
    <t xml:space="preserve">MANTAP</t>
  </si>
  <si>
    <t xml:space="preserve">TIDAK MANTAP</t>
  </si>
  <si>
    <t xml:space="preserve">Bandar Lampung, 16 Desember 2025</t>
  </si>
  <si>
    <t xml:space="preserve">KEPALA DINAS,</t>
  </si>
  <si>
    <t xml:space="preserve">Ir. M. TAUFIQULLAH, S.T., M.T.</t>
  </si>
  <si>
    <t xml:space="preserve">Pembina Utama Muda (IV/c)</t>
  </si>
  <si>
    <t xml:space="preserve">NIP. 19721120 200212 1 004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</si>
</sst>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\-#,##0.000;\-"/>
    <numFmt numFmtId="166" formatCode="#,##0.00;\-#,##0.00;\-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b val="true"/>
      <u val="singl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C6E0B4"/>
      </patternFill>
    </fill>
    <fill>
      <patternFill patternType="solid">
        <fgColor rgb="FFC6E0B4"/>
        <bgColor rgb="FFBDD7EE"/>
      </patternFill>
    </fill>
    <fill>
      <patternFill patternType="solid">
        <fgColor rgb="FFFFF2CC"/>
        <bgColor rgb="FFFFFFFF"/>
      </patternFill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7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7" min="6" style="0" width="11"/>
    <col collapsed="false" customWidth="true" hidden="false" outlineLevel="0" max="9" min="8" style="0" width="10"/>
    <col collapsed="false" customWidth="true" hidden="false" outlineLevel="0" max="11" min="10" style="0" width="9"/>
    <col collapsed="false" customWidth="true" hidden="false" outlineLevel="0" max="14" min="12" style="0" width="10"/>
    <col collapsed="false" customWidth="true" hidden="false" outlineLevel="0" max="15" min="15" style="0" width="11"/>
    <col collapsed="false" customWidth="true" hidden="false" outlineLevel="0" max="16" min="16" style="0" width="7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tru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4" customFormat="false" ht="15" hidden="false" customHeight="true" outlineLevel="0" collapsed="false">
      <c r="A4" s="2" t="s">
        <v>2</v>
      </c>
      <c r="B4" s="2" t="s">
        <v>3</v>
      </c>
      <c r="C4" s="2"/>
      <c r="D4" s="2" t="s">
        <v>4</v>
      </c>
      <c r="E4" s="2" t="s">
        <v>5</v>
      </c>
      <c r="F4" s="2" t="s">
        <v>6</v>
      </c>
      <c r="G4" s="2"/>
      <c r="H4" s="2"/>
      <c r="I4" s="2"/>
      <c r="J4" s="2" t="s">
        <v>7</v>
      </c>
      <c r="K4" s="2"/>
      <c r="L4" s="2"/>
      <c r="M4" s="2"/>
      <c r="N4" s="2" t="s">
        <v>8</v>
      </c>
      <c r="O4" s="2"/>
      <c r="P4" s="2" t="s">
        <v>9</v>
      </c>
    </row>
    <row r="5" customFormat="false" ht="32.8" hidden="false" customHeight="false" outlineLevel="0" collapsed="false">
      <c r="A5" s="2"/>
      <c r="B5" s="2" t="s">
        <v>10</v>
      </c>
      <c r="C5" s="2" t="s">
        <v>11</v>
      </c>
      <c r="D5" s="2"/>
      <c r="E5" s="2"/>
      <c r="F5" s="2" t="s">
        <v>12</v>
      </c>
      <c r="G5" s="2" t="s">
        <v>13</v>
      </c>
      <c r="H5" s="2" t="s">
        <v>14</v>
      </c>
      <c r="I5" s="2" t="s">
        <v>15</v>
      </c>
      <c r="J5" s="2" t="s">
        <v>16</v>
      </c>
      <c r="K5" s="2" t="s">
        <v>17</v>
      </c>
      <c r="L5" s="2" t="s">
        <v>18</v>
      </c>
      <c r="M5" s="2" t="s">
        <v>19</v>
      </c>
      <c r="N5" s="2" t="s">
        <v>20</v>
      </c>
      <c r="O5" s="2" t="s">
        <v>21</v>
      </c>
      <c r="P5" s="2"/>
    </row>
    <row r="6" customFormat="false" ht="15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37</v>
      </c>
    </row>
    <row r="7" customFormat="false" ht="15" hidden="false" customHeight="true" outlineLevel="0" collapsed="false">
      <c r="A7" s="3" t="s">
        <v>38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22.35" hidden="false" customHeight="false" outlineLevel="0" collapsed="false">
      <c r="A8" s="4" t="n">
        <v>1</v>
      </c>
      <c r="B8" s="4" t="s">
        <v>39</v>
      </c>
      <c r="C8" s="4" t="s">
        <v>40</v>
      </c>
      <c r="D8" s="5" t="s">
        <v>41</v>
      </c>
      <c r="E8" s="6" t="n">
        <v>3.315</v>
      </c>
      <c r="F8" s="6" t="n">
        <v>0</v>
      </c>
      <c r="G8" s="6" t="n">
        <v>3.315</v>
      </c>
      <c r="H8" s="6" t="n">
        <v>0</v>
      </c>
      <c r="I8" s="6" t="n">
        <v>0</v>
      </c>
      <c r="J8" s="6" t="n">
        <v>3.315</v>
      </c>
      <c r="K8" s="6" t="n">
        <v>0</v>
      </c>
      <c r="L8" s="6" t="n">
        <v>0</v>
      </c>
      <c r="M8" s="6" t="n">
        <v>0</v>
      </c>
      <c r="N8" s="7" t="n">
        <f aca="false">IF(E8=0,0,(J8+K8)/E8*100)</f>
        <v>100</v>
      </c>
      <c r="O8" s="7" t="n">
        <f aca="false">IF(E8=0,0,(L8+M8)/E8*100)</f>
        <v>0</v>
      </c>
      <c r="P8" s="8"/>
    </row>
    <row r="9" customFormat="false" ht="15" hidden="false" customHeight="false" outlineLevel="0" collapsed="false">
      <c r="A9" s="4" t="n">
        <v>2</v>
      </c>
      <c r="B9" s="4" t="s">
        <v>42</v>
      </c>
      <c r="C9" s="4" t="s">
        <v>40</v>
      </c>
      <c r="D9" s="5" t="s">
        <v>43</v>
      </c>
      <c r="E9" s="6" t="n">
        <v>0.191</v>
      </c>
      <c r="F9" s="6" t="n">
        <v>0.191</v>
      </c>
      <c r="G9" s="6" t="n">
        <v>0</v>
      </c>
      <c r="H9" s="6" t="n">
        <v>0</v>
      </c>
      <c r="I9" s="6" t="n">
        <v>0</v>
      </c>
      <c r="J9" s="6" t="n">
        <v>0.191</v>
      </c>
      <c r="K9" s="6" t="n">
        <v>0</v>
      </c>
      <c r="L9" s="6" t="n">
        <v>0</v>
      </c>
      <c r="M9" s="6" t="n">
        <v>0</v>
      </c>
      <c r="N9" s="7" t="n">
        <f aca="false">IF(E9=0,0,(J9+K9)/E9*100)</f>
        <v>100</v>
      </c>
      <c r="O9" s="7" t="n">
        <f aca="false">IF(E9=0,0,(L9+M9)/E9*100)</f>
        <v>0</v>
      </c>
      <c r="P9" s="8"/>
    </row>
    <row r="10" customFormat="false" ht="15" hidden="false" customHeight="false" outlineLevel="0" collapsed="false">
      <c r="A10" s="4" t="n">
        <v>3</v>
      </c>
      <c r="B10" s="4" t="s">
        <v>42</v>
      </c>
      <c r="C10" s="4" t="s">
        <v>44</v>
      </c>
      <c r="D10" s="5" t="s">
        <v>45</v>
      </c>
      <c r="E10" s="6" t="n">
        <v>5.873</v>
      </c>
      <c r="F10" s="6" t="n">
        <v>5.873</v>
      </c>
      <c r="G10" s="6" t="n">
        <v>0</v>
      </c>
      <c r="H10" s="6" t="n">
        <v>0</v>
      </c>
      <c r="I10" s="6" t="n">
        <v>0</v>
      </c>
      <c r="J10" s="6" t="n">
        <v>5.873</v>
      </c>
      <c r="K10" s="6" t="n">
        <v>0</v>
      </c>
      <c r="L10" s="6" t="n">
        <v>0</v>
      </c>
      <c r="M10" s="6" t="n">
        <v>0</v>
      </c>
      <c r="N10" s="7" t="n">
        <f aca="false">IF(E10=0,0,(J10+K10)/E10*100)</f>
        <v>100</v>
      </c>
      <c r="O10" s="7" t="n">
        <f aca="false">IF(E10=0,0,(L10+M10)/E10*100)</f>
        <v>0</v>
      </c>
      <c r="P10" s="8"/>
    </row>
    <row r="11" customFormat="false" ht="15" hidden="false" customHeight="true" outlineLevel="0" collapsed="false">
      <c r="A11" s="9" t="s">
        <v>46</v>
      </c>
      <c r="B11" s="9"/>
      <c r="C11" s="9"/>
      <c r="D11" s="9"/>
      <c r="E11" s="10" t="n">
        <f aca="false">SUM(E8:E10)</f>
        <v>9.379</v>
      </c>
      <c r="F11" s="10" t="n">
        <f aca="false">SUM(F8:F10)</f>
        <v>6.064</v>
      </c>
      <c r="G11" s="10" t="n">
        <f aca="false">SUM(G8:G10)</f>
        <v>3.315</v>
      </c>
      <c r="H11" s="10" t="n">
        <f aca="false">SUM(H8:H10)</f>
        <v>0</v>
      </c>
      <c r="I11" s="10" t="n">
        <f aca="false">SUM(I8:I10)</f>
        <v>0</v>
      </c>
      <c r="J11" s="10" t="n">
        <f aca="false">SUM(J8:J10)</f>
        <v>9.379</v>
      </c>
      <c r="K11" s="10" t="n">
        <f aca="false">SUM(K8:K10)</f>
        <v>0</v>
      </c>
      <c r="L11" s="10" t="n">
        <f aca="false">SUM(L8:L10)</f>
        <v>0</v>
      </c>
      <c r="M11" s="10" t="n">
        <f aca="false">SUM(M8:M10)</f>
        <v>0</v>
      </c>
      <c r="N11" s="11" t="n">
        <f aca="false">IF(E11=0,0,(J11+K11)/E11*100)</f>
        <v>100</v>
      </c>
      <c r="O11" s="11" t="n">
        <f aca="false">IF(E11=0,0,(L11+M11)/E11*100)</f>
        <v>0</v>
      </c>
      <c r="P11" s="12"/>
    </row>
    <row r="12" customFormat="false" ht="15" hidden="false" customHeight="true" outlineLevel="0" collapsed="false">
      <c r="A12" s="3" t="s">
        <v>47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customFormat="false" ht="15" hidden="false" customHeight="false" outlineLevel="0" collapsed="false">
      <c r="A13" s="4" t="n">
        <v>1</v>
      </c>
      <c r="B13" s="4" t="s">
        <v>48</v>
      </c>
      <c r="C13" s="4"/>
      <c r="D13" s="5" t="s">
        <v>49</v>
      </c>
      <c r="E13" s="6" t="n">
        <v>16.392</v>
      </c>
      <c r="F13" s="6" t="n">
        <v>8.492</v>
      </c>
      <c r="G13" s="6" t="n">
        <v>7.9</v>
      </c>
      <c r="H13" s="6" t="n">
        <v>0</v>
      </c>
      <c r="I13" s="6" t="n">
        <v>0</v>
      </c>
      <c r="J13" s="6" t="n">
        <v>10.902</v>
      </c>
      <c r="K13" s="6" t="n">
        <v>3.99</v>
      </c>
      <c r="L13" s="6" t="n">
        <v>0.3</v>
      </c>
      <c r="M13" s="6" t="n">
        <v>1.2</v>
      </c>
      <c r="N13" s="7" t="n">
        <f aca="false">IF(E13=0,0,(J13+K13)/E13*100)</f>
        <v>90.8491947291362</v>
      </c>
      <c r="O13" s="7" t="n">
        <f aca="false">IF(E13=0,0,(L13+M13)/E13*100)</f>
        <v>9.15080527086384</v>
      </c>
      <c r="P13" s="8"/>
    </row>
    <row r="14" customFormat="false" ht="15" hidden="false" customHeight="false" outlineLevel="0" collapsed="false">
      <c r="A14" s="4" t="n">
        <v>2</v>
      </c>
      <c r="B14" s="4" t="s">
        <v>50</v>
      </c>
      <c r="C14" s="4"/>
      <c r="D14" s="5" t="s">
        <v>51</v>
      </c>
      <c r="E14" s="6" t="n">
        <v>18.797</v>
      </c>
      <c r="F14" s="6" t="n">
        <v>16.437</v>
      </c>
      <c r="G14" s="6" t="n">
        <v>2.36</v>
      </c>
      <c r="H14" s="6" t="n">
        <v>0</v>
      </c>
      <c r="I14" s="6" t="n">
        <v>0</v>
      </c>
      <c r="J14" s="6" t="n">
        <v>10.427</v>
      </c>
      <c r="K14" s="6" t="n">
        <v>4.28</v>
      </c>
      <c r="L14" s="6" t="n">
        <v>1.74</v>
      </c>
      <c r="M14" s="6" t="n">
        <v>2.35</v>
      </c>
      <c r="N14" s="7" t="n">
        <f aca="false">IF(E14=0,0,(J14+K14)/E14*100)</f>
        <v>78.2412087035165</v>
      </c>
      <c r="O14" s="7" t="n">
        <f aca="false">IF(E14=0,0,(L14+M14)/E14*100)</f>
        <v>21.7587912964835</v>
      </c>
      <c r="P14" s="8"/>
    </row>
    <row r="15" customFormat="false" ht="15" hidden="false" customHeight="false" outlineLevel="0" collapsed="false">
      <c r="A15" s="4" t="n">
        <v>3</v>
      </c>
      <c r="B15" s="4" t="s">
        <v>52</v>
      </c>
      <c r="C15" s="4"/>
      <c r="D15" s="5" t="s">
        <v>53</v>
      </c>
      <c r="E15" s="6" t="n">
        <v>5.058</v>
      </c>
      <c r="F15" s="6" t="n">
        <v>5.058</v>
      </c>
      <c r="G15" s="6" t="n">
        <v>0</v>
      </c>
      <c r="H15" s="6" t="n">
        <v>0</v>
      </c>
      <c r="I15" s="6" t="n">
        <v>0</v>
      </c>
      <c r="J15" s="6" t="n">
        <v>2.258</v>
      </c>
      <c r="K15" s="6" t="n">
        <v>1.2</v>
      </c>
      <c r="L15" s="6" t="n">
        <v>1.5</v>
      </c>
      <c r="M15" s="6" t="n">
        <v>0.1</v>
      </c>
      <c r="N15" s="7" t="n">
        <f aca="false">IF(E15=0,0,(J15+K15)/E15*100)</f>
        <v>68.3669434559114</v>
      </c>
      <c r="O15" s="7" t="n">
        <f aca="false">IF(E15=0,0,(L15+M15)/E15*100)</f>
        <v>31.6330565440886</v>
      </c>
      <c r="P15" s="8"/>
    </row>
    <row r="16" customFormat="false" ht="15" hidden="false" customHeight="true" outlineLevel="0" collapsed="false">
      <c r="A16" s="9" t="s">
        <v>46</v>
      </c>
      <c r="B16" s="9"/>
      <c r="C16" s="9"/>
      <c r="D16" s="9"/>
      <c r="E16" s="10" t="n">
        <f aca="false">SUM(E13:E15)</f>
        <v>40.247</v>
      </c>
      <c r="F16" s="10" t="n">
        <f aca="false">SUM(F13:F15)</f>
        <v>29.987</v>
      </c>
      <c r="G16" s="10" t="n">
        <f aca="false">SUM(G13:G15)</f>
        <v>10.26</v>
      </c>
      <c r="H16" s="10" t="n">
        <f aca="false">SUM(H13:H15)</f>
        <v>0</v>
      </c>
      <c r="I16" s="10" t="n">
        <f aca="false">SUM(I13:I15)</f>
        <v>0</v>
      </c>
      <c r="J16" s="10" t="n">
        <f aca="false">SUM(J13:J15)</f>
        <v>23.587</v>
      </c>
      <c r="K16" s="10" t="n">
        <f aca="false">SUM(K13:K15)</f>
        <v>9.47</v>
      </c>
      <c r="L16" s="10" t="n">
        <f aca="false">SUM(L13:L15)</f>
        <v>3.54</v>
      </c>
      <c r="M16" s="10" t="n">
        <f aca="false">SUM(M13:M15)</f>
        <v>3.65</v>
      </c>
      <c r="N16" s="11" t="n">
        <f aca="false">IF(E16=0,0,(J16+K16)/E16*100)</f>
        <v>82.1353144333739</v>
      </c>
      <c r="O16" s="11" t="n">
        <f aca="false">IF(E16=0,0,(L16+M16)/E16*100)</f>
        <v>17.8646855666261</v>
      </c>
      <c r="P16" s="12"/>
    </row>
    <row r="17" customFormat="false" ht="15" hidden="false" customHeight="true" outlineLevel="0" collapsed="false">
      <c r="A17" s="3" t="s">
        <v>54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customFormat="false" ht="15" hidden="false" customHeight="false" outlineLevel="0" collapsed="false">
      <c r="A18" s="4" t="n">
        <v>1</v>
      </c>
      <c r="B18" s="4" t="s">
        <v>55</v>
      </c>
      <c r="C18" s="4"/>
      <c r="D18" s="5" t="s">
        <v>56</v>
      </c>
      <c r="E18" s="6" t="n">
        <v>24.124</v>
      </c>
      <c r="F18" s="6" t="n">
        <v>17.984</v>
      </c>
      <c r="G18" s="6" t="n">
        <v>6.14</v>
      </c>
      <c r="H18" s="6" t="n">
        <v>0</v>
      </c>
      <c r="I18" s="6" t="n">
        <v>0</v>
      </c>
      <c r="J18" s="6" t="n">
        <v>17.284</v>
      </c>
      <c r="K18" s="6" t="n">
        <v>3.51</v>
      </c>
      <c r="L18" s="6" t="n">
        <v>2.08</v>
      </c>
      <c r="M18" s="6" t="n">
        <v>1.25</v>
      </c>
      <c r="N18" s="7" t="n">
        <f aca="false">IF(E18=0,0,(J18+K18)/E18*100)</f>
        <v>86.1963190184049</v>
      </c>
      <c r="O18" s="7" t="n">
        <f aca="false">IF(E18=0,0,(L18+M18)/E18*100)</f>
        <v>13.8036809815951</v>
      </c>
      <c r="P18" s="8"/>
    </row>
    <row r="19" customFormat="false" ht="15" hidden="false" customHeight="false" outlineLevel="0" collapsed="false">
      <c r="A19" s="4" t="n">
        <v>2</v>
      </c>
      <c r="B19" s="4" t="s">
        <v>57</v>
      </c>
      <c r="C19" s="4"/>
      <c r="D19" s="5" t="s">
        <v>58</v>
      </c>
      <c r="E19" s="6" t="n">
        <v>16.666</v>
      </c>
      <c r="F19" s="6" t="n">
        <v>15.686</v>
      </c>
      <c r="G19" s="6" t="n">
        <v>0.98</v>
      </c>
      <c r="H19" s="6" t="n">
        <v>0</v>
      </c>
      <c r="I19" s="6" t="n">
        <v>0</v>
      </c>
      <c r="J19" s="6" t="n">
        <v>13.106</v>
      </c>
      <c r="K19" s="6" t="n">
        <v>3.26</v>
      </c>
      <c r="L19" s="6" t="n">
        <v>0.2</v>
      </c>
      <c r="M19" s="6" t="n">
        <v>0.1</v>
      </c>
      <c r="N19" s="7" t="n">
        <f aca="false">IF(E19=0,0,(J19+K19)/E19*100)</f>
        <v>98.1999279971199</v>
      </c>
      <c r="O19" s="7" t="n">
        <f aca="false">IF(E19=0,0,(L19+M19)/E19*100)</f>
        <v>1.80007200288012</v>
      </c>
      <c r="P19" s="8"/>
    </row>
    <row r="20" customFormat="false" ht="15" hidden="false" customHeight="false" outlineLevel="0" collapsed="false">
      <c r="A20" s="4" t="n">
        <v>3</v>
      </c>
      <c r="B20" s="4" t="s">
        <v>59</v>
      </c>
      <c r="C20" s="4"/>
      <c r="D20" s="5" t="s">
        <v>60</v>
      </c>
      <c r="E20" s="6" t="n">
        <v>11.092</v>
      </c>
      <c r="F20" s="6" t="n">
        <v>11.092</v>
      </c>
      <c r="G20" s="6" t="n">
        <v>0</v>
      </c>
      <c r="H20" s="6" t="n">
        <v>0</v>
      </c>
      <c r="I20" s="6" t="n">
        <v>0</v>
      </c>
      <c r="J20" s="6" t="n">
        <v>6.092</v>
      </c>
      <c r="K20" s="6" t="n">
        <v>2.9</v>
      </c>
      <c r="L20" s="6" t="n">
        <v>0.8</v>
      </c>
      <c r="M20" s="6" t="n">
        <v>1.3</v>
      </c>
      <c r="N20" s="7" t="n">
        <f aca="false">IF(E20=0,0,(J20+K20)/E20*100)</f>
        <v>81.0674359899026</v>
      </c>
      <c r="O20" s="7" t="n">
        <f aca="false">IF(E20=0,0,(L20+M20)/E20*100)</f>
        <v>18.9325640100974</v>
      </c>
      <c r="P20" s="8"/>
    </row>
    <row r="21" customFormat="false" ht="15" hidden="false" customHeight="false" outlineLevel="0" collapsed="false">
      <c r="A21" s="4" t="n">
        <v>4</v>
      </c>
      <c r="B21" s="4" t="s">
        <v>61</v>
      </c>
      <c r="C21" s="4"/>
      <c r="D21" s="5" t="s">
        <v>62</v>
      </c>
      <c r="E21" s="6" t="n">
        <v>29.671</v>
      </c>
      <c r="F21" s="6" t="n">
        <v>14.846</v>
      </c>
      <c r="G21" s="6" t="n">
        <v>14.825</v>
      </c>
      <c r="H21" s="6" t="n">
        <v>0</v>
      </c>
      <c r="I21" s="6" t="n">
        <v>0</v>
      </c>
      <c r="J21" s="6" t="n">
        <v>27.246</v>
      </c>
      <c r="K21" s="6" t="n">
        <v>2.425</v>
      </c>
      <c r="L21" s="6" t="n">
        <v>0</v>
      </c>
      <c r="M21" s="6" t="n">
        <v>0</v>
      </c>
      <c r="N21" s="7" t="n">
        <f aca="false">IF(E21=0,0,(J21+K21)/E21*100)</f>
        <v>100</v>
      </c>
      <c r="O21" s="7" t="n">
        <f aca="false">IF(E21=0,0,(L21+M21)/E21*100)</f>
        <v>0</v>
      </c>
      <c r="P21" s="8"/>
    </row>
    <row r="22" customFormat="false" ht="15" hidden="false" customHeight="false" outlineLevel="0" collapsed="false">
      <c r="A22" s="4" t="n">
        <v>5</v>
      </c>
      <c r="B22" s="4" t="s">
        <v>63</v>
      </c>
      <c r="C22" s="4"/>
      <c r="D22" s="5" t="s">
        <v>64</v>
      </c>
      <c r="E22" s="6" t="n">
        <v>29.157</v>
      </c>
      <c r="F22" s="6" t="n">
        <v>29.077</v>
      </c>
      <c r="G22" s="6" t="n">
        <v>0.08</v>
      </c>
      <c r="H22" s="6" t="n">
        <v>0</v>
      </c>
      <c r="I22" s="6" t="n">
        <v>0</v>
      </c>
      <c r="J22" s="6" t="n">
        <v>24.057</v>
      </c>
      <c r="K22" s="6" t="n">
        <v>4.7</v>
      </c>
      <c r="L22" s="6" t="n">
        <v>0</v>
      </c>
      <c r="M22" s="6" t="n">
        <v>0.4</v>
      </c>
      <c r="N22" s="7" t="n">
        <f aca="false">IF(E22=0,0,(J22+K22)/E22*100)</f>
        <v>98.6281167472648</v>
      </c>
      <c r="O22" s="7" t="n">
        <f aca="false">IF(E22=0,0,(L22+M22)/E22*100)</f>
        <v>1.37188325273519</v>
      </c>
      <c r="P22" s="8"/>
    </row>
    <row r="23" customFormat="false" ht="15" hidden="false" customHeight="false" outlineLevel="0" collapsed="false">
      <c r="A23" s="4" t="n">
        <v>6</v>
      </c>
      <c r="B23" s="4" t="s">
        <v>65</v>
      </c>
      <c r="C23" s="4"/>
      <c r="D23" s="5" t="s">
        <v>66</v>
      </c>
      <c r="E23" s="6" t="n">
        <v>31.732</v>
      </c>
      <c r="F23" s="6" t="n">
        <v>20.315</v>
      </c>
      <c r="G23" s="6" t="n">
        <v>11.417</v>
      </c>
      <c r="H23" s="6" t="n">
        <v>0</v>
      </c>
      <c r="I23" s="6" t="n">
        <v>0</v>
      </c>
      <c r="J23" s="6" t="n">
        <v>20.647</v>
      </c>
      <c r="K23" s="6" t="n">
        <v>5.945</v>
      </c>
      <c r="L23" s="6" t="n">
        <v>0.68</v>
      </c>
      <c r="M23" s="6" t="n">
        <v>4.46</v>
      </c>
      <c r="N23" s="7" t="n">
        <f aca="false">IF(E23=0,0,(J23+K23)/E23*100)</f>
        <v>83.8018404134627</v>
      </c>
      <c r="O23" s="7" t="n">
        <f aca="false">IF(E23=0,0,(L23+M23)/E23*100)</f>
        <v>16.1981595865373</v>
      </c>
      <c r="P23" s="8"/>
    </row>
    <row r="24" customFormat="false" ht="15" hidden="false" customHeight="true" outlineLevel="0" collapsed="false">
      <c r="A24" s="9" t="s">
        <v>46</v>
      </c>
      <c r="B24" s="9"/>
      <c r="C24" s="9"/>
      <c r="D24" s="9"/>
      <c r="E24" s="10" t="n">
        <f aca="false">SUM(E18:E23)</f>
        <v>142.442</v>
      </c>
      <c r="F24" s="10" t="n">
        <f aca="false">SUM(F18:F23)</f>
        <v>109</v>
      </c>
      <c r="G24" s="10" t="n">
        <f aca="false">SUM(G18:G23)</f>
        <v>33.442</v>
      </c>
      <c r="H24" s="10" t="n">
        <f aca="false">SUM(H18:H23)</f>
        <v>0</v>
      </c>
      <c r="I24" s="10" t="n">
        <f aca="false">SUM(I18:I23)</f>
        <v>0</v>
      </c>
      <c r="J24" s="10" t="n">
        <f aca="false">SUM(J18:J23)</f>
        <v>108.432</v>
      </c>
      <c r="K24" s="10" t="n">
        <f aca="false">SUM(K18:K23)</f>
        <v>22.74</v>
      </c>
      <c r="L24" s="10" t="n">
        <f aca="false">SUM(L18:L23)</f>
        <v>3.76</v>
      </c>
      <c r="M24" s="10" t="n">
        <f aca="false">SUM(M18:M23)</f>
        <v>7.51</v>
      </c>
      <c r="N24" s="11" t="n">
        <f aca="false">IF(E24=0,0,(J24+K24)/E24*100)</f>
        <v>92.088007750523</v>
      </c>
      <c r="O24" s="11" t="n">
        <f aca="false">IF(E24=0,0,(L24+M24)/E24*100)</f>
        <v>7.91199224947698</v>
      </c>
      <c r="P24" s="12"/>
    </row>
    <row r="25" customFormat="false" ht="15" hidden="false" customHeight="true" outlineLevel="0" collapsed="false">
      <c r="A25" s="3" t="s">
        <v>67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customFormat="false" ht="15" hidden="false" customHeight="false" outlineLevel="0" collapsed="false">
      <c r="A26" s="4" t="n">
        <v>1</v>
      </c>
      <c r="B26" s="4" t="s">
        <v>68</v>
      </c>
      <c r="C26" s="4" t="s">
        <v>40</v>
      </c>
      <c r="D26" s="5" t="s">
        <v>69</v>
      </c>
      <c r="E26" s="6" t="n">
        <v>2.89</v>
      </c>
      <c r="F26" s="6" t="n">
        <v>2.89</v>
      </c>
      <c r="G26" s="6" t="n">
        <v>0</v>
      </c>
      <c r="H26" s="6" t="n">
        <v>0</v>
      </c>
      <c r="I26" s="6" t="n">
        <v>0</v>
      </c>
      <c r="J26" s="6" t="n">
        <v>2.89</v>
      </c>
      <c r="K26" s="6" t="n">
        <v>0</v>
      </c>
      <c r="L26" s="6" t="n">
        <v>0</v>
      </c>
      <c r="M26" s="6" t="n">
        <v>0</v>
      </c>
      <c r="N26" s="7" t="n">
        <f aca="false">IF(E26=0,0,(J26+K26)/E26*100)</f>
        <v>100</v>
      </c>
      <c r="O26" s="7" t="n">
        <f aca="false">IF(E26=0,0,(L26+M26)/E26*100)</f>
        <v>0</v>
      </c>
      <c r="P26" s="8"/>
    </row>
    <row r="27" customFormat="false" ht="15" hidden="false" customHeight="false" outlineLevel="0" collapsed="false">
      <c r="A27" s="4" t="n">
        <v>2</v>
      </c>
      <c r="B27" s="4" t="s">
        <v>70</v>
      </c>
      <c r="C27" s="4"/>
      <c r="D27" s="5" t="s">
        <v>71</v>
      </c>
      <c r="E27" s="6" t="n">
        <v>30.25</v>
      </c>
      <c r="F27" s="6" t="n">
        <v>30.18</v>
      </c>
      <c r="G27" s="6" t="n">
        <v>0.07</v>
      </c>
      <c r="H27" s="6" t="n">
        <v>0</v>
      </c>
      <c r="I27" s="6" t="n">
        <v>0</v>
      </c>
      <c r="J27" s="6" t="n">
        <v>17.25</v>
      </c>
      <c r="K27" s="6" t="n">
        <v>10.2</v>
      </c>
      <c r="L27" s="6" t="n">
        <v>1.8</v>
      </c>
      <c r="M27" s="6" t="n">
        <v>1</v>
      </c>
      <c r="N27" s="7" t="n">
        <f aca="false">IF(E27=0,0,(J27+K27)/E27*100)</f>
        <v>90.7438016528926</v>
      </c>
      <c r="O27" s="7" t="n">
        <f aca="false">IF(E27=0,0,(L27+M27)/E27*100)</f>
        <v>9.25619834710744</v>
      </c>
      <c r="P27" s="8"/>
    </row>
    <row r="28" customFormat="false" ht="15" hidden="false" customHeight="false" outlineLevel="0" collapsed="false">
      <c r="A28" s="4" t="n">
        <v>3</v>
      </c>
      <c r="B28" s="4" t="s">
        <v>72</v>
      </c>
      <c r="C28" s="4"/>
      <c r="D28" s="5" t="s">
        <v>73</v>
      </c>
      <c r="E28" s="6" t="n">
        <v>11.297</v>
      </c>
      <c r="F28" s="6" t="n">
        <v>9.287</v>
      </c>
      <c r="G28" s="6" t="n">
        <v>2.01</v>
      </c>
      <c r="H28" s="6" t="n">
        <v>0</v>
      </c>
      <c r="I28" s="6" t="n">
        <v>0</v>
      </c>
      <c r="J28" s="6" t="n">
        <v>8.877</v>
      </c>
      <c r="K28" s="6" t="n">
        <v>2.18</v>
      </c>
      <c r="L28" s="6" t="n">
        <v>0.24</v>
      </c>
      <c r="M28" s="6" t="n">
        <v>0</v>
      </c>
      <c r="N28" s="7" t="n">
        <f aca="false">IF(E28=0,0,(J28+K28)/E28*100)</f>
        <v>97.8755421793397</v>
      </c>
      <c r="O28" s="7" t="n">
        <f aca="false">IF(E28=0,0,(L28+M28)/E28*100)</f>
        <v>2.12445782066035</v>
      </c>
      <c r="P28" s="8"/>
    </row>
    <row r="29" customFormat="false" ht="15" hidden="false" customHeight="false" outlineLevel="0" collapsed="false">
      <c r="A29" s="4" t="n">
        <v>4</v>
      </c>
      <c r="B29" s="4" t="s">
        <v>74</v>
      </c>
      <c r="C29" s="4"/>
      <c r="D29" s="5" t="s">
        <v>75</v>
      </c>
      <c r="E29" s="6" t="n">
        <v>25.012</v>
      </c>
      <c r="F29" s="6" t="n">
        <v>20.49</v>
      </c>
      <c r="G29" s="6" t="n">
        <v>4.522</v>
      </c>
      <c r="H29" s="6" t="n">
        <v>0</v>
      </c>
      <c r="I29" s="6" t="n">
        <v>0</v>
      </c>
      <c r="J29" s="6" t="n">
        <v>22.312</v>
      </c>
      <c r="K29" s="6" t="n">
        <v>2.1</v>
      </c>
      <c r="L29" s="6" t="n">
        <v>0.5</v>
      </c>
      <c r="M29" s="6" t="n">
        <v>0.1</v>
      </c>
      <c r="N29" s="7" t="n">
        <f aca="false">IF(E29=0,0,(J29+K29)/E29*100)</f>
        <v>97.6011514473053</v>
      </c>
      <c r="O29" s="7" t="n">
        <f aca="false">IF(E29=0,0,(L29+M29)/E29*100)</f>
        <v>2.39884855269471</v>
      </c>
      <c r="P29" s="8"/>
    </row>
    <row r="30" customFormat="false" ht="15" hidden="false" customHeight="false" outlineLevel="0" collapsed="false">
      <c r="A30" s="4" t="n">
        <v>5</v>
      </c>
      <c r="B30" s="4" t="s">
        <v>76</v>
      </c>
      <c r="C30" s="4"/>
      <c r="D30" s="5" t="s">
        <v>77</v>
      </c>
      <c r="E30" s="6" t="n">
        <v>20.468</v>
      </c>
      <c r="F30" s="6" t="n">
        <v>12.358</v>
      </c>
      <c r="G30" s="6" t="n">
        <v>8.11</v>
      </c>
      <c r="H30" s="6" t="n">
        <v>0</v>
      </c>
      <c r="I30" s="6" t="n">
        <v>0</v>
      </c>
      <c r="J30" s="6" t="n">
        <v>18.105</v>
      </c>
      <c r="K30" s="6" t="n">
        <v>2.163</v>
      </c>
      <c r="L30" s="6" t="n">
        <v>0</v>
      </c>
      <c r="M30" s="6" t="n">
        <v>0.2</v>
      </c>
      <c r="N30" s="7" t="n">
        <f aca="false">IF(E30=0,0,(J30+K30)/E30*100)</f>
        <v>99.0228649599375</v>
      </c>
      <c r="O30" s="7" t="n">
        <f aca="false">IF(E30=0,0,(L30+M30)/E30*100)</f>
        <v>0.977135040062537</v>
      </c>
      <c r="P30" s="8"/>
    </row>
    <row r="31" customFormat="false" ht="15" hidden="false" customHeight="false" outlineLevel="0" collapsed="false">
      <c r="A31" s="4" t="n">
        <v>6</v>
      </c>
      <c r="B31" s="4" t="s">
        <v>78</v>
      </c>
      <c r="C31" s="4"/>
      <c r="D31" s="5" t="s">
        <v>79</v>
      </c>
      <c r="E31" s="6" t="n">
        <v>14.551</v>
      </c>
      <c r="F31" s="6" t="n">
        <v>0.17</v>
      </c>
      <c r="G31" s="6" t="n">
        <v>14.381</v>
      </c>
      <c r="H31" s="6" t="n">
        <v>0</v>
      </c>
      <c r="I31" s="6" t="n">
        <v>0</v>
      </c>
      <c r="J31" s="6" t="n">
        <v>6.451</v>
      </c>
      <c r="K31" s="6" t="n">
        <v>3.5</v>
      </c>
      <c r="L31" s="6" t="n">
        <v>4.6</v>
      </c>
      <c r="M31" s="6" t="n">
        <v>0</v>
      </c>
      <c r="N31" s="7" t="n">
        <f aca="false">IF(E31=0,0,(J31+K31)/E31*100)</f>
        <v>68.3870524362587</v>
      </c>
      <c r="O31" s="7" t="n">
        <f aca="false">IF(E31=0,0,(L31+M31)/E31*100)</f>
        <v>31.6129475637413</v>
      </c>
      <c r="P31" s="8"/>
    </row>
    <row r="32" customFormat="false" ht="15" hidden="false" customHeight="true" outlineLevel="0" collapsed="false">
      <c r="A32" s="9" t="s">
        <v>46</v>
      </c>
      <c r="B32" s="9"/>
      <c r="C32" s="9"/>
      <c r="D32" s="9"/>
      <c r="E32" s="10" t="n">
        <f aca="false">SUM(E26:E31)</f>
        <v>104.468</v>
      </c>
      <c r="F32" s="10" t="n">
        <f aca="false">SUM(F26:F31)</f>
        <v>75.375</v>
      </c>
      <c r="G32" s="10" t="n">
        <f aca="false">SUM(G26:G31)</f>
        <v>29.093</v>
      </c>
      <c r="H32" s="10" t="n">
        <f aca="false">SUM(H26:H31)</f>
        <v>0</v>
      </c>
      <c r="I32" s="10" t="n">
        <f aca="false">SUM(I26:I31)</f>
        <v>0</v>
      </c>
      <c r="J32" s="10" t="n">
        <f aca="false">SUM(J26:J31)</f>
        <v>75.885</v>
      </c>
      <c r="K32" s="10" t="n">
        <f aca="false">SUM(K26:K31)</f>
        <v>20.143</v>
      </c>
      <c r="L32" s="10" t="n">
        <f aca="false">SUM(L26:L31)</f>
        <v>7.14</v>
      </c>
      <c r="M32" s="10" t="n">
        <f aca="false">SUM(M26:M31)</f>
        <v>1.3</v>
      </c>
      <c r="N32" s="11" t="n">
        <f aca="false">IF(E32=0,0,(J32+K32)/E32*100)</f>
        <v>91.9209710150477</v>
      </c>
      <c r="O32" s="11" t="n">
        <f aca="false">IF(E32=0,0,(L32+M32)/E32*100)</f>
        <v>8.07902898495233</v>
      </c>
      <c r="P32" s="12"/>
    </row>
    <row r="33" customFormat="false" ht="15" hidden="false" customHeight="true" outlineLevel="0" collapsed="false">
      <c r="A33" s="3" t="s">
        <v>80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customFormat="false" ht="15" hidden="false" customHeight="false" outlineLevel="0" collapsed="false">
      <c r="A34" s="4" t="n">
        <v>1</v>
      </c>
      <c r="B34" s="4" t="s">
        <v>81</v>
      </c>
      <c r="C34" s="4"/>
      <c r="D34" s="5" t="s">
        <v>82</v>
      </c>
      <c r="E34" s="6" t="n">
        <v>9.308</v>
      </c>
      <c r="F34" s="6" t="n">
        <v>7.003</v>
      </c>
      <c r="G34" s="6" t="n">
        <v>2.305</v>
      </c>
      <c r="H34" s="6" t="n">
        <v>0</v>
      </c>
      <c r="I34" s="6" t="n">
        <v>0</v>
      </c>
      <c r="J34" s="6" t="n">
        <v>7.108</v>
      </c>
      <c r="K34" s="6" t="n">
        <v>2.1</v>
      </c>
      <c r="L34" s="6" t="n">
        <v>0.1</v>
      </c>
      <c r="M34" s="6" t="n">
        <v>0</v>
      </c>
      <c r="N34" s="7" t="n">
        <f aca="false">IF(E34=0,0,(J34+K34)/E34*100)</f>
        <v>98.9256553502364</v>
      </c>
      <c r="O34" s="7" t="n">
        <f aca="false">IF(E34=0,0,(L34+M34)/E34*100)</f>
        <v>1.07434464976364</v>
      </c>
      <c r="P34" s="8"/>
    </row>
    <row r="35" customFormat="false" ht="15" hidden="false" customHeight="false" outlineLevel="0" collapsed="false">
      <c r="A35" s="4" t="n">
        <v>2</v>
      </c>
      <c r="B35" s="4" t="s">
        <v>83</v>
      </c>
      <c r="C35" s="4"/>
      <c r="D35" s="5" t="s">
        <v>84</v>
      </c>
      <c r="E35" s="6" t="n">
        <v>22.962</v>
      </c>
      <c r="F35" s="6" t="n">
        <v>22.712</v>
      </c>
      <c r="G35" s="6" t="n">
        <v>0.25</v>
      </c>
      <c r="H35" s="6" t="n">
        <v>0</v>
      </c>
      <c r="I35" s="6" t="n">
        <v>0</v>
      </c>
      <c r="J35" s="6" t="n">
        <v>15.662</v>
      </c>
      <c r="K35" s="6" t="n">
        <v>4.4</v>
      </c>
      <c r="L35" s="6" t="n">
        <v>1.1</v>
      </c>
      <c r="M35" s="6" t="n">
        <v>1.8</v>
      </c>
      <c r="N35" s="7" t="n">
        <f aca="false">IF(E35=0,0,(J35+K35)/E35*100)</f>
        <v>87.3704381151468</v>
      </c>
      <c r="O35" s="7" t="n">
        <f aca="false">IF(E35=0,0,(L35+M35)/E35*100)</f>
        <v>12.6295618848532</v>
      </c>
      <c r="P35" s="8"/>
    </row>
    <row r="36" customFormat="false" ht="15" hidden="false" customHeight="false" outlineLevel="0" collapsed="false">
      <c r="A36" s="4" t="n">
        <v>3</v>
      </c>
      <c r="B36" s="4" t="s">
        <v>85</v>
      </c>
      <c r="C36" s="4"/>
      <c r="D36" s="5" t="s">
        <v>86</v>
      </c>
      <c r="E36" s="6" t="n">
        <v>24.251</v>
      </c>
      <c r="F36" s="6" t="n">
        <v>20.501</v>
      </c>
      <c r="G36" s="6" t="n">
        <v>3.75</v>
      </c>
      <c r="H36" s="6" t="n">
        <v>0</v>
      </c>
      <c r="I36" s="6" t="n">
        <v>0</v>
      </c>
      <c r="J36" s="6" t="n">
        <v>20.551</v>
      </c>
      <c r="K36" s="6" t="n">
        <v>2.9</v>
      </c>
      <c r="L36" s="6" t="n">
        <v>0.8</v>
      </c>
      <c r="M36" s="6" t="n">
        <v>0</v>
      </c>
      <c r="N36" s="7" t="n">
        <f aca="false">IF(E36=0,0,(J36+K36)/E36*100)</f>
        <v>96.7011669621871</v>
      </c>
      <c r="O36" s="7" t="n">
        <f aca="false">IF(E36=0,0,(L36+M36)/E36*100)</f>
        <v>3.29883303781287</v>
      </c>
      <c r="P36" s="8"/>
    </row>
    <row r="37" customFormat="false" ht="15" hidden="false" customHeight="false" outlineLevel="0" collapsed="false">
      <c r="A37" s="4" t="n">
        <v>4</v>
      </c>
      <c r="B37" s="4" t="s">
        <v>87</v>
      </c>
      <c r="C37" s="4"/>
      <c r="D37" s="5" t="s">
        <v>88</v>
      </c>
      <c r="E37" s="6" t="n">
        <v>7.876</v>
      </c>
      <c r="F37" s="6" t="n">
        <v>7.876</v>
      </c>
      <c r="G37" s="6" t="n">
        <v>0</v>
      </c>
      <c r="H37" s="6" t="n">
        <v>0</v>
      </c>
      <c r="I37" s="6" t="n">
        <v>0</v>
      </c>
      <c r="J37" s="6" t="n">
        <v>5.076</v>
      </c>
      <c r="K37" s="6" t="n">
        <v>2.6</v>
      </c>
      <c r="L37" s="6" t="n">
        <v>0.2</v>
      </c>
      <c r="M37" s="6" t="n">
        <v>0</v>
      </c>
      <c r="N37" s="7" t="n">
        <f aca="false">IF(E37=0,0,(J37+K37)/E37*100)</f>
        <v>97.4606399187405</v>
      </c>
      <c r="O37" s="7" t="n">
        <f aca="false">IF(E37=0,0,(L37+M37)/E37*100)</f>
        <v>2.53936008125952</v>
      </c>
      <c r="P37" s="8"/>
    </row>
    <row r="38" customFormat="false" ht="15" hidden="false" customHeight="false" outlineLevel="0" collapsed="false">
      <c r="A38" s="4" t="n">
        <v>5</v>
      </c>
      <c r="B38" s="4" t="s">
        <v>89</v>
      </c>
      <c r="C38" s="4"/>
      <c r="D38" s="5" t="s">
        <v>90</v>
      </c>
      <c r="E38" s="6" t="n">
        <v>24.491</v>
      </c>
      <c r="F38" s="6" t="n">
        <v>21.561</v>
      </c>
      <c r="G38" s="6" t="n">
        <v>2.93</v>
      </c>
      <c r="H38" s="6" t="n">
        <v>0</v>
      </c>
      <c r="I38" s="6" t="n">
        <v>0</v>
      </c>
      <c r="J38" s="6" t="n">
        <v>13.871</v>
      </c>
      <c r="K38" s="6" t="n">
        <v>10.02</v>
      </c>
      <c r="L38" s="6" t="n">
        <v>0.4</v>
      </c>
      <c r="M38" s="6" t="n">
        <v>0.2</v>
      </c>
      <c r="N38" s="7" t="n">
        <f aca="false">IF(E38=0,0,(J38+K38)/E38*100)</f>
        <v>97.5501204524111</v>
      </c>
      <c r="O38" s="7" t="n">
        <f aca="false">IF(E38=0,0,(L38+M38)/E38*100)</f>
        <v>2.44987954758891</v>
      </c>
      <c r="P38" s="8"/>
    </row>
    <row r="39" customFormat="false" ht="15" hidden="false" customHeight="false" outlineLevel="0" collapsed="false">
      <c r="A39" s="4" t="n">
        <v>6</v>
      </c>
      <c r="B39" s="4" t="s">
        <v>91</v>
      </c>
      <c r="C39" s="4"/>
      <c r="D39" s="5" t="s">
        <v>92</v>
      </c>
      <c r="E39" s="6" t="n">
        <v>26.558</v>
      </c>
      <c r="F39" s="6" t="n">
        <v>26.098</v>
      </c>
      <c r="G39" s="6" t="n">
        <v>0.46</v>
      </c>
      <c r="H39" s="6" t="n">
        <v>0</v>
      </c>
      <c r="I39" s="6" t="n">
        <v>0</v>
      </c>
      <c r="J39" s="6" t="n">
        <v>22.95</v>
      </c>
      <c r="K39" s="6" t="n">
        <v>3.508</v>
      </c>
      <c r="L39" s="6" t="n">
        <v>0.1</v>
      </c>
      <c r="M39" s="6" t="n">
        <v>0</v>
      </c>
      <c r="N39" s="7" t="n">
        <f aca="false">IF(E39=0,0,(J39+K39)/E39*100)</f>
        <v>99.6234656224113</v>
      </c>
      <c r="O39" s="7" t="n">
        <f aca="false">IF(E39=0,0,(L39+M39)/E39*100)</f>
        <v>0.376534377588674</v>
      </c>
      <c r="P39" s="8"/>
    </row>
    <row r="40" customFormat="false" ht="15" hidden="false" customHeight="false" outlineLevel="0" collapsed="false">
      <c r="A40" s="4" t="n">
        <v>7</v>
      </c>
      <c r="B40" s="4" t="s">
        <v>93</v>
      </c>
      <c r="C40" s="4"/>
      <c r="D40" s="5" t="s">
        <v>94</v>
      </c>
      <c r="E40" s="6" t="n">
        <v>4.419</v>
      </c>
      <c r="F40" s="6" t="n">
        <v>3.339</v>
      </c>
      <c r="G40" s="6" t="n">
        <v>1.08</v>
      </c>
      <c r="H40" s="6" t="n">
        <v>0</v>
      </c>
      <c r="I40" s="6" t="n">
        <v>0</v>
      </c>
      <c r="J40" s="6" t="n">
        <v>3.78</v>
      </c>
      <c r="K40" s="6" t="n">
        <v>0.639</v>
      </c>
      <c r="L40" s="6" t="n">
        <v>0</v>
      </c>
      <c r="M40" s="6" t="n">
        <v>0</v>
      </c>
      <c r="N40" s="7" t="n">
        <f aca="false">IF(E40=0,0,(J40+K40)/E40*100)</f>
        <v>100</v>
      </c>
      <c r="O40" s="7" t="n">
        <f aca="false">IF(E40=0,0,(L40+M40)/E40*100)</f>
        <v>0</v>
      </c>
      <c r="P40" s="8"/>
    </row>
    <row r="41" customFormat="false" ht="15" hidden="false" customHeight="false" outlineLevel="0" collapsed="false">
      <c r="A41" s="4" t="n">
        <v>8</v>
      </c>
      <c r="B41" s="4" t="s">
        <v>95</v>
      </c>
      <c r="C41" s="4"/>
      <c r="D41" s="5" t="s">
        <v>96</v>
      </c>
      <c r="E41" s="6" t="n">
        <v>15.065</v>
      </c>
      <c r="F41" s="6" t="n">
        <v>14.885</v>
      </c>
      <c r="G41" s="6" t="n">
        <v>0.18</v>
      </c>
      <c r="H41" s="6" t="n">
        <v>0</v>
      </c>
      <c r="I41" s="6" t="n">
        <v>0</v>
      </c>
      <c r="J41" s="6" t="n">
        <v>9.885</v>
      </c>
      <c r="K41" s="6" t="n">
        <v>4.28</v>
      </c>
      <c r="L41" s="6" t="n">
        <v>0.7</v>
      </c>
      <c r="M41" s="6" t="n">
        <v>0.2</v>
      </c>
      <c r="N41" s="7" t="n">
        <f aca="false">IF(E41=0,0,(J41+K41)/E41*100)</f>
        <v>94.0258878194491</v>
      </c>
      <c r="O41" s="7" t="n">
        <f aca="false">IF(E41=0,0,(L41+M41)/E41*100)</f>
        <v>5.97411218055095</v>
      </c>
      <c r="P41" s="8"/>
    </row>
    <row r="42" customFormat="false" ht="15" hidden="false" customHeight="true" outlineLevel="0" collapsed="false">
      <c r="A42" s="9" t="s">
        <v>46</v>
      </c>
      <c r="B42" s="9"/>
      <c r="C42" s="9"/>
      <c r="D42" s="9"/>
      <c r="E42" s="10" t="n">
        <f aca="false">SUM(E34:E41)</f>
        <v>134.93</v>
      </c>
      <c r="F42" s="10" t="n">
        <f aca="false">SUM(F34:F41)</f>
        <v>123.975</v>
      </c>
      <c r="G42" s="10" t="n">
        <f aca="false">SUM(G34:G41)</f>
        <v>10.955</v>
      </c>
      <c r="H42" s="10" t="n">
        <f aca="false">SUM(H34:H41)</f>
        <v>0</v>
      </c>
      <c r="I42" s="10" t="n">
        <f aca="false">SUM(I34:I41)</f>
        <v>0</v>
      </c>
      <c r="J42" s="10" t="n">
        <f aca="false">SUM(J34:J41)</f>
        <v>98.883</v>
      </c>
      <c r="K42" s="10" t="n">
        <f aca="false">SUM(K34:K41)</f>
        <v>30.447</v>
      </c>
      <c r="L42" s="10" t="n">
        <f aca="false">SUM(L34:L41)</f>
        <v>3.4</v>
      </c>
      <c r="M42" s="10" t="n">
        <f aca="false">SUM(M34:M41)</f>
        <v>2.2</v>
      </c>
      <c r="N42" s="11" t="n">
        <f aca="false">IF(E42=0,0,(J42+K42)/E42*100)</f>
        <v>95.8496998443637</v>
      </c>
      <c r="O42" s="11" t="n">
        <f aca="false">IF(E42=0,0,(L42+M42)/E42*100)</f>
        <v>4.15030015563626</v>
      </c>
      <c r="P42" s="12"/>
    </row>
    <row r="43" customFormat="false" ht="15" hidden="false" customHeight="true" outlineLevel="0" collapsed="false">
      <c r="A43" s="3" t="s">
        <v>97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customFormat="false" ht="15" hidden="false" customHeight="false" outlineLevel="0" collapsed="false">
      <c r="A44" s="4" t="n">
        <v>1</v>
      </c>
      <c r="B44" s="4" t="s">
        <v>98</v>
      </c>
      <c r="C44" s="4"/>
      <c r="D44" s="5" t="s">
        <v>99</v>
      </c>
      <c r="E44" s="6" t="n">
        <v>14.222</v>
      </c>
      <c r="F44" s="6" t="n">
        <v>12.572</v>
      </c>
      <c r="G44" s="6" t="n">
        <v>1.65</v>
      </c>
      <c r="H44" s="6" t="n">
        <v>0</v>
      </c>
      <c r="I44" s="6" t="n">
        <v>0</v>
      </c>
      <c r="J44" s="6" t="n">
        <v>11.672</v>
      </c>
      <c r="K44" s="6" t="n">
        <v>1.75</v>
      </c>
      <c r="L44" s="6" t="n">
        <v>0.7</v>
      </c>
      <c r="M44" s="6" t="n">
        <v>0.1</v>
      </c>
      <c r="N44" s="7" t="n">
        <f aca="false">IF(E44=0,0,(J44+K44)/E44*100)</f>
        <v>94.3749121080017</v>
      </c>
      <c r="O44" s="7" t="n">
        <f aca="false">IF(E44=0,0,(L44+M44)/E44*100)</f>
        <v>5.62508789199831</v>
      </c>
      <c r="P44" s="8"/>
    </row>
    <row r="45" customFormat="false" ht="15" hidden="false" customHeight="false" outlineLevel="0" collapsed="false">
      <c r="A45" s="4" t="n">
        <v>2</v>
      </c>
      <c r="B45" s="4" t="s">
        <v>100</v>
      </c>
      <c r="C45" s="4"/>
      <c r="D45" s="5" t="s">
        <v>101</v>
      </c>
      <c r="E45" s="6" t="n">
        <v>29.45</v>
      </c>
      <c r="F45" s="6" t="n">
        <v>11.35</v>
      </c>
      <c r="G45" s="6" t="n">
        <v>18.1</v>
      </c>
      <c r="H45" s="6" t="n">
        <v>0</v>
      </c>
      <c r="I45" s="6" t="n">
        <v>0</v>
      </c>
      <c r="J45" s="6" t="n">
        <v>29.45</v>
      </c>
      <c r="K45" s="6" t="n">
        <v>0</v>
      </c>
      <c r="L45" s="6" t="n">
        <v>0</v>
      </c>
      <c r="M45" s="6" t="n">
        <v>0</v>
      </c>
      <c r="N45" s="7" t="n">
        <f aca="false">IF(E45=0,0,(J45+K45)/E45*100)</f>
        <v>100</v>
      </c>
      <c r="O45" s="7" t="n">
        <f aca="false">IF(E45=0,0,(L45+M45)/E45*100)</f>
        <v>0</v>
      </c>
      <c r="P45" s="8"/>
    </row>
    <row r="46" customFormat="false" ht="15" hidden="false" customHeight="false" outlineLevel="0" collapsed="false">
      <c r="A46" s="4" t="n">
        <v>3</v>
      </c>
      <c r="B46" s="4" t="s">
        <v>102</v>
      </c>
      <c r="C46" s="4"/>
      <c r="D46" s="5" t="s">
        <v>103</v>
      </c>
      <c r="E46" s="6" t="n">
        <v>24.7</v>
      </c>
      <c r="F46" s="6" t="n">
        <v>3.89</v>
      </c>
      <c r="G46" s="6" t="n">
        <v>20.81</v>
      </c>
      <c r="H46" s="6" t="n">
        <v>0</v>
      </c>
      <c r="I46" s="6" t="n">
        <v>0</v>
      </c>
      <c r="J46" s="6" t="n">
        <v>24.3</v>
      </c>
      <c r="K46" s="6" t="n">
        <v>0.4</v>
      </c>
      <c r="L46" s="6" t="n">
        <v>0</v>
      </c>
      <c r="M46" s="6" t="n">
        <v>0</v>
      </c>
      <c r="N46" s="7" t="n">
        <f aca="false">IF(E46=0,0,(J46+K46)/E46*100)</f>
        <v>100</v>
      </c>
      <c r="O46" s="7" t="n">
        <f aca="false">IF(E46=0,0,(L46+M46)/E46*100)</f>
        <v>0</v>
      </c>
      <c r="P46" s="8"/>
    </row>
    <row r="47" customFormat="false" ht="15" hidden="false" customHeight="false" outlineLevel="0" collapsed="false">
      <c r="A47" s="4" t="n">
        <v>4</v>
      </c>
      <c r="B47" s="4" t="s">
        <v>104</v>
      </c>
      <c r="C47" s="4"/>
      <c r="D47" s="5" t="s">
        <v>105</v>
      </c>
      <c r="E47" s="6" t="n">
        <v>24.23</v>
      </c>
      <c r="F47" s="6" t="n">
        <v>22.375</v>
      </c>
      <c r="G47" s="6" t="n">
        <v>1.855</v>
      </c>
      <c r="H47" s="6" t="n">
        <v>0</v>
      </c>
      <c r="I47" s="6" t="n">
        <v>0</v>
      </c>
      <c r="J47" s="6" t="n">
        <v>17.28</v>
      </c>
      <c r="K47" s="6" t="n">
        <v>4.65</v>
      </c>
      <c r="L47" s="6" t="n">
        <v>1.3</v>
      </c>
      <c r="M47" s="6" t="n">
        <v>1</v>
      </c>
      <c r="N47" s="7" t="n">
        <f aca="false">IF(E47=0,0,(J47+K47)/E47*100)</f>
        <v>90.5076351630211</v>
      </c>
      <c r="O47" s="7" t="n">
        <f aca="false">IF(E47=0,0,(L47+M47)/E47*100)</f>
        <v>9.49236483697895</v>
      </c>
      <c r="P47" s="8"/>
    </row>
    <row r="48" customFormat="false" ht="15" hidden="false" customHeight="false" outlineLevel="0" collapsed="false">
      <c r="A48" s="4" t="n">
        <v>5</v>
      </c>
      <c r="B48" s="4" t="s">
        <v>106</v>
      </c>
      <c r="C48" s="4"/>
      <c r="D48" s="5" t="s">
        <v>107</v>
      </c>
      <c r="E48" s="6" t="n">
        <v>37.016</v>
      </c>
      <c r="F48" s="6" t="n">
        <v>26.616</v>
      </c>
      <c r="G48" s="6" t="n">
        <v>10.4</v>
      </c>
      <c r="H48" s="6" t="n">
        <v>0</v>
      </c>
      <c r="I48" s="6" t="n">
        <v>0</v>
      </c>
      <c r="J48" s="6" t="n">
        <v>28.266</v>
      </c>
      <c r="K48" s="6" t="n">
        <v>3.75</v>
      </c>
      <c r="L48" s="6" t="n">
        <v>1.5</v>
      </c>
      <c r="M48" s="6" t="n">
        <v>3.5</v>
      </c>
      <c r="N48" s="7" t="n">
        <f aca="false">IF(E48=0,0,(J48+K48)/E48*100)</f>
        <v>86.4923276421007</v>
      </c>
      <c r="O48" s="7" t="n">
        <f aca="false">IF(E48=0,0,(L48+M48)/E48*100)</f>
        <v>13.5076723578993</v>
      </c>
      <c r="P48" s="8"/>
    </row>
    <row r="49" customFormat="false" ht="15" hidden="false" customHeight="false" outlineLevel="0" collapsed="false">
      <c r="A49" s="4" t="n">
        <v>6</v>
      </c>
      <c r="B49" s="4" t="s">
        <v>108</v>
      </c>
      <c r="C49" s="4"/>
      <c r="D49" s="5" t="s">
        <v>109</v>
      </c>
      <c r="E49" s="6" t="n">
        <v>13.984</v>
      </c>
      <c r="F49" s="6" t="n">
        <v>12.764</v>
      </c>
      <c r="G49" s="6" t="n">
        <v>1.22</v>
      </c>
      <c r="H49" s="6" t="n">
        <v>0</v>
      </c>
      <c r="I49" s="6" t="n">
        <v>0</v>
      </c>
      <c r="J49" s="6" t="n">
        <v>9.23</v>
      </c>
      <c r="K49" s="6" t="n">
        <v>3.204</v>
      </c>
      <c r="L49" s="6" t="n">
        <v>0.4</v>
      </c>
      <c r="M49" s="6" t="n">
        <v>1.15</v>
      </c>
      <c r="N49" s="7" t="n">
        <f aca="false">IF(E49=0,0,(J49+K49)/E49*100)</f>
        <v>88.9159038901602</v>
      </c>
      <c r="O49" s="7" t="n">
        <f aca="false">IF(E49=0,0,(L49+M49)/E49*100)</f>
        <v>11.0840961098398</v>
      </c>
      <c r="P49" s="8"/>
    </row>
    <row r="50" customFormat="false" ht="15" hidden="false" customHeight="false" outlineLevel="0" collapsed="false">
      <c r="A50" s="4" t="n">
        <v>7</v>
      </c>
      <c r="B50" s="4" t="s">
        <v>110</v>
      </c>
      <c r="C50" s="4"/>
      <c r="D50" s="5" t="s">
        <v>111</v>
      </c>
      <c r="E50" s="6" t="n">
        <v>14.086</v>
      </c>
      <c r="F50" s="6" t="n">
        <v>11.286</v>
      </c>
      <c r="G50" s="6" t="n">
        <v>2.8</v>
      </c>
      <c r="H50" s="6" t="n">
        <v>0</v>
      </c>
      <c r="I50" s="6" t="n">
        <v>0</v>
      </c>
      <c r="J50" s="6" t="n">
        <v>5.8</v>
      </c>
      <c r="K50" s="6" t="n">
        <v>2.536</v>
      </c>
      <c r="L50" s="6" t="n">
        <v>0.35</v>
      </c>
      <c r="M50" s="6" t="n">
        <v>5.4</v>
      </c>
      <c r="N50" s="7" t="n">
        <f aca="false">IF(E50=0,0,(J50+K50)/E50*100)</f>
        <v>59.1793269913389</v>
      </c>
      <c r="O50" s="7" t="n">
        <f aca="false">IF(E50=0,0,(L50+M50)/E50*100)</f>
        <v>40.8206730086611</v>
      </c>
      <c r="P50" s="8"/>
    </row>
    <row r="51" customFormat="false" ht="15" hidden="false" customHeight="false" outlineLevel="0" collapsed="false">
      <c r="A51" s="4" t="n">
        <v>8</v>
      </c>
      <c r="B51" s="4" t="s">
        <v>112</v>
      </c>
      <c r="C51" s="4"/>
      <c r="D51" s="5" t="s">
        <v>113</v>
      </c>
      <c r="E51" s="6" t="n">
        <v>22.212</v>
      </c>
      <c r="F51" s="6" t="n">
        <v>11.787</v>
      </c>
      <c r="G51" s="6" t="n">
        <v>10.425</v>
      </c>
      <c r="H51" s="6" t="n">
        <v>0</v>
      </c>
      <c r="I51" s="6" t="n">
        <v>0</v>
      </c>
      <c r="J51" s="6" t="n">
        <v>20.112</v>
      </c>
      <c r="K51" s="6" t="n">
        <v>1.8</v>
      </c>
      <c r="L51" s="6" t="n">
        <v>0.2</v>
      </c>
      <c r="M51" s="6" t="n">
        <v>0.1</v>
      </c>
      <c r="N51" s="7" t="n">
        <f aca="false">IF(E51=0,0,(J51+K51)/E51*100)</f>
        <v>98.6493787142085</v>
      </c>
      <c r="O51" s="7" t="n">
        <f aca="false">IF(E51=0,0,(L51+M51)/E51*100)</f>
        <v>1.35062128579146</v>
      </c>
      <c r="P51" s="8"/>
    </row>
    <row r="52" customFormat="false" ht="15" hidden="false" customHeight="false" outlineLevel="0" collapsed="false">
      <c r="A52" s="4" t="n">
        <v>9</v>
      </c>
      <c r="B52" s="4" t="s">
        <v>114</v>
      </c>
      <c r="C52" s="4"/>
      <c r="D52" s="5" t="s">
        <v>115</v>
      </c>
      <c r="E52" s="6" t="n">
        <v>12.415</v>
      </c>
      <c r="F52" s="6" t="n">
        <v>7.89</v>
      </c>
      <c r="G52" s="6" t="n">
        <v>4.525</v>
      </c>
      <c r="H52" s="6" t="n">
        <v>0</v>
      </c>
      <c r="I52" s="6" t="n">
        <v>0</v>
      </c>
      <c r="J52" s="6" t="n">
        <v>8.04</v>
      </c>
      <c r="K52" s="6" t="n">
        <v>1.35</v>
      </c>
      <c r="L52" s="6" t="n">
        <v>0.45</v>
      </c>
      <c r="M52" s="6" t="n">
        <v>2.575</v>
      </c>
      <c r="N52" s="7" t="n">
        <f aca="false">IF(E52=0,0,(J52+K52)/E52*100)</f>
        <v>75.6343133306484</v>
      </c>
      <c r="O52" s="7" t="n">
        <f aca="false">IF(E52=0,0,(L52+M52)/E52*100)</f>
        <v>24.3656866693516</v>
      </c>
      <c r="P52" s="8"/>
    </row>
    <row r="53" customFormat="false" ht="15" hidden="false" customHeight="false" outlineLevel="0" collapsed="false">
      <c r="A53" s="4" t="n">
        <v>10</v>
      </c>
      <c r="B53" s="4" t="s">
        <v>116</v>
      </c>
      <c r="C53" s="4"/>
      <c r="D53" s="5" t="s">
        <v>117</v>
      </c>
      <c r="E53" s="6" t="n">
        <v>30.5</v>
      </c>
      <c r="F53" s="6" t="n">
        <v>29.85</v>
      </c>
      <c r="G53" s="6" t="n">
        <v>0.65</v>
      </c>
      <c r="H53" s="6" t="n">
        <v>0</v>
      </c>
      <c r="I53" s="6" t="n">
        <v>0</v>
      </c>
      <c r="J53" s="6" t="n">
        <v>26.65</v>
      </c>
      <c r="K53" s="6" t="n">
        <v>3.55</v>
      </c>
      <c r="L53" s="6" t="n">
        <v>0.3</v>
      </c>
      <c r="M53" s="6" t="n">
        <v>0</v>
      </c>
      <c r="N53" s="7" t="n">
        <f aca="false">IF(E53=0,0,(J53+K53)/E53*100)</f>
        <v>99.016393442623</v>
      </c>
      <c r="O53" s="7" t="n">
        <f aca="false">IF(E53=0,0,(L53+M53)/E53*100)</f>
        <v>0.983606557377049</v>
      </c>
      <c r="P53" s="8"/>
    </row>
    <row r="54" customFormat="false" ht="15" hidden="false" customHeight="false" outlineLevel="0" collapsed="false">
      <c r="A54" s="4" t="n">
        <v>11</v>
      </c>
      <c r="B54" s="4" t="s">
        <v>118</v>
      </c>
      <c r="C54" s="4"/>
      <c r="D54" s="5" t="s">
        <v>119</v>
      </c>
      <c r="E54" s="6" t="n">
        <v>24.796</v>
      </c>
      <c r="F54" s="6" t="n">
        <v>21.996</v>
      </c>
      <c r="G54" s="6" t="n">
        <v>2.8</v>
      </c>
      <c r="H54" s="6" t="n">
        <v>0</v>
      </c>
      <c r="I54" s="6" t="n">
        <v>0</v>
      </c>
      <c r="J54" s="6" t="n">
        <v>13.6</v>
      </c>
      <c r="K54" s="6" t="n">
        <v>6.846</v>
      </c>
      <c r="L54" s="6" t="n">
        <v>1.2</v>
      </c>
      <c r="M54" s="6" t="n">
        <v>3.15</v>
      </c>
      <c r="N54" s="7" t="n">
        <f aca="false">IF(E54=0,0,(J54+K54)/E54*100)</f>
        <v>82.4568478786901</v>
      </c>
      <c r="O54" s="7" t="n">
        <f aca="false">IF(E54=0,0,(L54+M54)/E54*100)</f>
        <v>17.5431521213099</v>
      </c>
      <c r="P54" s="8"/>
    </row>
    <row r="55" customFormat="false" ht="15" hidden="false" customHeight="false" outlineLevel="0" collapsed="false">
      <c r="A55" s="4" t="n">
        <v>12</v>
      </c>
      <c r="B55" s="4" t="s">
        <v>120</v>
      </c>
      <c r="C55" s="4"/>
      <c r="D55" s="5" t="s">
        <v>121</v>
      </c>
      <c r="E55" s="6" t="n">
        <v>22.603</v>
      </c>
      <c r="F55" s="6" t="n">
        <v>10.903</v>
      </c>
      <c r="G55" s="6" t="n">
        <v>11.61</v>
      </c>
      <c r="H55" s="6" t="n">
        <v>0.09</v>
      </c>
      <c r="I55" s="6" t="n">
        <v>0</v>
      </c>
      <c r="J55" s="6" t="n">
        <v>13.813</v>
      </c>
      <c r="K55" s="6" t="n">
        <v>2.85</v>
      </c>
      <c r="L55" s="6" t="n">
        <v>0.9</v>
      </c>
      <c r="M55" s="6" t="n">
        <v>5.04</v>
      </c>
      <c r="N55" s="7" t="n">
        <f aca="false">IF(E55=0,0,(J55+K55)/E55*100)</f>
        <v>73.7203026146972</v>
      </c>
      <c r="O55" s="7" t="n">
        <f aca="false">IF(E55=0,0,(L55+M55)/E55*100)</f>
        <v>26.2796973853028</v>
      </c>
      <c r="P55" s="8"/>
    </row>
    <row r="56" customFormat="false" ht="15" hidden="false" customHeight="true" outlineLevel="0" collapsed="false">
      <c r="A56" s="9" t="s">
        <v>46</v>
      </c>
      <c r="B56" s="9"/>
      <c r="C56" s="9"/>
      <c r="D56" s="9"/>
      <c r="E56" s="10" t="n">
        <f aca="false">SUM(E44:E55)</f>
        <v>270.214</v>
      </c>
      <c r="F56" s="10" t="n">
        <f aca="false">SUM(F44:F55)</f>
        <v>183.279</v>
      </c>
      <c r="G56" s="10" t="n">
        <f aca="false">SUM(G44:G55)</f>
        <v>86.845</v>
      </c>
      <c r="H56" s="10" t="n">
        <f aca="false">SUM(H44:H55)</f>
        <v>0.09</v>
      </c>
      <c r="I56" s="10" t="n">
        <f aca="false">SUM(I44:I55)</f>
        <v>0</v>
      </c>
      <c r="J56" s="10" t="n">
        <f aca="false">SUM(J44:J55)</f>
        <v>208.213</v>
      </c>
      <c r="K56" s="10" t="n">
        <f aca="false">SUM(K44:K55)</f>
        <v>32.686</v>
      </c>
      <c r="L56" s="10" t="n">
        <f aca="false">SUM(L44:L55)</f>
        <v>7.3</v>
      </c>
      <c r="M56" s="10" t="n">
        <f aca="false">SUM(M44:M55)</f>
        <v>22.015</v>
      </c>
      <c r="N56" s="11" t="n">
        <f aca="false">IF(E56=0,0,(J56+K56)/E56*100)</f>
        <v>89.1511912780241</v>
      </c>
      <c r="O56" s="11" t="n">
        <f aca="false">IF(E56=0,0,(L56+M56)/E56*100)</f>
        <v>10.8488087219759</v>
      </c>
      <c r="P56" s="12"/>
    </row>
    <row r="57" customFormat="false" ht="15" hidden="false" customHeight="true" outlineLevel="0" collapsed="false">
      <c r="A57" s="3" t="s">
        <v>122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customFormat="false" ht="15" hidden="false" customHeight="false" outlineLevel="0" collapsed="false">
      <c r="A58" s="4" t="n">
        <v>1</v>
      </c>
      <c r="B58" s="4" t="s">
        <v>123</v>
      </c>
      <c r="C58" s="4" t="s">
        <v>40</v>
      </c>
      <c r="D58" s="5" t="s">
        <v>124</v>
      </c>
      <c r="E58" s="6" t="n">
        <v>2.77</v>
      </c>
      <c r="F58" s="6" t="n">
        <v>2.77</v>
      </c>
      <c r="G58" s="6" t="n">
        <v>0</v>
      </c>
      <c r="H58" s="6" t="n">
        <v>0</v>
      </c>
      <c r="I58" s="6" t="n">
        <v>0</v>
      </c>
      <c r="J58" s="6" t="n">
        <v>2.77</v>
      </c>
      <c r="K58" s="6" t="n">
        <v>0</v>
      </c>
      <c r="L58" s="6" t="n">
        <v>0</v>
      </c>
      <c r="M58" s="6" t="n">
        <v>0</v>
      </c>
      <c r="N58" s="7" t="n">
        <f aca="false">IF(E58=0,0,(J58+K58)/E58*100)</f>
        <v>100</v>
      </c>
      <c r="O58" s="7" t="n">
        <f aca="false">IF(E58=0,0,(L58+M58)/E58*100)</f>
        <v>0</v>
      </c>
      <c r="P58" s="8"/>
    </row>
    <row r="59" customFormat="false" ht="15" hidden="false" customHeight="false" outlineLevel="0" collapsed="false">
      <c r="A59" s="4" t="n">
        <v>2</v>
      </c>
      <c r="B59" s="4" t="s">
        <v>125</v>
      </c>
      <c r="C59" s="4" t="s">
        <v>40</v>
      </c>
      <c r="D59" s="5" t="s">
        <v>126</v>
      </c>
      <c r="E59" s="6" t="n">
        <v>4.568</v>
      </c>
      <c r="F59" s="6" t="n">
        <v>4.108</v>
      </c>
      <c r="G59" s="6" t="n">
        <v>0.46</v>
      </c>
      <c r="H59" s="6" t="n">
        <v>0</v>
      </c>
      <c r="I59" s="6" t="n">
        <v>0</v>
      </c>
      <c r="J59" s="6" t="n">
        <v>4.368</v>
      </c>
      <c r="K59" s="6" t="n">
        <v>0.2</v>
      </c>
      <c r="L59" s="6" t="n">
        <v>0</v>
      </c>
      <c r="M59" s="6" t="n">
        <v>0</v>
      </c>
      <c r="N59" s="7" t="n">
        <f aca="false">IF(E59=0,0,(J59+K59)/E59*100)</f>
        <v>100</v>
      </c>
      <c r="O59" s="7" t="n">
        <f aca="false">IF(E59=0,0,(L59+M59)/E59*100)</f>
        <v>0</v>
      </c>
      <c r="P59" s="8"/>
    </row>
    <row r="60" customFormat="false" ht="15" hidden="false" customHeight="false" outlineLevel="0" collapsed="false">
      <c r="A60" s="4" t="n">
        <v>3</v>
      </c>
      <c r="B60" s="4" t="s">
        <v>125</v>
      </c>
      <c r="C60" s="4" t="s">
        <v>44</v>
      </c>
      <c r="D60" s="5" t="s">
        <v>127</v>
      </c>
      <c r="E60" s="6" t="n">
        <v>2.297</v>
      </c>
      <c r="F60" s="6" t="n">
        <v>1.387</v>
      </c>
      <c r="G60" s="6" t="n">
        <v>0.91</v>
      </c>
      <c r="H60" s="6" t="n">
        <v>0</v>
      </c>
      <c r="I60" s="6" t="n">
        <v>0</v>
      </c>
      <c r="J60" s="6" t="n">
        <v>2.097</v>
      </c>
      <c r="K60" s="6" t="n">
        <v>0.2</v>
      </c>
      <c r="L60" s="6" t="n">
        <v>0</v>
      </c>
      <c r="M60" s="6" t="n">
        <v>0</v>
      </c>
      <c r="N60" s="7" t="n">
        <f aca="false">IF(E60=0,0,(J60+K60)/E60*100)</f>
        <v>100</v>
      </c>
      <c r="O60" s="7" t="n">
        <f aca="false">IF(E60=0,0,(L60+M60)/E60*100)</f>
        <v>0</v>
      </c>
      <c r="P60" s="8"/>
    </row>
    <row r="61" customFormat="false" ht="15" hidden="false" customHeight="false" outlineLevel="0" collapsed="false">
      <c r="A61" s="4" t="n">
        <v>4</v>
      </c>
      <c r="B61" s="4" t="s">
        <v>128</v>
      </c>
      <c r="C61" s="4" t="s">
        <v>40</v>
      </c>
      <c r="D61" s="5" t="s">
        <v>129</v>
      </c>
      <c r="E61" s="6" t="n">
        <v>1.505</v>
      </c>
      <c r="F61" s="6" t="n">
        <v>0.75</v>
      </c>
      <c r="G61" s="6" t="n">
        <v>0.755</v>
      </c>
      <c r="H61" s="6" t="n">
        <v>0</v>
      </c>
      <c r="I61" s="6" t="n">
        <v>0</v>
      </c>
      <c r="J61" s="6" t="n">
        <v>1.505</v>
      </c>
      <c r="K61" s="6" t="n">
        <v>0</v>
      </c>
      <c r="L61" s="6" t="n">
        <v>0</v>
      </c>
      <c r="M61" s="6" t="n">
        <v>0</v>
      </c>
      <c r="N61" s="7" t="n">
        <f aca="false">IF(E61=0,0,(J61+K61)/E61*100)</f>
        <v>100</v>
      </c>
      <c r="O61" s="7" t="n">
        <f aca="false">IF(E61=0,0,(L61+M61)/E61*100)</f>
        <v>0</v>
      </c>
      <c r="P61" s="8"/>
    </row>
    <row r="62" customFormat="false" ht="15" hidden="false" customHeight="false" outlineLevel="0" collapsed="false">
      <c r="A62" s="4" t="n">
        <v>5</v>
      </c>
      <c r="B62" s="4" t="s">
        <v>128</v>
      </c>
      <c r="C62" s="4" t="s">
        <v>44</v>
      </c>
      <c r="D62" s="5" t="s">
        <v>130</v>
      </c>
      <c r="E62" s="6" t="n">
        <v>3.517</v>
      </c>
      <c r="F62" s="6" t="n">
        <v>3.267</v>
      </c>
      <c r="G62" s="6" t="n">
        <v>0.25</v>
      </c>
      <c r="H62" s="6" t="n">
        <v>0</v>
      </c>
      <c r="I62" s="6" t="n">
        <v>0</v>
      </c>
      <c r="J62" s="6" t="n">
        <v>1.65</v>
      </c>
      <c r="K62" s="6" t="n">
        <v>0.7</v>
      </c>
      <c r="L62" s="6" t="n">
        <v>0.8</v>
      </c>
      <c r="M62" s="6" t="n">
        <v>0.367</v>
      </c>
      <c r="N62" s="7" t="n">
        <f aca="false">IF(E62=0,0,(J62+K62)/E62*100)</f>
        <v>66.818311060563</v>
      </c>
      <c r="O62" s="7" t="n">
        <f aca="false">IF(E62=0,0,(L62+M62)/E62*100)</f>
        <v>33.181688939437</v>
      </c>
      <c r="P62" s="8"/>
    </row>
    <row r="63" customFormat="false" ht="15" hidden="false" customHeight="false" outlineLevel="0" collapsed="false">
      <c r="A63" s="4" t="n">
        <v>6</v>
      </c>
      <c r="B63" s="4" t="s">
        <v>131</v>
      </c>
      <c r="C63" s="4" t="s">
        <v>40</v>
      </c>
      <c r="D63" s="5" t="s">
        <v>132</v>
      </c>
      <c r="E63" s="6" t="n">
        <v>1.191</v>
      </c>
      <c r="F63" s="6" t="n">
        <v>0</v>
      </c>
      <c r="G63" s="6" t="n">
        <v>1.191</v>
      </c>
      <c r="H63" s="6" t="n">
        <v>0</v>
      </c>
      <c r="I63" s="6" t="n">
        <v>0</v>
      </c>
      <c r="J63" s="6" t="n">
        <v>1.191</v>
      </c>
      <c r="K63" s="6" t="n">
        <v>0</v>
      </c>
      <c r="L63" s="6" t="n">
        <v>0</v>
      </c>
      <c r="M63" s="6" t="n">
        <v>0</v>
      </c>
      <c r="N63" s="7" t="n">
        <f aca="false">IF(E63=0,0,(J63+K63)/E63*100)</f>
        <v>100</v>
      </c>
      <c r="O63" s="7" t="n">
        <f aca="false">IF(E63=0,0,(L63+M63)/E63*100)</f>
        <v>0</v>
      </c>
      <c r="P63" s="8"/>
    </row>
    <row r="64" customFormat="false" ht="15" hidden="false" customHeight="true" outlineLevel="0" collapsed="false">
      <c r="A64" s="9" t="s">
        <v>46</v>
      </c>
      <c r="B64" s="9"/>
      <c r="C64" s="9"/>
      <c r="D64" s="9"/>
      <c r="E64" s="10" t="n">
        <f aca="false">SUM(E58:E63)</f>
        <v>15.848</v>
      </c>
      <c r="F64" s="10" t="n">
        <f aca="false">SUM(F58:F63)</f>
        <v>12.282</v>
      </c>
      <c r="G64" s="10" t="n">
        <f aca="false">SUM(G58:G63)</f>
        <v>3.566</v>
      </c>
      <c r="H64" s="10" t="n">
        <f aca="false">SUM(H58:H63)</f>
        <v>0</v>
      </c>
      <c r="I64" s="10" t="n">
        <f aca="false">SUM(I58:I63)</f>
        <v>0</v>
      </c>
      <c r="J64" s="10" t="n">
        <f aca="false">SUM(J58:J63)</f>
        <v>13.581</v>
      </c>
      <c r="K64" s="10" t="n">
        <f aca="false">SUM(K58:K63)</f>
        <v>1.1</v>
      </c>
      <c r="L64" s="10" t="n">
        <f aca="false">SUM(L58:L63)</f>
        <v>0.8</v>
      </c>
      <c r="M64" s="10" t="n">
        <f aca="false">SUM(M58:M63)</f>
        <v>0.367</v>
      </c>
      <c r="N64" s="11" t="n">
        <f aca="false">IF(E64=0,0,(J64+K64)/E64*100)</f>
        <v>92.6362948006058</v>
      </c>
      <c r="O64" s="11" t="n">
        <f aca="false">IF(E64=0,0,(L64+M64)/E64*100)</f>
        <v>7.36370519939425</v>
      </c>
      <c r="P64" s="12"/>
    </row>
    <row r="65" customFormat="false" ht="15" hidden="false" customHeight="true" outlineLevel="0" collapsed="false">
      <c r="A65" s="3" t="s">
        <v>133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customFormat="false" ht="15" hidden="false" customHeight="false" outlineLevel="0" collapsed="false">
      <c r="A66" s="4" t="n">
        <v>1</v>
      </c>
      <c r="B66" s="4" t="s">
        <v>134</v>
      </c>
      <c r="C66" s="4"/>
      <c r="D66" s="5" t="s">
        <v>135</v>
      </c>
      <c r="E66" s="6" t="n">
        <v>12.56</v>
      </c>
      <c r="F66" s="6" t="n">
        <v>12.56</v>
      </c>
      <c r="G66" s="6" t="n">
        <v>0</v>
      </c>
      <c r="H66" s="6" t="n">
        <v>0</v>
      </c>
      <c r="I66" s="6" t="n">
        <v>0</v>
      </c>
      <c r="J66" s="6" t="n">
        <v>10.66</v>
      </c>
      <c r="K66" s="6" t="n">
        <v>1.6</v>
      </c>
      <c r="L66" s="6" t="n">
        <v>0.3</v>
      </c>
      <c r="M66" s="6" t="n">
        <v>0</v>
      </c>
      <c r="N66" s="7" t="n">
        <f aca="false">IF(E66=0,0,(J66+K66)/E66*100)</f>
        <v>97.6114649681529</v>
      </c>
      <c r="O66" s="7" t="n">
        <f aca="false">IF(E66=0,0,(L66+M66)/E66*100)</f>
        <v>2.38853503184713</v>
      </c>
      <c r="P66" s="8"/>
    </row>
    <row r="67" customFormat="false" ht="15" hidden="false" customHeight="false" outlineLevel="0" collapsed="false">
      <c r="A67" s="4" t="n">
        <v>2</v>
      </c>
      <c r="B67" s="4" t="s">
        <v>136</v>
      </c>
      <c r="C67" s="4"/>
      <c r="D67" s="5" t="s">
        <v>137</v>
      </c>
      <c r="E67" s="6" t="n">
        <v>3.1</v>
      </c>
      <c r="F67" s="6" t="n">
        <v>2.4</v>
      </c>
      <c r="G67" s="6" t="n">
        <v>0.7</v>
      </c>
      <c r="H67" s="6" t="n">
        <v>0</v>
      </c>
      <c r="I67" s="6" t="n">
        <v>0</v>
      </c>
      <c r="J67" s="6" t="n">
        <v>3.1</v>
      </c>
      <c r="K67" s="6" t="n">
        <v>0</v>
      </c>
      <c r="L67" s="6" t="n">
        <v>0</v>
      </c>
      <c r="M67" s="6" t="n">
        <v>0</v>
      </c>
      <c r="N67" s="7" t="n">
        <f aca="false">IF(E67=0,0,(J67+K67)/E67*100)</f>
        <v>100</v>
      </c>
      <c r="O67" s="7" t="n">
        <f aca="false">IF(E67=0,0,(L67+M67)/E67*100)</f>
        <v>0</v>
      </c>
      <c r="P67" s="8"/>
    </row>
    <row r="68" customFormat="false" ht="15" hidden="false" customHeight="false" outlineLevel="0" collapsed="false">
      <c r="A68" s="4" t="n">
        <v>3</v>
      </c>
      <c r="B68" s="4" t="s">
        <v>138</v>
      </c>
      <c r="C68" s="4"/>
      <c r="D68" s="5" t="s">
        <v>139</v>
      </c>
      <c r="E68" s="6" t="n">
        <v>19.725</v>
      </c>
      <c r="F68" s="6" t="n">
        <v>19.725</v>
      </c>
      <c r="G68" s="6" t="n">
        <v>0</v>
      </c>
      <c r="H68" s="6" t="n">
        <v>0</v>
      </c>
      <c r="I68" s="6" t="n">
        <v>0</v>
      </c>
      <c r="J68" s="6" t="n">
        <v>19.025</v>
      </c>
      <c r="K68" s="6" t="n">
        <v>0.7</v>
      </c>
      <c r="L68" s="6" t="n">
        <v>0</v>
      </c>
      <c r="M68" s="6" t="n">
        <v>0</v>
      </c>
      <c r="N68" s="7" t="n">
        <f aca="false">IF(E68=0,0,(J68+K68)/E68*100)</f>
        <v>100</v>
      </c>
      <c r="O68" s="7" t="n">
        <f aca="false">IF(E68=0,0,(L68+M68)/E68*100)</f>
        <v>0</v>
      </c>
      <c r="P68" s="8"/>
    </row>
    <row r="69" customFormat="false" ht="15" hidden="false" customHeight="false" outlineLevel="0" collapsed="false">
      <c r="A69" s="4" t="n">
        <v>4</v>
      </c>
      <c r="B69" s="4" t="s">
        <v>140</v>
      </c>
      <c r="C69" s="4"/>
      <c r="D69" s="5" t="s">
        <v>141</v>
      </c>
      <c r="E69" s="6" t="n">
        <v>7.957</v>
      </c>
      <c r="F69" s="6" t="n">
        <v>7.957</v>
      </c>
      <c r="G69" s="6" t="n">
        <v>0</v>
      </c>
      <c r="H69" s="6" t="n">
        <v>0</v>
      </c>
      <c r="I69" s="6" t="n">
        <v>0</v>
      </c>
      <c r="J69" s="6" t="n">
        <v>6.557</v>
      </c>
      <c r="K69" s="6" t="n">
        <v>0.4</v>
      </c>
      <c r="L69" s="6" t="n">
        <v>0</v>
      </c>
      <c r="M69" s="6" t="n">
        <v>1</v>
      </c>
      <c r="N69" s="7" t="n">
        <f aca="false">IF(E69=0,0,(J69+K69)/E69*100)</f>
        <v>87.4324494156089</v>
      </c>
      <c r="O69" s="7" t="n">
        <f aca="false">IF(E69=0,0,(L69+M69)/E69*100)</f>
        <v>12.5675505843911</v>
      </c>
      <c r="P69" s="8"/>
    </row>
    <row r="70" customFormat="false" ht="15" hidden="false" customHeight="false" outlineLevel="0" collapsed="false">
      <c r="A70" s="4" t="n">
        <v>5</v>
      </c>
      <c r="B70" s="4" t="s">
        <v>142</v>
      </c>
      <c r="C70" s="4"/>
      <c r="D70" s="5" t="s">
        <v>143</v>
      </c>
      <c r="E70" s="6" t="n">
        <v>10.807</v>
      </c>
      <c r="F70" s="6" t="n">
        <v>9.137</v>
      </c>
      <c r="G70" s="6" t="n">
        <v>1.67</v>
      </c>
      <c r="H70" s="6" t="n">
        <v>0</v>
      </c>
      <c r="I70" s="6" t="n">
        <v>0</v>
      </c>
      <c r="J70" s="6" t="n">
        <v>10.207</v>
      </c>
      <c r="K70" s="6" t="n">
        <v>0.6</v>
      </c>
      <c r="L70" s="6" t="n">
        <v>0</v>
      </c>
      <c r="M70" s="6" t="n">
        <v>0</v>
      </c>
      <c r="N70" s="7" t="n">
        <f aca="false">IF(E70=0,0,(J70+K70)/E70*100)</f>
        <v>100</v>
      </c>
      <c r="O70" s="7" t="n">
        <f aca="false">IF(E70=0,0,(L70+M70)/E70*100)</f>
        <v>0</v>
      </c>
      <c r="P70" s="8"/>
    </row>
    <row r="71" customFormat="false" ht="15" hidden="false" customHeight="false" outlineLevel="0" collapsed="false">
      <c r="A71" s="4" t="n">
        <v>6</v>
      </c>
      <c r="B71" s="4" t="s">
        <v>144</v>
      </c>
      <c r="C71" s="4"/>
      <c r="D71" s="5" t="s">
        <v>145</v>
      </c>
      <c r="E71" s="6" t="n">
        <v>35.698</v>
      </c>
      <c r="F71" s="6" t="n">
        <v>34.043</v>
      </c>
      <c r="G71" s="6" t="n">
        <v>1.655</v>
      </c>
      <c r="H71" s="6" t="n">
        <v>0</v>
      </c>
      <c r="I71" s="6" t="n">
        <v>0</v>
      </c>
      <c r="J71" s="6" t="n">
        <v>31.4</v>
      </c>
      <c r="K71" s="6" t="n">
        <v>3.598</v>
      </c>
      <c r="L71" s="6" t="n">
        <v>0</v>
      </c>
      <c r="M71" s="6" t="n">
        <v>0.7</v>
      </c>
      <c r="N71" s="7" t="n">
        <f aca="false">IF(E71=0,0,(J71+K71)/E71*100)</f>
        <v>98.0391058322595</v>
      </c>
      <c r="O71" s="7" t="n">
        <f aca="false">IF(E71=0,0,(L71+M71)/E71*100)</f>
        <v>1.96089416774049</v>
      </c>
      <c r="P71" s="8"/>
    </row>
    <row r="72" customFormat="false" ht="15" hidden="false" customHeight="false" outlineLevel="0" collapsed="false">
      <c r="A72" s="4" t="n">
        <v>7</v>
      </c>
      <c r="B72" s="4" t="s">
        <v>146</v>
      </c>
      <c r="C72" s="4"/>
      <c r="D72" s="5" t="s">
        <v>147</v>
      </c>
      <c r="E72" s="6" t="n">
        <v>17.578</v>
      </c>
      <c r="F72" s="6" t="n">
        <v>17.536</v>
      </c>
      <c r="G72" s="6" t="n">
        <v>0.042</v>
      </c>
      <c r="H72" s="6" t="n">
        <v>0</v>
      </c>
      <c r="I72" s="6" t="n">
        <v>0</v>
      </c>
      <c r="J72" s="6" t="n">
        <v>16.748</v>
      </c>
      <c r="K72" s="6" t="n">
        <v>0.83</v>
      </c>
      <c r="L72" s="6" t="n">
        <v>0</v>
      </c>
      <c r="M72" s="6" t="n">
        <v>0</v>
      </c>
      <c r="N72" s="7" t="n">
        <f aca="false">IF(E72=0,0,(J72+K72)/E72*100)</f>
        <v>100</v>
      </c>
      <c r="O72" s="7" t="n">
        <f aca="false">IF(E72=0,0,(L72+M72)/E72*100)</f>
        <v>0</v>
      </c>
      <c r="P72" s="8"/>
    </row>
    <row r="73" customFormat="false" ht="15" hidden="false" customHeight="false" outlineLevel="0" collapsed="false">
      <c r="A73" s="4" t="n">
        <v>8</v>
      </c>
      <c r="B73" s="4" t="s">
        <v>148</v>
      </c>
      <c r="C73" s="4"/>
      <c r="D73" s="5" t="s">
        <v>149</v>
      </c>
      <c r="E73" s="6" t="n">
        <v>12.336</v>
      </c>
      <c r="F73" s="6" t="n">
        <v>12.336</v>
      </c>
      <c r="G73" s="6" t="n">
        <v>0</v>
      </c>
      <c r="H73" s="6" t="n">
        <v>0</v>
      </c>
      <c r="I73" s="6" t="n">
        <v>0</v>
      </c>
      <c r="J73" s="6" t="n">
        <v>9.1</v>
      </c>
      <c r="K73" s="6" t="n">
        <v>2.8</v>
      </c>
      <c r="L73" s="6" t="n">
        <v>0.2</v>
      </c>
      <c r="M73" s="6" t="n">
        <v>0.236</v>
      </c>
      <c r="N73" s="7" t="n">
        <f aca="false">IF(E73=0,0,(J73+K73)/E73*100)</f>
        <v>96.4656290531777</v>
      </c>
      <c r="O73" s="7" t="n">
        <f aca="false">IF(E73=0,0,(L73+M73)/E73*100)</f>
        <v>3.53437094682231</v>
      </c>
      <c r="P73" s="8"/>
    </row>
    <row r="74" customFormat="false" ht="15" hidden="false" customHeight="false" outlineLevel="0" collapsed="false">
      <c r="A74" s="4" t="n">
        <v>9</v>
      </c>
      <c r="B74" s="4" t="s">
        <v>150</v>
      </c>
      <c r="C74" s="4"/>
      <c r="D74" s="5" t="s">
        <v>151</v>
      </c>
      <c r="E74" s="6" t="n">
        <v>21.066</v>
      </c>
      <c r="F74" s="6" t="n">
        <v>21.066</v>
      </c>
      <c r="G74" s="6" t="n">
        <v>0</v>
      </c>
      <c r="H74" s="6" t="n">
        <v>0</v>
      </c>
      <c r="I74" s="6" t="n">
        <v>0</v>
      </c>
      <c r="J74" s="6" t="n">
        <v>8.6</v>
      </c>
      <c r="K74" s="6" t="n">
        <v>7.866</v>
      </c>
      <c r="L74" s="6" t="n">
        <v>2.3</v>
      </c>
      <c r="M74" s="6" t="n">
        <v>2.3</v>
      </c>
      <c r="N74" s="7" t="n">
        <f aca="false">IF(E74=0,0,(J74+K74)/E74*100)</f>
        <v>78.1638659451249</v>
      </c>
      <c r="O74" s="7" t="n">
        <f aca="false">IF(E74=0,0,(L74+M74)/E74*100)</f>
        <v>21.8361340548752</v>
      </c>
      <c r="P74" s="8"/>
    </row>
    <row r="75" customFormat="false" ht="15" hidden="false" customHeight="false" outlineLevel="0" collapsed="false">
      <c r="A75" s="4" t="n">
        <v>10</v>
      </c>
      <c r="B75" s="4" t="s">
        <v>152</v>
      </c>
      <c r="C75" s="4"/>
      <c r="D75" s="5" t="s">
        <v>153</v>
      </c>
      <c r="E75" s="6" t="n">
        <v>15.501</v>
      </c>
      <c r="F75" s="6" t="n">
        <v>15.051</v>
      </c>
      <c r="G75" s="6" t="n">
        <v>0.45</v>
      </c>
      <c r="H75" s="6" t="n">
        <v>0</v>
      </c>
      <c r="I75" s="6" t="n">
        <v>0</v>
      </c>
      <c r="J75" s="6" t="n">
        <v>12.3</v>
      </c>
      <c r="K75" s="6" t="n">
        <v>0.2</v>
      </c>
      <c r="L75" s="6" t="n">
        <v>0.5</v>
      </c>
      <c r="M75" s="6" t="n">
        <v>2.501</v>
      </c>
      <c r="N75" s="7" t="n">
        <f aca="false">IF(E75=0,0,(J75+K75)/E75*100)</f>
        <v>80.6399587123411</v>
      </c>
      <c r="O75" s="7" t="n">
        <f aca="false">IF(E75=0,0,(L75+M75)/E75*100)</f>
        <v>19.3600412876589</v>
      </c>
      <c r="P75" s="8"/>
    </row>
    <row r="76" customFormat="false" ht="15" hidden="false" customHeight="true" outlineLevel="0" collapsed="false">
      <c r="A76" s="9" t="s">
        <v>46</v>
      </c>
      <c r="B76" s="9"/>
      <c r="C76" s="9"/>
      <c r="D76" s="9"/>
      <c r="E76" s="10" t="n">
        <f aca="false">SUM(E66:E75)</f>
        <v>156.328</v>
      </c>
      <c r="F76" s="10" t="n">
        <f aca="false">SUM(F66:F75)</f>
        <v>151.811</v>
      </c>
      <c r="G76" s="10" t="n">
        <f aca="false">SUM(G66:G75)</f>
        <v>4.517</v>
      </c>
      <c r="H76" s="10" t="n">
        <f aca="false">SUM(H66:H75)</f>
        <v>0</v>
      </c>
      <c r="I76" s="10" t="n">
        <f aca="false">SUM(I66:I75)</f>
        <v>0</v>
      </c>
      <c r="J76" s="10" t="n">
        <f aca="false">SUM(J66:J75)</f>
        <v>127.697</v>
      </c>
      <c r="K76" s="10" t="n">
        <f aca="false">SUM(K66:K75)</f>
        <v>18.594</v>
      </c>
      <c r="L76" s="10" t="n">
        <f aca="false">SUM(L66:L75)</f>
        <v>3.3</v>
      </c>
      <c r="M76" s="10" t="n">
        <f aca="false">SUM(M66:M75)</f>
        <v>6.737</v>
      </c>
      <c r="N76" s="11" t="n">
        <f aca="false">IF(E76=0,0,(J76+K76)/E76*100)</f>
        <v>93.5795251010695</v>
      </c>
      <c r="O76" s="11" t="n">
        <f aca="false">IF(E76=0,0,(L76+M76)/E76*100)</f>
        <v>6.42047489893045</v>
      </c>
      <c r="P76" s="12"/>
    </row>
    <row r="77" customFormat="false" ht="15" hidden="false" customHeight="true" outlineLevel="0" collapsed="false">
      <c r="A77" s="3" t="s">
        <v>154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customFormat="false" ht="15" hidden="false" customHeight="false" outlineLevel="0" collapsed="false">
      <c r="A78" s="4" t="n">
        <v>1</v>
      </c>
      <c r="B78" s="4" t="s">
        <v>155</v>
      </c>
      <c r="C78" s="4"/>
      <c r="D78" s="5" t="s">
        <v>156</v>
      </c>
      <c r="E78" s="6" t="n">
        <v>12.42</v>
      </c>
      <c r="F78" s="6" t="n">
        <v>12.42</v>
      </c>
      <c r="G78" s="6" t="n">
        <v>0</v>
      </c>
      <c r="H78" s="6" t="n">
        <v>0</v>
      </c>
      <c r="I78" s="6" t="n">
        <v>0</v>
      </c>
      <c r="J78" s="6" t="n">
        <v>5.6</v>
      </c>
      <c r="K78" s="6" t="n">
        <v>3.5</v>
      </c>
      <c r="L78" s="6" t="n">
        <v>2.1</v>
      </c>
      <c r="M78" s="6" t="n">
        <v>1.22</v>
      </c>
      <c r="N78" s="7" t="n">
        <f aca="false">IF(E78=0,0,(J78+K78)/E78*100)</f>
        <v>73.268921095008</v>
      </c>
      <c r="O78" s="7" t="n">
        <f aca="false">IF(E78=0,0,(L78+M78)/E78*100)</f>
        <v>26.731078904992</v>
      </c>
      <c r="P78" s="8"/>
    </row>
    <row r="79" customFormat="false" ht="15" hidden="false" customHeight="false" outlineLevel="0" collapsed="false">
      <c r="A79" s="4" t="n">
        <v>2</v>
      </c>
      <c r="B79" s="4" t="s">
        <v>157</v>
      </c>
      <c r="C79" s="4"/>
      <c r="D79" s="5" t="s">
        <v>158</v>
      </c>
      <c r="E79" s="6" t="n">
        <v>18.05</v>
      </c>
      <c r="F79" s="6" t="n">
        <v>17.02</v>
      </c>
      <c r="G79" s="6" t="n">
        <v>1.03</v>
      </c>
      <c r="H79" s="6" t="n">
        <v>0</v>
      </c>
      <c r="I79" s="6" t="n">
        <v>0</v>
      </c>
      <c r="J79" s="6" t="n">
        <v>11</v>
      </c>
      <c r="K79" s="6" t="n">
        <v>3.15</v>
      </c>
      <c r="L79" s="6" t="n">
        <v>0.6</v>
      </c>
      <c r="M79" s="6" t="n">
        <v>3.3</v>
      </c>
      <c r="N79" s="7" t="n">
        <f aca="false">IF(E79=0,0,(J79+K79)/E79*100)</f>
        <v>78.393351800554</v>
      </c>
      <c r="O79" s="7" t="n">
        <f aca="false">IF(E79=0,0,(L79+M79)/E79*100)</f>
        <v>21.606648199446</v>
      </c>
      <c r="P79" s="8"/>
    </row>
    <row r="80" customFormat="false" ht="15" hidden="false" customHeight="false" outlineLevel="0" collapsed="false">
      <c r="A80" s="4" t="n">
        <v>3</v>
      </c>
      <c r="B80" s="4" t="s">
        <v>159</v>
      </c>
      <c r="C80" s="4"/>
      <c r="D80" s="5" t="s">
        <v>160</v>
      </c>
      <c r="E80" s="6" t="n">
        <v>26.295</v>
      </c>
      <c r="F80" s="6" t="n">
        <v>17.08</v>
      </c>
      <c r="G80" s="6" t="n">
        <v>6.49</v>
      </c>
      <c r="H80" s="6" t="n">
        <v>2.725</v>
      </c>
      <c r="I80" s="6" t="n">
        <v>0</v>
      </c>
      <c r="J80" s="6" t="n">
        <v>9.14</v>
      </c>
      <c r="K80" s="6" t="n">
        <v>2.7</v>
      </c>
      <c r="L80" s="6" t="n">
        <v>0.6</v>
      </c>
      <c r="M80" s="6" t="n">
        <v>13.855</v>
      </c>
      <c r="N80" s="7" t="n">
        <f aca="false">IF(E80=0,0,(J80+K80)/E80*100)</f>
        <v>45.0275717817076</v>
      </c>
      <c r="O80" s="7" t="n">
        <f aca="false">IF(E80=0,0,(L80+M80)/E80*100)</f>
        <v>54.9724282182925</v>
      </c>
      <c r="P80" s="8"/>
    </row>
    <row r="81" customFormat="false" ht="15" hidden="false" customHeight="false" outlineLevel="0" collapsed="false">
      <c r="A81" s="4" t="n">
        <v>4</v>
      </c>
      <c r="B81" s="4" t="s">
        <v>161</v>
      </c>
      <c r="C81" s="4"/>
      <c r="D81" s="5" t="s">
        <v>162</v>
      </c>
      <c r="E81" s="6" t="n">
        <v>11.063</v>
      </c>
      <c r="F81" s="6" t="n">
        <v>10.703</v>
      </c>
      <c r="G81" s="6" t="n">
        <v>0.36</v>
      </c>
      <c r="H81" s="6" t="n">
        <v>0</v>
      </c>
      <c r="I81" s="6" t="n">
        <v>0</v>
      </c>
      <c r="J81" s="6" t="n">
        <v>6.93</v>
      </c>
      <c r="K81" s="6" t="n">
        <v>2.52</v>
      </c>
      <c r="L81" s="6" t="n">
        <v>0.7</v>
      </c>
      <c r="M81" s="6" t="n">
        <v>0.913</v>
      </c>
      <c r="N81" s="7" t="n">
        <f aca="false">IF(E81=0,0,(J81+K81)/E81*100)</f>
        <v>85.4198680285637</v>
      </c>
      <c r="O81" s="7" t="n">
        <f aca="false">IF(E81=0,0,(L81+M81)/E81*100)</f>
        <v>14.5801319714363</v>
      </c>
      <c r="P81" s="8"/>
    </row>
    <row r="82" customFormat="false" ht="15" hidden="false" customHeight="false" outlineLevel="0" collapsed="false">
      <c r="A82" s="4" t="n">
        <v>5</v>
      </c>
      <c r="B82" s="4" t="s">
        <v>163</v>
      </c>
      <c r="C82" s="4"/>
      <c r="D82" s="5" t="s">
        <v>164</v>
      </c>
      <c r="E82" s="6" t="n">
        <v>20.421</v>
      </c>
      <c r="F82" s="6" t="n">
        <v>14.091</v>
      </c>
      <c r="G82" s="6" t="n">
        <v>1.98</v>
      </c>
      <c r="H82" s="6" t="n">
        <v>4.35</v>
      </c>
      <c r="I82" s="6" t="n">
        <v>0</v>
      </c>
      <c r="J82" s="6" t="n">
        <v>2.1</v>
      </c>
      <c r="K82" s="6" t="n">
        <v>0.801</v>
      </c>
      <c r="L82" s="6" t="n">
        <v>0.2</v>
      </c>
      <c r="M82" s="6" t="n">
        <v>17.32</v>
      </c>
      <c r="N82" s="7" t="n">
        <f aca="false">IF(E82=0,0,(J82+K82)/E82*100)</f>
        <v>14.205964448362</v>
      </c>
      <c r="O82" s="7" t="n">
        <f aca="false">IF(E82=0,0,(L82+M82)/E82*100)</f>
        <v>85.794035551638</v>
      </c>
      <c r="P82" s="8"/>
    </row>
    <row r="83" customFormat="false" ht="15" hidden="false" customHeight="false" outlineLevel="0" collapsed="false">
      <c r="A83" s="4" t="n">
        <v>6</v>
      </c>
      <c r="B83" s="4" t="s">
        <v>165</v>
      </c>
      <c r="C83" s="4"/>
      <c r="D83" s="5" t="s">
        <v>166</v>
      </c>
      <c r="E83" s="6" t="n">
        <v>18.66</v>
      </c>
      <c r="F83" s="6" t="n">
        <v>5.21</v>
      </c>
      <c r="G83" s="6" t="n">
        <v>3.74</v>
      </c>
      <c r="H83" s="6" t="n">
        <v>9.71</v>
      </c>
      <c r="I83" s="6" t="n">
        <v>0</v>
      </c>
      <c r="J83" s="6" t="n">
        <v>2.84</v>
      </c>
      <c r="K83" s="6" t="n">
        <v>1.8</v>
      </c>
      <c r="L83" s="6" t="n">
        <v>0.06</v>
      </c>
      <c r="M83" s="6" t="n">
        <v>13.96</v>
      </c>
      <c r="N83" s="7" t="n">
        <f aca="false">IF(E83=0,0,(J83+K83)/E83*100)</f>
        <v>24.8660235798499</v>
      </c>
      <c r="O83" s="7" t="n">
        <f aca="false">IF(E83=0,0,(L83+M83)/E83*100)</f>
        <v>75.1339764201501</v>
      </c>
      <c r="P83" s="8"/>
    </row>
    <row r="84" customFormat="false" ht="15" hidden="false" customHeight="false" outlineLevel="0" collapsed="false">
      <c r="A84" s="4" t="n">
        <v>7</v>
      </c>
      <c r="B84" s="4" t="s">
        <v>167</v>
      </c>
      <c r="C84" s="4"/>
      <c r="D84" s="5" t="s">
        <v>168</v>
      </c>
      <c r="E84" s="6" t="n">
        <v>25.595</v>
      </c>
      <c r="F84" s="6" t="n">
        <v>20.205</v>
      </c>
      <c r="G84" s="6" t="n">
        <v>1.62</v>
      </c>
      <c r="H84" s="6" t="n">
        <v>3.77</v>
      </c>
      <c r="I84" s="6" t="n">
        <v>0</v>
      </c>
      <c r="J84" s="6" t="n">
        <v>6.11</v>
      </c>
      <c r="K84" s="6" t="n">
        <v>3.4</v>
      </c>
      <c r="L84" s="6" t="n">
        <v>0.1</v>
      </c>
      <c r="M84" s="6" t="n">
        <v>15.985</v>
      </c>
      <c r="N84" s="7" t="n">
        <f aca="false">IF(E84=0,0,(J84+K84)/E84*100)</f>
        <v>37.1556944715765</v>
      </c>
      <c r="O84" s="7" t="n">
        <f aca="false">IF(E84=0,0,(L84+M84)/E84*100)</f>
        <v>62.8443055284235</v>
      </c>
      <c r="P84" s="8"/>
    </row>
    <row r="85" customFormat="false" ht="15" hidden="false" customHeight="false" outlineLevel="0" collapsed="false">
      <c r="A85" s="4" t="n">
        <v>8</v>
      </c>
      <c r="B85" s="4" t="s">
        <v>169</v>
      </c>
      <c r="C85" s="4"/>
      <c r="D85" s="5" t="s">
        <v>170</v>
      </c>
      <c r="E85" s="6" t="n">
        <v>30.614</v>
      </c>
      <c r="F85" s="6" t="n">
        <v>30.264</v>
      </c>
      <c r="G85" s="6" t="n">
        <v>0.35</v>
      </c>
      <c r="H85" s="6" t="n">
        <v>0</v>
      </c>
      <c r="I85" s="6" t="n">
        <v>0</v>
      </c>
      <c r="J85" s="6" t="n">
        <v>14.764</v>
      </c>
      <c r="K85" s="6" t="n">
        <v>4.5</v>
      </c>
      <c r="L85" s="6" t="n">
        <v>1.85</v>
      </c>
      <c r="M85" s="6" t="n">
        <v>9.5</v>
      </c>
      <c r="N85" s="7" t="n">
        <f aca="false">IF(E85=0,0,(J85+K85)/E85*100)</f>
        <v>62.9254589403541</v>
      </c>
      <c r="O85" s="7" t="n">
        <f aca="false">IF(E85=0,0,(L85+M85)/E85*100)</f>
        <v>37.0745410596459</v>
      </c>
      <c r="P85" s="8"/>
    </row>
    <row r="86" customFormat="false" ht="15" hidden="false" customHeight="false" outlineLevel="0" collapsed="false">
      <c r="A86" s="4" t="n">
        <v>9</v>
      </c>
      <c r="B86" s="4" t="s">
        <v>171</v>
      </c>
      <c r="C86" s="4"/>
      <c r="D86" s="5" t="s">
        <v>172</v>
      </c>
      <c r="E86" s="6" t="n">
        <v>10.858</v>
      </c>
      <c r="F86" s="6" t="n">
        <v>10.258</v>
      </c>
      <c r="G86" s="6" t="n">
        <v>0.6</v>
      </c>
      <c r="H86" s="6" t="n">
        <v>0</v>
      </c>
      <c r="I86" s="6" t="n">
        <v>0</v>
      </c>
      <c r="J86" s="6" t="n">
        <v>7.308</v>
      </c>
      <c r="K86" s="6" t="n">
        <v>0.65</v>
      </c>
      <c r="L86" s="6" t="n">
        <v>0</v>
      </c>
      <c r="M86" s="6" t="n">
        <v>2.9</v>
      </c>
      <c r="N86" s="7" t="n">
        <f aca="false">IF(E86=0,0,(J86+K86)/E86*100)</f>
        <v>73.2915822435071</v>
      </c>
      <c r="O86" s="7" t="n">
        <f aca="false">IF(E86=0,0,(L86+M86)/E86*100)</f>
        <v>26.7084177564929</v>
      </c>
      <c r="P86" s="8"/>
    </row>
    <row r="87" customFormat="false" ht="15" hidden="false" customHeight="false" outlineLevel="0" collapsed="false">
      <c r="A87" s="4" t="n">
        <v>10</v>
      </c>
      <c r="B87" s="4" t="s">
        <v>173</v>
      </c>
      <c r="C87" s="4"/>
      <c r="D87" s="5" t="s">
        <v>174</v>
      </c>
      <c r="E87" s="6" t="n">
        <v>16.423</v>
      </c>
      <c r="F87" s="6" t="n">
        <v>16.423</v>
      </c>
      <c r="G87" s="6" t="n">
        <v>0</v>
      </c>
      <c r="H87" s="6" t="n">
        <v>0</v>
      </c>
      <c r="I87" s="6" t="n">
        <v>0</v>
      </c>
      <c r="J87" s="6" t="n">
        <v>13.223</v>
      </c>
      <c r="K87" s="6" t="n">
        <v>2.6</v>
      </c>
      <c r="L87" s="6" t="n">
        <v>0</v>
      </c>
      <c r="M87" s="6" t="n">
        <v>0.6</v>
      </c>
      <c r="N87" s="7" t="n">
        <f aca="false">IF(E87=0,0,(J87+K87)/E87*100)</f>
        <v>96.3465871034525</v>
      </c>
      <c r="O87" s="7" t="n">
        <f aca="false">IF(E87=0,0,(L87+M87)/E87*100)</f>
        <v>3.65341289654752</v>
      </c>
      <c r="P87" s="8"/>
    </row>
    <row r="88" customFormat="false" ht="15" hidden="false" customHeight="false" outlineLevel="0" collapsed="false">
      <c r="A88" s="4" t="n">
        <v>11</v>
      </c>
      <c r="B88" s="4" t="s">
        <v>175</v>
      </c>
      <c r="C88" s="4"/>
      <c r="D88" s="5" t="s">
        <v>176</v>
      </c>
      <c r="E88" s="6" t="n">
        <v>11.2</v>
      </c>
      <c r="F88" s="6" t="n">
        <v>11.2</v>
      </c>
      <c r="G88" s="6" t="n">
        <v>0</v>
      </c>
      <c r="H88" s="6" t="n">
        <v>0</v>
      </c>
      <c r="I88" s="6" t="n">
        <v>0</v>
      </c>
      <c r="J88" s="6" t="n">
        <v>7.28</v>
      </c>
      <c r="K88" s="6" t="n">
        <v>2.4</v>
      </c>
      <c r="L88" s="6" t="n">
        <v>0.2</v>
      </c>
      <c r="M88" s="6" t="n">
        <v>1.32</v>
      </c>
      <c r="N88" s="7" t="n">
        <f aca="false">IF(E88=0,0,(J88+K88)/E88*100)</f>
        <v>86.4285714285714</v>
      </c>
      <c r="O88" s="7" t="n">
        <f aca="false">IF(E88=0,0,(L88+M88)/E88*100)</f>
        <v>13.5714285714286</v>
      </c>
      <c r="P88" s="8"/>
    </row>
    <row r="89" customFormat="false" ht="15" hidden="false" customHeight="false" outlineLevel="0" collapsed="false">
      <c r="A89" s="4" t="n">
        <v>12</v>
      </c>
      <c r="B89" s="4" t="s">
        <v>177</v>
      </c>
      <c r="C89" s="4"/>
      <c r="D89" s="5" t="s">
        <v>178</v>
      </c>
      <c r="E89" s="6" t="n">
        <v>36</v>
      </c>
      <c r="F89" s="6" t="n">
        <v>26.15</v>
      </c>
      <c r="G89" s="6" t="n">
        <v>3.5</v>
      </c>
      <c r="H89" s="6" t="n">
        <v>6.35</v>
      </c>
      <c r="I89" s="6" t="n">
        <v>0</v>
      </c>
      <c r="J89" s="6" t="n">
        <v>28.45</v>
      </c>
      <c r="K89" s="6" t="n">
        <v>0.6</v>
      </c>
      <c r="L89" s="6" t="n">
        <v>0.2</v>
      </c>
      <c r="M89" s="6" t="n">
        <v>6.75</v>
      </c>
      <c r="N89" s="7" t="n">
        <f aca="false">IF(E89=0,0,(J89+K89)/E89*100)</f>
        <v>80.6944444444444</v>
      </c>
      <c r="O89" s="7" t="n">
        <f aca="false">IF(E89=0,0,(L89+M89)/E89*100)</f>
        <v>19.3055555555556</v>
      </c>
      <c r="P89" s="8"/>
    </row>
    <row r="90" customFormat="false" ht="15" hidden="false" customHeight="false" outlineLevel="0" collapsed="false">
      <c r="A90" s="4" t="n">
        <v>13</v>
      </c>
      <c r="B90" s="4" t="s">
        <v>179</v>
      </c>
      <c r="C90" s="4"/>
      <c r="D90" s="5" t="s">
        <v>180</v>
      </c>
      <c r="E90" s="6" t="n">
        <v>23.6</v>
      </c>
      <c r="F90" s="6" t="n">
        <v>9.95</v>
      </c>
      <c r="G90" s="6" t="n">
        <v>2.6</v>
      </c>
      <c r="H90" s="6" t="n">
        <v>11.05</v>
      </c>
      <c r="I90" s="6" t="n">
        <v>0</v>
      </c>
      <c r="J90" s="6" t="n">
        <v>10.05</v>
      </c>
      <c r="K90" s="6" t="n">
        <v>0</v>
      </c>
      <c r="L90" s="6" t="n">
        <v>0.1</v>
      </c>
      <c r="M90" s="6" t="n">
        <v>13.45</v>
      </c>
      <c r="N90" s="7" t="n">
        <f aca="false">IF(E90=0,0,(J90+K90)/E90*100)</f>
        <v>42.5847457627119</v>
      </c>
      <c r="O90" s="7" t="n">
        <f aca="false">IF(E90=0,0,(L90+M90)/E90*100)</f>
        <v>57.4152542372881</v>
      </c>
      <c r="P90" s="8"/>
    </row>
    <row r="91" customFormat="false" ht="15" hidden="false" customHeight="true" outlineLevel="0" collapsed="false">
      <c r="A91" s="9" t="s">
        <v>46</v>
      </c>
      <c r="B91" s="9"/>
      <c r="C91" s="9"/>
      <c r="D91" s="9"/>
      <c r="E91" s="10" t="n">
        <f aca="false">SUM(E78:E90)</f>
        <v>261.199</v>
      </c>
      <c r="F91" s="10" t="n">
        <f aca="false">SUM(F78:F90)</f>
        <v>200.974</v>
      </c>
      <c r="G91" s="10" t="n">
        <f aca="false">SUM(G78:G90)</f>
        <v>22.27</v>
      </c>
      <c r="H91" s="10" t="n">
        <f aca="false">SUM(H78:H90)</f>
        <v>37.955</v>
      </c>
      <c r="I91" s="10" t="n">
        <f aca="false">SUM(I78:I90)</f>
        <v>0</v>
      </c>
      <c r="J91" s="10" t="n">
        <f aca="false">SUM(J78:J90)</f>
        <v>124.795</v>
      </c>
      <c r="K91" s="10" t="n">
        <f aca="false">SUM(K78:K90)</f>
        <v>28.621</v>
      </c>
      <c r="L91" s="10" t="n">
        <f aca="false">SUM(L78:L90)</f>
        <v>6.71</v>
      </c>
      <c r="M91" s="10" t="n">
        <f aca="false">SUM(M78:M90)</f>
        <v>101.073</v>
      </c>
      <c r="N91" s="11" t="n">
        <f aca="false">IF(E91=0,0,(J91+K91)/E91*100)</f>
        <v>58.7352937798384</v>
      </c>
      <c r="O91" s="11" t="n">
        <f aca="false">IF(E91=0,0,(L91+M91)/E91*100)</f>
        <v>41.2647062201616</v>
      </c>
      <c r="P91" s="12"/>
    </row>
    <row r="92" customFormat="false" ht="15" hidden="false" customHeight="true" outlineLevel="0" collapsed="false">
      <c r="A92" s="3" t="s">
        <v>181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customFormat="false" ht="15" hidden="false" customHeight="false" outlineLevel="0" collapsed="false">
      <c r="A93" s="4" t="n">
        <v>1</v>
      </c>
      <c r="B93" s="4" t="s">
        <v>182</v>
      </c>
      <c r="C93" s="4"/>
      <c r="D93" s="5" t="s">
        <v>183</v>
      </c>
      <c r="E93" s="6" t="n">
        <v>21.777</v>
      </c>
      <c r="F93" s="6" t="n">
        <v>16.92</v>
      </c>
      <c r="G93" s="6" t="n">
        <v>4.857</v>
      </c>
      <c r="H93" s="6" t="n">
        <v>0</v>
      </c>
      <c r="I93" s="6" t="n">
        <v>0</v>
      </c>
      <c r="J93" s="6" t="n">
        <v>14.21</v>
      </c>
      <c r="K93" s="6" t="n">
        <v>3.44</v>
      </c>
      <c r="L93" s="6" t="n">
        <v>0.3</v>
      </c>
      <c r="M93" s="6" t="n">
        <v>3.827</v>
      </c>
      <c r="N93" s="7" t="n">
        <f aca="false">IF(E93=0,0,(J93+K93)/E93*100)</f>
        <v>81.0488129678101</v>
      </c>
      <c r="O93" s="7" t="n">
        <f aca="false">IF(E93=0,0,(L93+M93)/E93*100)</f>
        <v>18.9511870321899</v>
      </c>
      <c r="P93" s="8"/>
    </row>
    <row r="94" customFormat="false" ht="15" hidden="false" customHeight="false" outlineLevel="0" collapsed="false">
      <c r="A94" s="4" t="n">
        <v>2</v>
      </c>
      <c r="B94" s="4" t="s">
        <v>184</v>
      </c>
      <c r="C94" s="4"/>
      <c r="D94" s="5" t="s">
        <v>185</v>
      </c>
      <c r="E94" s="6" t="n">
        <v>25.157</v>
      </c>
      <c r="F94" s="6" t="n">
        <v>1.777</v>
      </c>
      <c r="G94" s="6" t="n">
        <v>13.23</v>
      </c>
      <c r="H94" s="6" t="n">
        <v>10.15</v>
      </c>
      <c r="I94" s="6" t="n">
        <v>0</v>
      </c>
      <c r="J94" s="6" t="n">
        <v>8.8</v>
      </c>
      <c r="K94" s="6" t="n">
        <v>4.4</v>
      </c>
      <c r="L94" s="6" t="n">
        <v>0.1</v>
      </c>
      <c r="M94" s="6" t="n">
        <v>11.857</v>
      </c>
      <c r="N94" s="7" t="n">
        <f aca="false">IF(E94=0,0,(J94+K94)/E94*100)</f>
        <v>52.4704853519895</v>
      </c>
      <c r="O94" s="7" t="n">
        <f aca="false">IF(E94=0,0,(L94+M94)/E94*100)</f>
        <v>47.5295146480105</v>
      </c>
      <c r="P94" s="8"/>
    </row>
    <row r="95" customFormat="false" ht="15" hidden="false" customHeight="false" outlineLevel="0" collapsed="false">
      <c r="A95" s="4" t="n">
        <v>3</v>
      </c>
      <c r="B95" s="4" t="s">
        <v>186</v>
      </c>
      <c r="C95" s="4"/>
      <c r="D95" s="5" t="s">
        <v>187</v>
      </c>
      <c r="E95" s="6" t="n">
        <v>23.83</v>
      </c>
      <c r="F95" s="6" t="n">
        <v>15.24</v>
      </c>
      <c r="G95" s="6" t="n">
        <v>3.91</v>
      </c>
      <c r="H95" s="6" t="n">
        <v>4.68</v>
      </c>
      <c r="I95" s="6" t="n">
        <v>0</v>
      </c>
      <c r="J95" s="6" t="n">
        <v>10.53</v>
      </c>
      <c r="K95" s="6" t="n">
        <v>1.7</v>
      </c>
      <c r="L95" s="6" t="n">
        <v>2</v>
      </c>
      <c r="M95" s="6" t="n">
        <v>9.6</v>
      </c>
      <c r="N95" s="7" t="n">
        <f aca="false">IF(E95=0,0,(J95+K95)/E95*100)</f>
        <v>51.32186319765</v>
      </c>
      <c r="O95" s="7" t="n">
        <f aca="false">IF(E95=0,0,(L95+M95)/E95*100)</f>
        <v>48.67813680235</v>
      </c>
      <c r="P95" s="8"/>
    </row>
    <row r="96" customFormat="false" ht="15" hidden="false" customHeight="false" outlineLevel="0" collapsed="false">
      <c r="A96" s="4" t="n">
        <v>4</v>
      </c>
      <c r="B96" s="4" t="s">
        <v>188</v>
      </c>
      <c r="C96" s="4"/>
      <c r="D96" s="5" t="s">
        <v>189</v>
      </c>
      <c r="E96" s="6" t="n">
        <v>11.736</v>
      </c>
      <c r="F96" s="6" t="n">
        <v>11.736</v>
      </c>
      <c r="G96" s="6" t="n">
        <v>0</v>
      </c>
      <c r="H96" s="6" t="n">
        <v>0</v>
      </c>
      <c r="I96" s="6" t="n">
        <v>0</v>
      </c>
      <c r="J96" s="6" t="n">
        <v>6.536</v>
      </c>
      <c r="K96" s="6" t="n">
        <v>3.2</v>
      </c>
      <c r="L96" s="6" t="n">
        <v>0.8</v>
      </c>
      <c r="M96" s="6" t="n">
        <v>1.2</v>
      </c>
      <c r="N96" s="7" t="n">
        <f aca="false">IF(E96=0,0,(J96+K96)/E96*100)</f>
        <v>82.9584185412406</v>
      </c>
      <c r="O96" s="7" t="n">
        <f aca="false">IF(E96=0,0,(L96+M96)/E96*100)</f>
        <v>17.0415814587594</v>
      </c>
      <c r="P96" s="8"/>
    </row>
    <row r="97" customFormat="false" ht="15" hidden="false" customHeight="false" outlineLevel="0" collapsed="false">
      <c r="A97" s="4" t="n">
        <v>5</v>
      </c>
      <c r="B97" s="4" t="s">
        <v>190</v>
      </c>
      <c r="C97" s="4"/>
      <c r="D97" s="5" t="s">
        <v>191</v>
      </c>
      <c r="E97" s="6" t="n">
        <v>21.468</v>
      </c>
      <c r="F97" s="6" t="n">
        <v>21.268</v>
      </c>
      <c r="G97" s="6" t="n">
        <v>0.2</v>
      </c>
      <c r="H97" s="6" t="n">
        <v>0</v>
      </c>
      <c r="I97" s="6" t="n">
        <v>0</v>
      </c>
      <c r="J97" s="6" t="n">
        <v>12.968</v>
      </c>
      <c r="K97" s="6" t="n">
        <v>4.5</v>
      </c>
      <c r="L97" s="6" t="n">
        <v>0.7</v>
      </c>
      <c r="M97" s="6" t="n">
        <v>3.3</v>
      </c>
      <c r="N97" s="7" t="n">
        <f aca="false">IF(E97=0,0,(J97+K97)/E97*100)</f>
        <v>81.3676169182038</v>
      </c>
      <c r="O97" s="7" t="n">
        <f aca="false">IF(E97=0,0,(L97+M97)/E97*100)</f>
        <v>18.6323830817962</v>
      </c>
      <c r="P97" s="8"/>
    </row>
    <row r="98" customFormat="false" ht="15" hidden="false" customHeight="false" outlineLevel="0" collapsed="false">
      <c r="A98" s="4" t="n">
        <v>6</v>
      </c>
      <c r="B98" s="4" t="s">
        <v>192</v>
      </c>
      <c r="C98" s="4"/>
      <c r="D98" s="5" t="s">
        <v>193</v>
      </c>
      <c r="E98" s="6" t="n">
        <v>20.873</v>
      </c>
      <c r="F98" s="6" t="n">
        <v>4.313</v>
      </c>
      <c r="G98" s="6" t="n">
        <v>1.89</v>
      </c>
      <c r="H98" s="6" t="n">
        <v>14.67</v>
      </c>
      <c r="I98" s="6" t="n">
        <v>0</v>
      </c>
      <c r="J98" s="6" t="n">
        <v>0.933</v>
      </c>
      <c r="K98" s="6" t="n">
        <v>1.22</v>
      </c>
      <c r="L98" s="6" t="n">
        <v>0.27</v>
      </c>
      <c r="M98" s="6" t="n">
        <v>18.45</v>
      </c>
      <c r="N98" s="7" t="n">
        <f aca="false">IF(E98=0,0,(J98+K98)/E98*100)</f>
        <v>10.3147606956355</v>
      </c>
      <c r="O98" s="7" t="n">
        <f aca="false">IF(E98=0,0,(L98+M98)/E98*100)</f>
        <v>89.6852393043645</v>
      </c>
      <c r="P98" s="8"/>
    </row>
    <row r="99" customFormat="false" ht="15" hidden="false" customHeight="false" outlineLevel="0" collapsed="false">
      <c r="A99" s="4" t="n">
        <v>7</v>
      </c>
      <c r="B99" s="4" t="s">
        <v>194</v>
      </c>
      <c r="C99" s="4"/>
      <c r="D99" s="5" t="s">
        <v>195</v>
      </c>
      <c r="E99" s="6" t="n">
        <v>35.862</v>
      </c>
      <c r="F99" s="6" t="n">
        <v>35.612</v>
      </c>
      <c r="G99" s="6" t="n">
        <v>0.25</v>
      </c>
      <c r="H99" s="6" t="n">
        <v>0</v>
      </c>
      <c r="I99" s="6" t="n">
        <v>0</v>
      </c>
      <c r="J99" s="6" t="n">
        <v>28.262</v>
      </c>
      <c r="K99" s="6" t="n">
        <v>6.9</v>
      </c>
      <c r="L99" s="6" t="n">
        <v>0.6</v>
      </c>
      <c r="M99" s="6" t="n">
        <v>0.1</v>
      </c>
      <c r="N99" s="7" t="n">
        <f aca="false">IF(E99=0,0,(J99+K99)/E99*100)</f>
        <v>98.0480731693715</v>
      </c>
      <c r="O99" s="7" t="n">
        <f aca="false">IF(E99=0,0,(L99+M99)/E99*100)</f>
        <v>1.95192683062852</v>
      </c>
      <c r="P99" s="8"/>
    </row>
    <row r="100" customFormat="false" ht="15" hidden="false" customHeight="false" outlineLevel="0" collapsed="false">
      <c r="A100" s="4" t="n">
        <v>8</v>
      </c>
      <c r="B100" s="4" t="s">
        <v>196</v>
      </c>
      <c r="C100" s="4"/>
      <c r="D100" s="5" t="s">
        <v>197</v>
      </c>
      <c r="E100" s="6" t="n">
        <v>21.5</v>
      </c>
      <c r="F100" s="6" t="n">
        <v>14.84</v>
      </c>
      <c r="G100" s="6" t="n">
        <v>6.66</v>
      </c>
      <c r="H100" s="6" t="n">
        <v>0</v>
      </c>
      <c r="I100" s="6" t="n">
        <v>0</v>
      </c>
      <c r="J100" s="6" t="n">
        <v>21.37</v>
      </c>
      <c r="K100" s="6" t="n">
        <v>0.06</v>
      </c>
      <c r="L100" s="6" t="n">
        <v>0</v>
      </c>
      <c r="M100" s="6" t="n">
        <v>0.07</v>
      </c>
      <c r="N100" s="7" t="n">
        <f aca="false">IF(E100=0,0,(J100+K100)/E100*100)</f>
        <v>99.6744186046512</v>
      </c>
      <c r="O100" s="7" t="n">
        <f aca="false">IF(E100=0,0,(L100+M100)/E100*100)</f>
        <v>0.325581395348837</v>
      </c>
      <c r="P100" s="8"/>
    </row>
    <row r="101" customFormat="false" ht="15" hidden="false" customHeight="false" outlineLevel="0" collapsed="false">
      <c r="A101" s="4" t="n">
        <v>9</v>
      </c>
      <c r="B101" s="4" t="s">
        <v>198</v>
      </c>
      <c r="C101" s="4"/>
      <c r="D101" s="5" t="s">
        <v>199</v>
      </c>
      <c r="E101" s="6" t="n">
        <v>9.66</v>
      </c>
      <c r="F101" s="6" t="n">
        <v>9.66</v>
      </c>
      <c r="G101" s="6" t="n">
        <v>0</v>
      </c>
      <c r="H101" s="6" t="n">
        <v>0</v>
      </c>
      <c r="I101" s="6" t="n">
        <v>0</v>
      </c>
      <c r="J101" s="6" t="n">
        <v>9.56</v>
      </c>
      <c r="K101" s="6" t="n">
        <v>0.1</v>
      </c>
      <c r="L101" s="6" t="n">
        <v>0</v>
      </c>
      <c r="M101" s="6" t="n">
        <v>0</v>
      </c>
      <c r="N101" s="7" t="n">
        <f aca="false">IF(E101=0,0,(J101+K101)/E101*100)</f>
        <v>100</v>
      </c>
      <c r="O101" s="7" t="n">
        <f aca="false">IF(E101=0,0,(L101+M101)/E101*100)</f>
        <v>0</v>
      </c>
      <c r="P101" s="8"/>
    </row>
    <row r="102" customFormat="false" ht="15" hidden="false" customHeight="false" outlineLevel="0" collapsed="false">
      <c r="A102" s="4" t="n">
        <v>10</v>
      </c>
      <c r="B102" s="4" t="s">
        <v>200</v>
      </c>
      <c r="C102" s="4"/>
      <c r="D102" s="5" t="s">
        <v>201</v>
      </c>
      <c r="E102" s="6" t="n">
        <v>4.8</v>
      </c>
      <c r="F102" s="6" t="n">
        <v>4.8</v>
      </c>
      <c r="G102" s="6" t="n">
        <v>0</v>
      </c>
      <c r="H102" s="6" t="n">
        <v>0</v>
      </c>
      <c r="I102" s="6" t="n">
        <v>0</v>
      </c>
      <c r="J102" s="6" t="n">
        <v>4.3</v>
      </c>
      <c r="K102" s="6" t="n">
        <v>0.5</v>
      </c>
      <c r="L102" s="6" t="n">
        <v>0</v>
      </c>
      <c r="M102" s="6" t="n">
        <v>0</v>
      </c>
      <c r="N102" s="7" t="n">
        <f aca="false">IF(E102=0,0,(J102+K102)/E102*100)</f>
        <v>100</v>
      </c>
      <c r="O102" s="7" t="n">
        <f aca="false">IF(E102=0,0,(L102+M102)/E102*100)</f>
        <v>0</v>
      </c>
      <c r="P102" s="8"/>
    </row>
    <row r="103" customFormat="false" ht="15" hidden="false" customHeight="true" outlineLevel="0" collapsed="false">
      <c r="A103" s="9" t="s">
        <v>46</v>
      </c>
      <c r="B103" s="9"/>
      <c r="C103" s="9"/>
      <c r="D103" s="9"/>
      <c r="E103" s="10" t="n">
        <f aca="false">SUM(E93:E102)</f>
        <v>196.663</v>
      </c>
      <c r="F103" s="10" t="n">
        <f aca="false">SUM(F93:F102)</f>
        <v>136.166</v>
      </c>
      <c r="G103" s="10" t="n">
        <f aca="false">SUM(G93:G102)</f>
        <v>30.997</v>
      </c>
      <c r="H103" s="10" t="n">
        <f aca="false">SUM(H93:H102)</f>
        <v>29.5</v>
      </c>
      <c r="I103" s="10" t="n">
        <f aca="false">SUM(I93:I102)</f>
        <v>0</v>
      </c>
      <c r="J103" s="10" t="n">
        <f aca="false">SUM(J93:J102)</f>
        <v>117.469</v>
      </c>
      <c r="K103" s="10" t="n">
        <f aca="false">SUM(K93:K102)</f>
        <v>26.02</v>
      </c>
      <c r="L103" s="10" t="n">
        <f aca="false">SUM(L93:L102)</f>
        <v>4.77</v>
      </c>
      <c r="M103" s="10" t="n">
        <f aca="false">SUM(M93:M102)</f>
        <v>48.404</v>
      </c>
      <c r="N103" s="11" t="n">
        <f aca="false">IF(E103=0,0,(J103+K103)/E103*100)</f>
        <v>72.9618687806044</v>
      </c>
      <c r="O103" s="11" t="n">
        <f aca="false">IF(E103=0,0,(L103+M103)/E103*100)</f>
        <v>27.0381312193956</v>
      </c>
      <c r="P103" s="12"/>
    </row>
    <row r="104" customFormat="false" ht="15" hidden="false" customHeight="true" outlineLevel="0" collapsed="false">
      <c r="A104" s="3" t="s">
        <v>202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customFormat="false" ht="15" hidden="false" customHeight="false" outlineLevel="0" collapsed="false">
      <c r="A105" s="4" t="n">
        <v>1</v>
      </c>
      <c r="B105" s="4" t="s">
        <v>203</v>
      </c>
      <c r="C105" s="4"/>
      <c r="D105" s="5" t="s">
        <v>204</v>
      </c>
      <c r="E105" s="6" t="n">
        <v>33.628</v>
      </c>
      <c r="F105" s="6" t="n">
        <v>12.16</v>
      </c>
      <c r="G105" s="6" t="n">
        <v>20.088</v>
      </c>
      <c r="H105" s="6" t="n">
        <v>1.38</v>
      </c>
      <c r="I105" s="6" t="n">
        <v>0</v>
      </c>
      <c r="J105" s="6" t="n">
        <v>22.248</v>
      </c>
      <c r="K105" s="6" t="n">
        <v>9.05</v>
      </c>
      <c r="L105" s="6" t="n">
        <v>0.15</v>
      </c>
      <c r="M105" s="6" t="n">
        <v>2.18</v>
      </c>
      <c r="N105" s="7" t="n">
        <f aca="false">IF(E105=0,0,(J105+K105)/E105*100)</f>
        <v>93.0712501486856</v>
      </c>
      <c r="O105" s="7" t="n">
        <f aca="false">IF(E105=0,0,(L105+M105)/E105*100)</f>
        <v>6.92874985131438</v>
      </c>
      <c r="P105" s="8"/>
    </row>
    <row r="106" customFormat="false" ht="15" hidden="false" customHeight="false" outlineLevel="0" collapsed="false">
      <c r="A106" s="4" t="n">
        <v>2</v>
      </c>
      <c r="B106" s="4" t="s">
        <v>205</v>
      </c>
      <c r="C106" s="4"/>
      <c r="D106" s="5" t="s">
        <v>206</v>
      </c>
      <c r="E106" s="6" t="n">
        <v>30.447</v>
      </c>
      <c r="F106" s="6" t="n">
        <v>14.97</v>
      </c>
      <c r="G106" s="6" t="n">
        <v>8.64</v>
      </c>
      <c r="H106" s="6" t="n">
        <v>6.837</v>
      </c>
      <c r="I106" s="6" t="n">
        <v>0</v>
      </c>
      <c r="J106" s="6" t="n">
        <v>8.34</v>
      </c>
      <c r="K106" s="6" t="n">
        <v>3.66</v>
      </c>
      <c r="L106" s="6" t="n">
        <v>0.94</v>
      </c>
      <c r="M106" s="6" t="n">
        <v>17.507</v>
      </c>
      <c r="N106" s="7" t="n">
        <f aca="false">IF(E106=0,0,(J106+K106)/E106*100)</f>
        <v>39.412750024633</v>
      </c>
      <c r="O106" s="7" t="n">
        <f aca="false">IF(E106=0,0,(L106+M106)/E106*100)</f>
        <v>60.587249975367</v>
      </c>
      <c r="P106" s="8"/>
    </row>
    <row r="107" customFormat="false" ht="15" hidden="false" customHeight="false" outlineLevel="0" collapsed="false">
      <c r="A107" s="4" t="n">
        <v>3</v>
      </c>
      <c r="B107" s="4" t="s">
        <v>207</v>
      </c>
      <c r="C107" s="4" t="s">
        <v>40</v>
      </c>
      <c r="D107" s="5" t="s">
        <v>208</v>
      </c>
      <c r="E107" s="6" t="n">
        <v>5.179</v>
      </c>
      <c r="F107" s="6" t="n">
        <v>5.179</v>
      </c>
      <c r="G107" s="6" t="n">
        <v>0</v>
      </c>
      <c r="H107" s="6" t="n">
        <v>0</v>
      </c>
      <c r="I107" s="6" t="n">
        <v>0</v>
      </c>
      <c r="J107" s="6" t="n">
        <v>5.1</v>
      </c>
      <c r="K107" s="6" t="n">
        <v>0.079</v>
      </c>
      <c r="L107" s="6" t="n">
        <v>0</v>
      </c>
      <c r="M107" s="6" t="n">
        <v>0</v>
      </c>
      <c r="N107" s="7" t="n">
        <f aca="false">IF(E107=0,0,(J107+K107)/E107*100)</f>
        <v>100</v>
      </c>
      <c r="O107" s="7" t="n">
        <f aca="false">IF(E107=0,0,(L107+M107)/E107*100)</f>
        <v>0</v>
      </c>
      <c r="P107" s="8"/>
    </row>
    <row r="108" customFormat="false" ht="15" hidden="false" customHeight="false" outlineLevel="0" collapsed="false">
      <c r="A108" s="4" t="n">
        <v>4</v>
      </c>
      <c r="B108" s="4" t="s">
        <v>209</v>
      </c>
      <c r="C108" s="4"/>
      <c r="D108" s="5" t="s">
        <v>210</v>
      </c>
      <c r="E108" s="6" t="n">
        <v>19.109</v>
      </c>
      <c r="F108" s="6" t="n">
        <v>18.739</v>
      </c>
      <c r="G108" s="6" t="n">
        <v>0.37</v>
      </c>
      <c r="H108" s="6" t="n">
        <v>0</v>
      </c>
      <c r="I108" s="6" t="n">
        <v>0</v>
      </c>
      <c r="J108" s="6" t="n">
        <v>11.8</v>
      </c>
      <c r="K108" s="6" t="n">
        <v>5.409</v>
      </c>
      <c r="L108" s="6" t="n">
        <v>1</v>
      </c>
      <c r="M108" s="6" t="n">
        <v>0.9</v>
      </c>
      <c r="N108" s="7" t="n">
        <f aca="false">IF(E108=0,0,(J108+K108)/E108*100)</f>
        <v>90.057041184782</v>
      </c>
      <c r="O108" s="7" t="n">
        <f aca="false">IF(E108=0,0,(L108+M108)/E108*100)</f>
        <v>9.94295881521796</v>
      </c>
      <c r="P108" s="8"/>
    </row>
    <row r="109" customFormat="false" ht="15" hidden="false" customHeight="false" outlineLevel="0" collapsed="false">
      <c r="A109" s="4" t="n">
        <v>5</v>
      </c>
      <c r="B109" s="4" t="s">
        <v>211</v>
      </c>
      <c r="C109" s="4"/>
      <c r="D109" s="5" t="s">
        <v>212</v>
      </c>
      <c r="E109" s="6" t="n">
        <v>24.574</v>
      </c>
      <c r="F109" s="6" t="n">
        <v>23.674</v>
      </c>
      <c r="G109" s="6" t="n">
        <v>0.9</v>
      </c>
      <c r="H109" s="6" t="n">
        <v>0</v>
      </c>
      <c r="I109" s="6" t="n">
        <v>0</v>
      </c>
      <c r="J109" s="6" t="n">
        <v>17.074</v>
      </c>
      <c r="K109" s="6" t="n">
        <v>6.8</v>
      </c>
      <c r="L109" s="6" t="n">
        <v>0.6</v>
      </c>
      <c r="M109" s="6" t="n">
        <v>0.1</v>
      </c>
      <c r="N109" s="7" t="n">
        <f aca="false">IF(E109=0,0,(J109+K109)/E109*100)</f>
        <v>97.1514608936274</v>
      </c>
      <c r="O109" s="7" t="n">
        <f aca="false">IF(E109=0,0,(L109+M109)/E109*100)</f>
        <v>2.84853910637259</v>
      </c>
      <c r="P109" s="8"/>
    </row>
    <row r="110" customFormat="false" ht="15" hidden="false" customHeight="true" outlineLevel="0" collapsed="false">
      <c r="A110" s="9" t="s">
        <v>46</v>
      </c>
      <c r="B110" s="9"/>
      <c r="C110" s="9"/>
      <c r="D110" s="9"/>
      <c r="E110" s="10" t="n">
        <f aca="false">SUM(E105:E109)</f>
        <v>112.937</v>
      </c>
      <c r="F110" s="10" t="n">
        <f aca="false">SUM(F105:F109)</f>
        <v>74.722</v>
      </c>
      <c r="G110" s="10" t="n">
        <f aca="false">SUM(G105:G109)</f>
        <v>29.998</v>
      </c>
      <c r="H110" s="10" t="n">
        <f aca="false">SUM(H105:H109)</f>
        <v>8.217</v>
      </c>
      <c r="I110" s="10" t="n">
        <f aca="false">SUM(I105:I109)</f>
        <v>0</v>
      </c>
      <c r="J110" s="10" t="n">
        <f aca="false">SUM(J105:J109)</f>
        <v>64.562</v>
      </c>
      <c r="K110" s="10" t="n">
        <f aca="false">SUM(K105:K109)</f>
        <v>24.998</v>
      </c>
      <c r="L110" s="10" t="n">
        <f aca="false">SUM(L105:L109)</f>
        <v>2.69</v>
      </c>
      <c r="M110" s="10" t="n">
        <f aca="false">SUM(M105:M109)</f>
        <v>20.687</v>
      </c>
      <c r="N110" s="11" t="n">
        <f aca="false">IF(E110=0,0,(J110+K110)/E110*100)</f>
        <v>79.3008491459841</v>
      </c>
      <c r="O110" s="11" t="n">
        <f aca="false">IF(E110=0,0,(L110+M110)/E110*100)</f>
        <v>20.699150854016</v>
      </c>
      <c r="P110" s="12"/>
    </row>
    <row r="111" customFormat="false" ht="15" hidden="false" customHeight="true" outlineLevel="0" collapsed="false">
      <c r="A111" s="3" t="s">
        <v>213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customFormat="false" ht="15" hidden="false" customHeight="false" outlineLevel="0" collapsed="false">
      <c r="A112" s="4" t="n">
        <v>1</v>
      </c>
      <c r="B112" s="4" t="s">
        <v>214</v>
      </c>
      <c r="C112" s="4" t="s">
        <v>40</v>
      </c>
      <c r="D112" s="5" t="s">
        <v>215</v>
      </c>
      <c r="E112" s="6" t="n">
        <v>1.812</v>
      </c>
      <c r="F112" s="6" t="n">
        <v>1.602</v>
      </c>
      <c r="G112" s="6" t="n">
        <v>0.21</v>
      </c>
      <c r="H112" s="6" t="n">
        <v>0</v>
      </c>
      <c r="I112" s="6" t="n">
        <v>0</v>
      </c>
      <c r="J112" s="6" t="n">
        <v>1.712</v>
      </c>
      <c r="K112" s="6" t="n">
        <v>0</v>
      </c>
      <c r="L112" s="6" t="n">
        <v>0</v>
      </c>
      <c r="M112" s="6" t="n">
        <v>0.1</v>
      </c>
      <c r="N112" s="7" t="n">
        <f aca="false">IF(E112=0,0,(J112+K112)/E112*100)</f>
        <v>94.4812362030905</v>
      </c>
      <c r="O112" s="7" t="n">
        <f aca="false">IF(E112=0,0,(L112+M112)/E112*100)</f>
        <v>5.51876379690949</v>
      </c>
      <c r="P112" s="8"/>
    </row>
    <row r="113" customFormat="false" ht="15" hidden="false" customHeight="false" outlineLevel="0" collapsed="false">
      <c r="A113" s="4" t="n">
        <v>2</v>
      </c>
      <c r="B113" s="4" t="s">
        <v>216</v>
      </c>
      <c r="C113" s="4"/>
      <c r="D113" s="5" t="s">
        <v>217</v>
      </c>
      <c r="E113" s="6" t="n">
        <v>1.81</v>
      </c>
      <c r="F113" s="6" t="n">
        <v>1.81</v>
      </c>
      <c r="G113" s="6" t="n">
        <v>0</v>
      </c>
      <c r="H113" s="6" t="n">
        <v>0</v>
      </c>
      <c r="I113" s="6" t="n">
        <v>0</v>
      </c>
      <c r="J113" s="6" t="n">
        <v>1.81</v>
      </c>
      <c r="K113" s="6" t="n">
        <v>0</v>
      </c>
      <c r="L113" s="6" t="n">
        <v>0</v>
      </c>
      <c r="M113" s="6" t="n">
        <v>0</v>
      </c>
      <c r="N113" s="7" t="n">
        <f aca="false">IF(E113=0,0,(J113+K113)/E113*100)</f>
        <v>100</v>
      </c>
      <c r="O113" s="7" t="n">
        <f aca="false">IF(E113=0,0,(L113+M113)/E113*100)</f>
        <v>0</v>
      </c>
      <c r="P113" s="8"/>
    </row>
    <row r="114" customFormat="false" ht="15" hidden="false" customHeight="false" outlineLevel="0" collapsed="false">
      <c r="A114" s="4" t="n">
        <v>3</v>
      </c>
      <c r="B114" s="4" t="s">
        <v>218</v>
      </c>
      <c r="C114" s="4"/>
      <c r="D114" s="5" t="s">
        <v>219</v>
      </c>
      <c r="E114" s="6" t="n">
        <v>8.374</v>
      </c>
      <c r="F114" s="6" t="n">
        <v>8.374</v>
      </c>
      <c r="G114" s="6" t="n">
        <v>0</v>
      </c>
      <c r="H114" s="6" t="n">
        <v>0</v>
      </c>
      <c r="I114" s="6" t="n">
        <v>0</v>
      </c>
      <c r="J114" s="6" t="n">
        <v>5.7</v>
      </c>
      <c r="K114" s="6" t="n">
        <v>2.2</v>
      </c>
      <c r="L114" s="6" t="n">
        <v>0.1</v>
      </c>
      <c r="M114" s="6" t="n">
        <v>0.374</v>
      </c>
      <c r="N114" s="7" t="n">
        <f aca="false">IF(E114=0,0,(J114+K114)/E114*100)</f>
        <v>94.3396226415094</v>
      </c>
      <c r="O114" s="7" t="n">
        <f aca="false">IF(E114=0,0,(L114+M114)/E114*100)</f>
        <v>5.66037735849057</v>
      </c>
      <c r="P114" s="8"/>
    </row>
    <row r="115" customFormat="false" ht="15" hidden="false" customHeight="true" outlineLevel="0" collapsed="false">
      <c r="A115" s="9" t="s">
        <v>46</v>
      </c>
      <c r="B115" s="9"/>
      <c r="C115" s="9"/>
      <c r="D115" s="9"/>
      <c r="E115" s="10" t="n">
        <f aca="false">SUM(E112:E114)</f>
        <v>11.996</v>
      </c>
      <c r="F115" s="10" t="n">
        <f aca="false">SUM(F112:F114)</f>
        <v>11.786</v>
      </c>
      <c r="G115" s="10" t="n">
        <f aca="false">SUM(G112:G114)</f>
        <v>0.21</v>
      </c>
      <c r="H115" s="10" t="n">
        <f aca="false">SUM(H112:H114)</f>
        <v>0</v>
      </c>
      <c r="I115" s="10" t="n">
        <f aca="false">SUM(I112:I114)</f>
        <v>0</v>
      </c>
      <c r="J115" s="10" t="n">
        <f aca="false">SUM(J112:J114)</f>
        <v>9.222</v>
      </c>
      <c r="K115" s="10" t="n">
        <f aca="false">SUM(K112:K114)</f>
        <v>2.2</v>
      </c>
      <c r="L115" s="10" t="n">
        <f aca="false">SUM(L112:L114)</f>
        <v>0.1</v>
      </c>
      <c r="M115" s="10" t="n">
        <f aca="false">SUM(M112:M114)</f>
        <v>0.474</v>
      </c>
      <c r="N115" s="11" t="n">
        <f aca="false">IF(E115=0,0,(J115+K115)/E115*100)</f>
        <v>95.2150716905635</v>
      </c>
      <c r="O115" s="11" t="n">
        <f aca="false">IF(E115=0,0,(L115+M115)/E115*100)</f>
        <v>4.78492830943648</v>
      </c>
      <c r="P115" s="12"/>
    </row>
    <row r="116" customFormat="false" ht="15" hidden="false" customHeight="true" outlineLevel="0" collapsed="false">
      <c r="A116" s="3" t="s">
        <v>220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customFormat="false" ht="15" hidden="false" customHeight="false" outlineLevel="0" collapsed="false">
      <c r="A117" s="4" t="n">
        <v>1</v>
      </c>
      <c r="B117" s="4" t="s">
        <v>221</v>
      </c>
      <c r="C117" s="4" t="s">
        <v>40</v>
      </c>
      <c r="D117" s="5" t="s">
        <v>222</v>
      </c>
      <c r="E117" s="6" t="n">
        <v>1.87</v>
      </c>
      <c r="F117" s="6" t="n">
        <v>1.865</v>
      </c>
      <c r="G117" s="6" t="n">
        <v>0</v>
      </c>
      <c r="H117" s="6" t="n">
        <v>0</v>
      </c>
      <c r="I117" s="6" t="n">
        <v>0</v>
      </c>
      <c r="J117" s="6" t="n">
        <v>1.865</v>
      </c>
      <c r="K117" s="6" t="n">
        <v>0</v>
      </c>
      <c r="L117" s="6" t="n">
        <v>0</v>
      </c>
      <c r="M117" s="6" t="n">
        <v>0</v>
      </c>
      <c r="N117" s="7" t="n">
        <f aca="false">IF(E117=0,0,(J117+K117)/E117*100)</f>
        <v>99.7326203208556</v>
      </c>
      <c r="O117" s="7" t="n">
        <f aca="false">IF(E117=0,0,(L117+M117)/E117*100)</f>
        <v>0</v>
      </c>
      <c r="P117" s="8"/>
    </row>
    <row r="118" customFormat="false" ht="15" hidden="false" customHeight="false" outlineLevel="0" collapsed="false">
      <c r="A118" s="4" t="n">
        <v>2</v>
      </c>
      <c r="B118" s="4" t="s">
        <v>223</v>
      </c>
      <c r="C118" s="4"/>
      <c r="D118" s="5" t="s">
        <v>224</v>
      </c>
      <c r="E118" s="6" t="n">
        <v>12.43</v>
      </c>
      <c r="F118" s="6" t="n">
        <v>12.147</v>
      </c>
      <c r="G118" s="6" t="n">
        <v>0.285</v>
      </c>
      <c r="H118" s="6" t="n">
        <v>0</v>
      </c>
      <c r="I118" s="6" t="n">
        <v>0</v>
      </c>
      <c r="J118" s="6" t="n">
        <v>9.9</v>
      </c>
      <c r="K118" s="6" t="n">
        <v>2.432</v>
      </c>
      <c r="L118" s="6" t="n">
        <v>0.1</v>
      </c>
      <c r="M118" s="6" t="n">
        <v>0</v>
      </c>
      <c r="N118" s="7" t="n">
        <f aca="false">IF(E118=0,0,(J118+K118)/E118*100)</f>
        <v>99.2115848753017</v>
      </c>
      <c r="O118" s="7" t="n">
        <f aca="false">IF(E118=0,0,(L118+M118)/E118*100)</f>
        <v>0.80450522928399</v>
      </c>
      <c r="P118" s="8"/>
    </row>
    <row r="119" customFormat="false" ht="15" hidden="false" customHeight="false" outlineLevel="0" collapsed="false">
      <c r="A119" s="4" t="n">
        <v>3</v>
      </c>
      <c r="B119" s="4" t="s">
        <v>225</v>
      </c>
      <c r="C119" s="4"/>
      <c r="D119" s="5" t="s">
        <v>226</v>
      </c>
      <c r="E119" s="6" t="n">
        <v>22.05</v>
      </c>
      <c r="F119" s="6" t="n">
        <v>9.83</v>
      </c>
      <c r="G119" s="6" t="n">
        <v>6.41</v>
      </c>
      <c r="H119" s="6" t="n">
        <v>5.81</v>
      </c>
      <c r="I119" s="6" t="n">
        <v>0</v>
      </c>
      <c r="J119" s="6" t="n">
        <v>10.09</v>
      </c>
      <c r="K119" s="6" t="n">
        <v>1.57</v>
      </c>
      <c r="L119" s="6" t="n">
        <v>0.1</v>
      </c>
      <c r="M119" s="6" t="n">
        <v>10.29</v>
      </c>
      <c r="N119" s="7" t="n">
        <f aca="false">IF(E119=0,0,(J119+K119)/E119*100)</f>
        <v>52.8798185941043</v>
      </c>
      <c r="O119" s="7" t="n">
        <f aca="false">IF(E119=0,0,(L119+M119)/E119*100)</f>
        <v>47.1201814058957</v>
      </c>
      <c r="P119" s="8"/>
    </row>
    <row r="120" customFormat="false" ht="15" hidden="false" customHeight="false" outlineLevel="0" collapsed="false">
      <c r="A120" s="4" t="n">
        <v>4</v>
      </c>
      <c r="B120" s="4" t="s">
        <v>227</v>
      </c>
      <c r="C120" s="4"/>
      <c r="D120" s="5" t="s">
        <v>228</v>
      </c>
      <c r="E120" s="6" t="n">
        <v>31.5</v>
      </c>
      <c r="F120" s="6" t="n">
        <v>16.13</v>
      </c>
      <c r="G120" s="6" t="n">
        <v>1.39</v>
      </c>
      <c r="H120" s="6" t="n">
        <v>13.98</v>
      </c>
      <c r="I120" s="6" t="n">
        <v>0</v>
      </c>
      <c r="J120" s="6" t="n">
        <v>3.2</v>
      </c>
      <c r="K120" s="6" t="n">
        <v>4.21</v>
      </c>
      <c r="L120" s="6" t="n">
        <v>1.3</v>
      </c>
      <c r="M120" s="6" t="n">
        <v>22.79</v>
      </c>
      <c r="N120" s="7" t="n">
        <f aca="false">IF(E120=0,0,(J120+K120)/E120*100)</f>
        <v>23.5238095238095</v>
      </c>
      <c r="O120" s="7" t="n">
        <f aca="false">IF(E120=0,0,(L120+M120)/E120*100)</f>
        <v>76.4761904761905</v>
      </c>
      <c r="P120" s="8"/>
    </row>
    <row r="121" customFormat="false" ht="15" hidden="false" customHeight="true" outlineLevel="0" collapsed="false">
      <c r="A121" s="9" t="s">
        <v>46</v>
      </c>
      <c r="B121" s="9"/>
      <c r="C121" s="9"/>
      <c r="D121" s="9"/>
      <c r="E121" s="10" t="n">
        <f aca="false">SUM(E117:E120)</f>
        <v>67.85</v>
      </c>
      <c r="F121" s="10" t="n">
        <f aca="false">SUM(F117:F120)</f>
        <v>39.972</v>
      </c>
      <c r="G121" s="10" t="n">
        <f aca="false">SUM(G117:G120)</f>
        <v>8.085</v>
      </c>
      <c r="H121" s="10" t="n">
        <f aca="false">SUM(H117:H120)</f>
        <v>19.79</v>
      </c>
      <c r="I121" s="10" t="n">
        <f aca="false">SUM(I117:I120)</f>
        <v>0</v>
      </c>
      <c r="J121" s="10" t="n">
        <f aca="false">SUM(J117:J120)</f>
        <v>25.055</v>
      </c>
      <c r="K121" s="10" t="n">
        <f aca="false">SUM(K117:K120)</f>
        <v>8.212</v>
      </c>
      <c r="L121" s="10" t="n">
        <f aca="false">SUM(L117:L120)</f>
        <v>1.5</v>
      </c>
      <c r="M121" s="10" t="n">
        <f aca="false">SUM(M117:M120)</f>
        <v>33.08</v>
      </c>
      <c r="N121" s="11" t="n">
        <f aca="false">IF(E121=0,0,(J121+K121)/E121*100)</f>
        <v>49.030213706706</v>
      </c>
      <c r="O121" s="11" t="n">
        <f aca="false">IF(E121=0,0,(L121+M121)/E121*100)</f>
        <v>50.9653647752395</v>
      </c>
      <c r="P121" s="12"/>
    </row>
    <row r="122" customFormat="false" ht="15" hidden="false" customHeight="true" outlineLevel="0" collapsed="false">
      <c r="A122" s="3" t="s">
        <v>229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customFormat="false" ht="15" hidden="false" customHeight="false" outlineLevel="0" collapsed="false">
      <c r="A123" s="4" t="n">
        <v>1</v>
      </c>
      <c r="B123" s="4" t="s">
        <v>230</v>
      </c>
      <c r="C123" s="4"/>
      <c r="D123" s="5" t="s">
        <v>231</v>
      </c>
      <c r="E123" s="6" t="n">
        <v>10.099</v>
      </c>
      <c r="F123" s="6" t="n">
        <v>10.099</v>
      </c>
      <c r="G123" s="6" t="n">
        <v>0</v>
      </c>
      <c r="H123" s="6" t="n">
        <v>0</v>
      </c>
      <c r="I123" s="6" t="n">
        <v>0</v>
      </c>
      <c r="J123" s="6" t="n">
        <v>8.7</v>
      </c>
      <c r="K123" s="6" t="n">
        <v>0.2</v>
      </c>
      <c r="L123" s="6" t="n">
        <v>0</v>
      </c>
      <c r="M123" s="6" t="n">
        <v>1.199</v>
      </c>
      <c r="N123" s="7" t="n">
        <f aca="false">IF(E123=0,0,(J123+K123)/E123*100)</f>
        <v>88.1275373799386</v>
      </c>
      <c r="O123" s="7" t="n">
        <f aca="false">IF(E123=0,0,(L123+M123)/E123*100)</f>
        <v>11.8724626200614</v>
      </c>
      <c r="P123" s="8"/>
    </row>
    <row r="124" customFormat="false" ht="15" hidden="false" customHeight="false" outlineLevel="0" collapsed="false">
      <c r="A124" s="4" t="n">
        <v>2</v>
      </c>
      <c r="B124" s="4" t="s">
        <v>232</v>
      </c>
      <c r="C124" s="4"/>
      <c r="D124" s="5" t="s">
        <v>233</v>
      </c>
      <c r="E124" s="6" t="n">
        <v>12.389</v>
      </c>
      <c r="F124" s="6" t="n">
        <v>11.089</v>
      </c>
      <c r="G124" s="6" t="n">
        <v>1.3</v>
      </c>
      <c r="H124" s="6" t="n">
        <v>0</v>
      </c>
      <c r="I124" s="6" t="n">
        <v>0</v>
      </c>
      <c r="J124" s="6" t="n">
        <v>7.139</v>
      </c>
      <c r="K124" s="6" t="n">
        <v>2.73</v>
      </c>
      <c r="L124" s="6" t="n">
        <v>0.9</v>
      </c>
      <c r="M124" s="6" t="n">
        <v>1.62</v>
      </c>
      <c r="N124" s="7" t="n">
        <f aca="false">IF(E124=0,0,(J124+K124)/E124*100)</f>
        <v>79.6593752522399</v>
      </c>
      <c r="O124" s="7" t="n">
        <f aca="false">IF(E124=0,0,(L124+M124)/E124*100)</f>
        <v>20.3406247477601</v>
      </c>
      <c r="P124" s="8"/>
    </row>
    <row r="125" customFormat="false" ht="15" hidden="false" customHeight="false" outlineLevel="0" collapsed="false">
      <c r="A125" s="4" t="n">
        <v>3</v>
      </c>
      <c r="B125" s="4" t="s">
        <v>234</v>
      </c>
      <c r="C125" s="4"/>
      <c r="D125" s="5" t="s">
        <v>235</v>
      </c>
      <c r="E125" s="6" t="n">
        <v>25.813</v>
      </c>
      <c r="F125" s="6" t="n">
        <v>24.933</v>
      </c>
      <c r="G125" s="6" t="n">
        <v>0.88</v>
      </c>
      <c r="H125" s="6" t="n">
        <v>0</v>
      </c>
      <c r="I125" s="6" t="n">
        <v>0</v>
      </c>
      <c r="J125" s="6" t="n">
        <v>19.303</v>
      </c>
      <c r="K125" s="6" t="n">
        <v>3.3</v>
      </c>
      <c r="L125" s="6" t="n">
        <v>0.8</v>
      </c>
      <c r="M125" s="6" t="n">
        <v>2.41</v>
      </c>
      <c r="N125" s="7" t="n">
        <f aca="false">IF(E125=0,0,(J125+K125)/E125*100)</f>
        <v>87.5644055320963</v>
      </c>
      <c r="O125" s="7" t="n">
        <f aca="false">IF(E125=0,0,(L125+M125)/E125*100)</f>
        <v>12.4355944679038</v>
      </c>
      <c r="P125" s="8"/>
    </row>
    <row r="126" customFormat="false" ht="15" hidden="false" customHeight="false" outlineLevel="0" collapsed="false">
      <c r="A126" s="4" t="n">
        <v>4</v>
      </c>
      <c r="B126" s="4" t="s">
        <v>236</v>
      </c>
      <c r="C126" s="4"/>
      <c r="D126" s="5" t="s">
        <v>237</v>
      </c>
      <c r="E126" s="6" t="n">
        <v>4.104</v>
      </c>
      <c r="F126" s="6" t="n">
        <v>4.104</v>
      </c>
      <c r="G126" s="6" t="n">
        <v>0</v>
      </c>
      <c r="H126" s="6" t="n">
        <v>0</v>
      </c>
      <c r="I126" s="6" t="n">
        <v>0</v>
      </c>
      <c r="J126" s="6" t="n">
        <v>1.304</v>
      </c>
      <c r="K126" s="6" t="n">
        <v>2.5</v>
      </c>
      <c r="L126" s="6" t="n">
        <v>0.2</v>
      </c>
      <c r="M126" s="6" t="n">
        <v>0.1</v>
      </c>
      <c r="N126" s="7" t="n">
        <f aca="false">IF(E126=0,0,(J126+K126)/E126*100)</f>
        <v>92.6900584795322</v>
      </c>
      <c r="O126" s="7" t="n">
        <f aca="false">IF(E126=0,0,(L126+M126)/E126*100)</f>
        <v>7.30994152046784</v>
      </c>
      <c r="P126" s="8"/>
    </row>
    <row r="127" customFormat="false" ht="15" hidden="false" customHeight="false" outlineLevel="0" collapsed="false">
      <c r="A127" s="4" t="n">
        <v>5</v>
      </c>
      <c r="B127" s="4" t="s">
        <v>238</v>
      </c>
      <c r="C127" s="4"/>
      <c r="D127" s="5" t="s">
        <v>239</v>
      </c>
      <c r="E127" s="6" t="n">
        <v>15.839</v>
      </c>
      <c r="F127" s="6" t="n">
        <v>13.239</v>
      </c>
      <c r="G127" s="6" t="n">
        <v>2.6</v>
      </c>
      <c r="H127" s="6" t="n">
        <v>0</v>
      </c>
      <c r="I127" s="6" t="n">
        <v>0</v>
      </c>
      <c r="J127" s="6" t="n">
        <v>15.439</v>
      </c>
      <c r="K127" s="6" t="n">
        <v>0.4</v>
      </c>
      <c r="L127" s="6" t="n">
        <v>0</v>
      </c>
      <c r="M127" s="6" t="n">
        <v>0</v>
      </c>
      <c r="N127" s="7" t="n">
        <f aca="false">IF(E127=0,0,(J127+K127)/E127*100)</f>
        <v>100</v>
      </c>
      <c r="O127" s="7" t="n">
        <f aca="false">IF(E127=0,0,(L127+M127)/E127*100)</f>
        <v>0</v>
      </c>
      <c r="P127" s="8"/>
    </row>
    <row r="128" customFormat="false" ht="15" hidden="false" customHeight="false" outlineLevel="0" collapsed="false">
      <c r="A128" s="4" t="n">
        <v>6</v>
      </c>
      <c r="B128" s="4" t="s">
        <v>240</v>
      </c>
      <c r="C128" s="4"/>
      <c r="D128" s="5" t="s">
        <v>241</v>
      </c>
      <c r="E128" s="6" t="n">
        <v>38.13</v>
      </c>
      <c r="F128" s="6" t="n">
        <v>22.835</v>
      </c>
      <c r="G128" s="6" t="n">
        <v>8.945</v>
      </c>
      <c r="H128" s="6" t="n">
        <v>6.35</v>
      </c>
      <c r="I128" s="6" t="n">
        <v>0</v>
      </c>
      <c r="J128" s="6" t="n">
        <v>11.495</v>
      </c>
      <c r="K128" s="6" t="n">
        <v>1.3</v>
      </c>
      <c r="L128" s="6" t="n">
        <v>0.47</v>
      </c>
      <c r="M128" s="6" t="n">
        <v>24.865</v>
      </c>
      <c r="N128" s="7" t="n">
        <f aca="false">IF(E128=0,0,(J128+K128)/E128*100)</f>
        <v>33.5562549173879</v>
      </c>
      <c r="O128" s="7" t="n">
        <f aca="false">IF(E128=0,0,(L128+M128)/E128*100)</f>
        <v>66.4437450826121</v>
      </c>
      <c r="P128" s="8"/>
    </row>
    <row r="129" customFormat="false" ht="15" hidden="false" customHeight="false" outlineLevel="0" collapsed="false">
      <c r="A129" s="4" t="n">
        <v>7</v>
      </c>
      <c r="B129" s="4" t="s">
        <v>242</v>
      </c>
      <c r="C129" s="4"/>
      <c r="D129" s="5" t="s">
        <v>243</v>
      </c>
      <c r="E129" s="6" t="n">
        <v>23.562</v>
      </c>
      <c r="F129" s="6" t="n">
        <v>15.612</v>
      </c>
      <c r="G129" s="6" t="n">
        <v>4.67</v>
      </c>
      <c r="H129" s="6" t="n">
        <v>3.28</v>
      </c>
      <c r="I129" s="6" t="n">
        <v>0</v>
      </c>
      <c r="J129" s="6" t="n">
        <v>11.632</v>
      </c>
      <c r="K129" s="6" t="n">
        <v>2.97</v>
      </c>
      <c r="L129" s="6" t="n">
        <v>0.3</v>
      </c>
      <c r="M129" s="6" t="n">
        <v>8.66</v>
      </c>
      <c r="N129" s="7" t="n">
        <f aca="false">IF(E129=0,0,(J129+K129)/E129*100)</f>
        <v>61.9726678550208</v>
      </c>
      <c r="O129" s="7" t="n">
        <f aca="false">IF(E129=0,0,(L129+M129)/E129*100)</f>
        <v>38.0273321449792</v>
      </c>
      <c r="P129" s="8"/>
    </row>
    <row r="130" customFormat="false" ht="15" hidden="false" customHeight="true" outlineLevel="0" collapsed="false">
      <c r="A130" s="9" t="s">
        <v>46</v>
      </c>
      <c r="B130" s="9"/>
      <c r="C130" s="9"/>
      <c r="D130" s="9"/>
      <c r="E130" s="10" t="n">
        <f aca="false">SUM(E123:E129)</f>
        <v>129.936</v>
      </c>
      <c r="F130" s="10" t="n">
        <f aca="false">SUM(F123:F129)</f>
        <v>101.911</v>
      </c>
      <c r="G130" s="10" t="n">
        <f aca="false">SUM(G123:G129)</f>
        <v>18.395</v>
      </c>
      <c r="H130" s="10" t="n">
        <f aca="false">SUM(H123:H129)</f>
        <v>9.63</v>
      </c>
      <c r="I130" s="10" t="n">
        <f aca="false">SUM(I123:I129)</f>
        <v>0</v>
      </c>
      <c r="J130" s="10" t="n">
        <f aca="false">SUM(J123:J129)</f>
        <v>75.012</v>
      </c>
      <c r="K130" s="10" t="n">
        <f aca="false">SUM(K123:K129)</f>
        <v>13.4</v>
      </c>
      <c r="L130" s="10" t="n">
        <f aca="false">SUM(L123:L129)</f>
        <v>2.67</v>
      </c>
      <c r="M130" s="10" t="n">
        <f aca="false">SUM(M123:M129)</f>
        <v>38.854</v>
      </c>
      <c r="N130" s="11" t="n">
        <f aca="false">IF(E130=0,0,(J130+K130)/E130*100)</f>
        <v>68.0427287279892</v>
      </c>
      <c r="O130" s="11" t="n">
        <f aca="false">IF(E130=0,0,(L130+M130)/E130*100)</f>
        <v>31.9572712720108</v>
      </c>
      <c r="P130" s="12"/>
    </row>
    <row r="131" customFormat="false" ht="15" hidden="false" customHeight="true" outlineLevel="0" collapsed="false">
      <c r="A131" s="3" t="s">
        <v>244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customFormat="false" ht="15" hidden="false" customHeight="false" outlineLevel="0" collapsed="false">
      <c r="A132" s="4" t="n">
        <v>1</v>
      </c>
      <c r="B132" s="4" t="s">
        <v>245</v>
      </c>
      <c r="C132" s="4"/>
      <c r="D132" s="5" t="s">
        <v>246</v>
      </c>
      <c r="E132" s="6" t="n">
        <v>11.602</v>
      </c>
      <c r="F132" s="6" t="n">
        <v>4.57</v>
      </c>
      <c r="G132" s="6" t="n">
        <v>7.032</v>
      </c>
      <c r="H132" s="6" t="n">
        <v>0</v>
      </c>
      <c r="I132" s="6" t="n">
        <v>0</v>
      </c>
      <c r="J132" s="6" t="n">
        <v>10.102</v>
      </c>
      <c r="K132" s="6" t="n">
        <v>1.5</v>
      </c>
      <c r="L132" s="6" t="n">
        <v>0</v>
      </c>
      <c r="M132" s="6" t="n">
        <v>0</v>
      </c>
      <c r="N132" s="7" t="n">
        <f aca="false">IF(E132=0,0,(J132+K132)/E132*100)</f>
        <v>100</v>
      </c>
      <c r="O132" s="7" t="n">
        <f aca="false">IF(E132=0,0,(L132+M132)/E132*100)</f>
        <v>0</v>
      </c>
      <c r="P132" s="8"/>
    </row>
    <row r="133" customFormat="false" ht="15" hidden="false" customHeight="false" outlineLevel="0" collapsed="false">
      <c r="A133" s="4" t="n">
        <v>2</v>
      </c>
      <c r="B133" s="4" t="s">
        <v>247</v>
      </c>
      <c r="C133" s="4"/>
      <c r="D133" s="5" t="s">
        <v>248</v>
      </c>
      <c r="E133" s="6" t="n">
        <v>29.443</v>
      </c>
      <c r="F133" s="6" t="n">
        <v>21.363</v>
      </c>
      <c r="G133" s="6" t="n">
        <v>8.08</v>
      </c>
      <c r="H133" s="6" t="n">
        <v>0</v>
      </c>
      <c r="I133" s="6" t="n">
        <v>0</v>
      </c>
      <c r="J133" s="6" t="n">
        <v>15.34</v>
      </c>
      <c r="K133" s="6" t="n">
        <v>5.48</v>
      </c>
      <c r="L133" s="6" t="n">
        <v>0.9</v>
      </c>
      <c r="M133" s="6" t="n">
        <v>7.723</v>
      </c>
      <c r="N133" s="7" t="n">
        <f aca="false">IF(E133=0,0,(J133+K133)/E133*100)</f>
        <v>70.7129028971233</v>
      </c>
      <c r="O133" s="7" t="n">
        <f aca="false">IF(E133=0,0,(L133+M133)/E133*100)</f>
        <v>29.2870971028767</v>
      </c>
      <c r="P133" s="8"/>
    </row>
    <row r="134" customFormat="false" ht="15" hidden="false" customHeight="true" outlineLevel="0" collapsed="false">
      <c r="A134" s="9" t="s">
        <v>46</v>
      </c>
      <c r="B134" s="9"/>
      <c r="C134" s="9"/>
      <c r="D134" s="9"/>
      <c r="E134" s="10" t="n">
        <f aca="false">SUM(E132:E133)</f>
        <v>41.045</v>
      </c>
      <c r="F134" s="10" t="n">
        <f aca="false">SUM(F132:F133)</f>
        <v>25.933</v>
      </c>
      <c r="G134" s="10" t="n">
        <f aca="false">SUM(G132:G133)</f>
        <v>15.112</v>
      </c>
      <c r="H134" s="10" t="n">
        <f aca="false">SUM(H132:H133)</f>
        <v>0</v>
      </c>
      <c r="I134" s="10" t="n">
        <f aca="false">SUM(I132:I133)</f>
        <v>0</v>
      </c>
      <c r="J134" s="10" t="n">
        <f aca="false">SUM(J132:J133)</f>
        <v>25.442</v>
      </c>
      <c r="K134" s="10" t="n">
        <f aca="false">SUM(K132:K133)</f>
        <v>6.98</v>
      </c>
      <c r="L134" s="10" t="n">
        <f aca="false">SUM(L132:L133)</f>
        <v>0.9</v>
      </c>
      <c r="M134" s="10" t="n">
        <f aca="false">SUM(M132:M133)</f>
        <v>7.723</v>
      </c>
      <c r="N134" s="11" t="n">
        <f aca="false">IF(E134=0,0,(J134+K134)/E134*100)</f>
        <v>78.9913509562675</v>
      </c>
      <c r="O134" s="11" t="n">
        <f aca="false">IF(E134=0,0,(L134+M134)/E134*100)</f>
        <v>21.0086490437325</v>
      </c>
      <c r="P134" s="12"/>
    </row>
    <row r="135" customFormat="false" ht="15" hidden="false" customHeight="true" outlineLevel="0" collapsed="false">
      <c r="A135" s="13" t="s">
        <v>249</v>
      </c>
      <c r="B135" s="13"/>
      <c r="C135" s="13"/>
      <c r="D135" s="13"/>
      <c r="E135" s="14" t="n">
        <f aca="false">E11+E16+E24+E32+E42+E56+E64+E76+E91+E103+E110+E115+E121+E130+E134</f>
        <v>1695.482</v>
      </c>
      <c r="F135" s="14" t="n">
        <f aca="false">F11+F16+F24+F32+F42+F56+F64+F76+F91+F103+F110+F115+F121+F130+F134</f>
        <v>1283.237</v>
      </c>
      <c r="G135" s="14" t="n">
        <f aca="false">G11+G16+G24+G32+G42+G56+G64+G76+G91+G103+G110+G115+G121+G130+G134</f>
        <v>307.06</v>
      </c>
      <c r="H135" s="14" t="n">
        <f aca="false">H11+H16+H24+H32+H42+H56+H64+H76+H91+H103+H110+H115+H121+H130+H134</f>
        <v>105.182</v>
      </c>
      <c r="I135" s="14" t="n">
        <f aca="false">I11+I16+I24+I32+I42+I56+I64+I76+I91+I103+I110+I115+I121+I130+I134</f>
        <v>0</v>
      </c>
      <c r="J135" s="14" t="n">
        <f aca="false">J11+J16+J24+J32+J42+J56+J64+J76+J91+J103+J110+J115+J121+J130+J134</f>
        <v>1107.214</v>
      </c>
      <c r="K135" s="14" t="n">
        <f aca="false">K11+K16+K24+K32+K42+K56+K64+K76+K91+K103+K110+K115+K121+K130+K134</f>
        <v>245.611</v>
      </c>
      <c r="L135" s="14" t="n">
        <f aca="false">L11+L16+L24+L32+L42+L56+L64+L76+L91+L103+L110+L115+L121+L130+L134</f>
        <v>48.58</v>
      </c>
      <c r="M135" s="14" t="n">
        <f aca="false">M11+M16+M24+M32+M42+M56+M64+M76+M91+M103+M110+M115+M121+M130+M134</f>
        <v>294.074</v>
      </c>
      <c r="N135" s="15" t="n">
        <f aca="false">IF(E135=0,0,(J135+K135)/E135*100)</f>
        <v>79.7899948215316</v>
      </c>
      <c r="O135" s="15" t="n">
        <f aca="false">IF(E135=0,0,(L135+M135)/E135*100)</f>
        <v>20.2098282376339</v>
      </c>
      <c r="P135" s="16"/>
    </row>
    <row r="137" customFormat="false" ht="22.35" hidden="false" customHeight="true" outlineLevel="0" collapsed="false">
      <c r="A137" s="2" t="s">
        <v>250</v>
      </c>
      <c r="B137" s="2"/>
      <c r="C137" s="2" t="s">
        <v>251</v>
      </c>
      <c r="D137" s="2" t="s">
        <v>16</v>
      </c>
      <c r="E137" s="2" t="s">
        <v>17</v>
      </c>
      <c r="F137" s="2" t="s">
        <v>252</v>
      </c>
      <c r="G137" s="2" t="s">
        <v>253</v>
      </c>
    </row>
    <row r="138" customFormat="false" ht="15" hidden="false" customHeight="false" outlineLevel="0" collapsed="false">
      <c r="A138" s="17" t="s">
        <v>254</v>
      </c>
      <c r="B138" s="17"/>
      <c r="C138" s="7" t="n">
        <f aca="false">N135</f>
        <v>79.7899948215316</v>
      </c>
      <c r="D138" s="7" t="n">
        <f aca="false">J135/E135*100</f>
        <v>65.3037897187938</v>
      </c>
      <c r="E138" s="7" t="n">
        <f aca="false">K135/E135*100</f>
        <v>14.4862051027377</v>
      </c>
      <c r="F138" s="18"/>
      <c r="G138" s="18"/>
    </row>
    <row r="139" customFormat="false" ht="15" hidden="false" customHeight="false" outlineLevel="0" collapsed="false">
      <c r="A139" s="17" t="s">
        <v>255</v>
      </c>
      <c r="B139" s="17"/>
      <c r="C139" s="7" t="n">
        <f aca="false">O135</f>
        <v>20.2098282376339</v>
      </c>
      <c r="D139" s="18"/>
      <c r="E139" s="18"/>
      <c r="F139" s="7" t="n">
        <f aca="false">L135/E135*100</f>
        <v>2.86526191372129</v>
      </c>
      <c r="G139" s="7" t="n">
        <f aca="false">M135/E135*100</f>
        <v>17.3445663239126</v>
      </c>
    </row>
    <row r="141" customFormat="false" ht="15" hidden="false" customHeight="false" outlineLevel="0" collapsed="false">
      <c r="K141" s="19" t="s">
        <v>256</v>
      </c>
    </row>
    <row r="142" customFormat="false" ht="15" hidden="false" customHeight="false" outlineLevel="0" collapsed="false">
      <c r="K142" s="20" t="s">
        <v>257</v>
      </c>
    </row>
    <row r="146" customFormat="false" ht="15" hidden="false" customHeight="false" outlineLevel="0" collapsed="false">
      <c r="K146" s="21" t="s">
        <v>258</v>
      </c>
    </row>
    <row r="147" customFormat="false" ht="15" hidden="false" customHeight="false" outlineLevel="0" collapsed="false">
      <c r="K147" s="19" t="s">
        <v>259</v>
      </c>
    </row>
    <row r="148" customFormat="false" ht="15" hidden="false" customHeight="false" outlineLevel="0" collapsed="false">
      <c r="K148" s="19" t="s">
        <v>260</v>
      </c>
    </row>
  </sheetData>
  <mergeCells count="44">
    <mergeCell ref="A1:P1"/>
    <mergeCell ref="A2:P2"/>
    <mergeCell ref="A4:A5"/>
    <mergeCell ref="B4:C4"/>
    <mergeCell ref="D4:D5"/>
    <mergeCell ref="E4:E5"/>
    <mergeCell ref="F4:I4"/>
    <mergeCell ref="J4:M4"/>
    <mergeCell ref="N4:O4"/>
    <mergeCell ref="P4:P5"/>
    <mergeCell ref="A7:P7"/>
    <mergeCell ref="A11:D11"/>
    <mergeCell ref="A12:P12"/>
    <mergeCell ref="A16:D16"/>
    <mergeCell ref="A17:P17"/>
    <mergeCell ref="A24:D24"/>
    <mergeCell ref="A25:P25"/>
    <mergeCell ref="A32:D32"/>
    <mergeCell ref="A33:P33"/>
    <mergeCell ref="A42:D42"/>
    <mergeCell ref="A43:P43"/>
    <mergeCell ref="A56:D56"/>
    <mergeCell ref="A57:P57"/>
    <mergeCell ref="A64:D64"/>
    <mergeCell ref="A65:P65"/>
    <mergeCell ref="A76:D76"/>
    <mergeCell ref="A77:P77"/>
    <mergeCell ref="A91:D91"/>
    <mergeCell ref="A92:P92"/>
    <mergeCell ref="A103:D103"/>
    <mergeCell ref="A104:P104"/>
    <mergeCell ref="A110:D110"/>
    <mergeCell ref="A111:P111"/>
    <mergeCell ref="A115:D115"/>
    <mergeCell ref="A116:P116"/>
    <mergeCell ref="A121:D121"/>
    <mergeCell ref="A122:P122"/>
    <mergeCell ref="A130:D130"/>
    <mergeCell ref="A131:P131"/>
    <mergeCell ref="A134:D134"/>
    <mergeCell ref="A135:D135"/>
    <mergeCell ref="A137:B137"/>
    <mergeCell ref="A138:B138"/>
    <mergeCell ref="A139:B1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2026-07-15T06:35:53Z</dcterms:created>
  <dc:creator>openpyxl</dc:creator>
  <dc:description/>
  <dc:language>en-US</dc:language>
  <cp:lastModifiedBy/>
  <dcterms:modified xsi:type="dcterms:W3CDTF">2026-07-15T06:35:54Z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